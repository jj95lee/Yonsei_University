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진진\Desktop\대학원\우주기기론\"/>
    </mc:Choice>
  </mc:AlternateContent>
  <xr:revisionPtr revIDLastSave="0" documentId="13_ncr:1_{852A1037-290D-4ECD-A391-7058C8A61B04}" xr6:coauthVersionLast="47" xr6:coauthVersionMax="47" xr10:uidLastSave="{00000000-0000-0000-0000-000000000000}"/>
  <bookViews>
    <workbookView minimized="1" xWindow="11280" yWindow="465" windowWidth="16815" windowHeight="15135" xr2:uid="{1C8FB200-4F70-4168-AD5E-FBF292167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1" l="1"/>
  <c r="L5" i="1"/>
  <c r="E3" i="1"/>
  <c r="E7" i="1"/>
  <c r="E8" i="1"/>
  <c r="E2" i="1"/>
  <c r="I7" i="1"/>
  <c r="I8" i="1"/>
  <c r="I2" i="1"/>
  <c r="J2" i="1" s="1"/>
  <c r="I3" i="1"/>
  <c r="K8" i="1" l="1"/>
  <c r="K6" i="1"/>
  <c r="K4" i="1"/>
  <c r="K3" i="1"/>
  <c r="K7" i="1"/>
  <c r="K2" i="1"/>
  <c r="F8" i="1"/>
  <c r="J3" i="1"/>
  <c r="J4" i="1"/>
  <c r="J6" i="1"/>
  <c r="J7" i="1"/>
  <c r="J8" i="1"/>
  <c r="F2" i="1"/>
  <c r="L2" i="1" s="1"/>
  <c r="F3" i="1"/>
  <c r="F4" i="1"/>
  <c r="F7" i="1"/>
  <c r="F6" i="1"/>
  <c r="L8" i="1" l="1"/>
  <c r="L3" i="1"/>
  <c r="L6" i="1"/>
  <c r="L4" i="1"/>
  <c r="L7" i="1"/>
</calcChain>
</file>

<file path=xl/sharedStrings.xml><?xml version="1.0" encoding="utf-8"?>
<sst xmlns="http://schemas.openxmlformats.org/spreadsheetml/2006/main" count="61" uniqueCount="56">
  <si>
    <t>Week</t>
    <phoneticPr fontId="3" type="noConversion"/>
  </si>
  <si>
    <t>Total</t>
    <phoneticPr fontId="3" type="noConversion"/>
  </si>
  <si>
    <t>Weekly Percentage</t>
    <phoneticPr fontId="3" type="noConversion"/>
  </si>
  <si>
    <t>Total Percentage</t>
    <phoneticPr fontId="3" type="noConversion"/>
  </si>
  <si>
    <t>Complement</t>
    <phoneticPr fontId="3" type="noConversion"/>
  </si>
  <si>
    <t>Scheduled WBS#</t>
    <phoneticPr fontId="3" type="noConversion"/>
  </si>
  <si>
    <t>Progressed WBS#</t>
    <phoneticPr fontId="3" type="noConversion"/>
  </si>
  <si>
    <t>Science Objective Definition (Reason for choosing a topic)</t>
    <phoneticPr fontId="3" type="noConversion"/>
  </si>
  <si>
    <t>Expected effects on observations</t>
    <phoneticPr fontId="3" type="noConversion"/>
  </si>
  <si>
    <t>What is primary transit?</t>
    <phoneticPr fontId="3" type="noConversion"/>
  </si>
  <si>
    <t>What can we gain?</t>
    <phoneticPr fontId="3" type="noConversion"/>
  </si>
  <si>
    <t>Strength &amp; Weakness</t>
    <phoneticPr fontId="3" type="noConversion"/>
  </si>
  <si>
    <t>What is radial velocity?</t>
    <phoneticPr fontId="3" type="noConversion"/>
  </si>
  <si>
    <r>
      <rPr>
        <b/>
        <sz val="10"/>
        <color rgb="FF000000"/>
        <rFont val="맑은 고딕"/>
        <family val="3"/>
        <charset val="129"/>
      </rPr>
      <t xml:space="preserve">Examples </t>
    </r>
    <r>
      <rPr>
        <b/>
        <sz val="10"/>
        <color rgb="FF000000"/>
        <rFont val="Arial"/>
        <family val="3"/>
      </rPr>
      <t>of planets</t>
    </r>
    <phoneticPr fontId="3" type="noConversion"/>
  </si>
  <si>
    <t>Observation instrument</t>
    <phoneticPr fontId="3" type="noConversion"/>
  </si>
  <si>
    <t>Operating method</t>
    <phoneticPr fontId="3" type="noConversion"/>
  </si>
  <si>
    <t>Expected result</t>
    <phoneticPr fontId="3" type="noConversion"/>
  </si>
  <si>
    <t>Actual result (table)</t>
    <phoneticPr fontId="3" type="noConversion"/>
  </si>
  <si>
    <t>Actual result (graph)</t>
    <phoneticPr fontId="3" type="noConversion"/>
  </si>
  <si>
    <t>Actual result (equation)</t>
    <phoneticPr fontId="3" type="noConversion"/>
  </si>
  <si>
    <t>Comparison of the two results</t>
    <phoneticPr fontId="3" type="noConversion"/>
  </si>
  <si>
    <t>Table analysis</t>
    <phoneticPr fontId="3" type="noConversion"/>
  </si>
  <si>
    <t>Trend is graph</t>
    <phoneticPr fontId="3" type="noConversion"/>
  </si>
  <si>
    <t>Relationships with equations</t>
    <phoneticPr fontId="3" type="noConversion"/>
  </si>
  <si>
    <t>Conclusion</t>
    <phoneticPr fontId="3" type="noConversion"/>
  </si>
  <si>
    <t>SO-01,SO-02</t>
    <phoneticPr fontId="3" type="noConversion"/>
  </si>
  <si>
    <t>OBM-01, OBM-02, OBM-03, OBM-04, OBM-05, OBM-06</t>
    <phoneticPr fontId="3" type="noConversion"/>
  </si>
  <si>
    <t>OBE-01, OBE-02, OBE-03</t>
    <phoneticPr fontId="3" type="noConversion"/>
  </si>
  <si>
    <t>DAT-01</t>
    <phoneticPr fontId="3" type="noConversion"/>
  </si>
  <si>
    <t>DAT-02, DAT-03, DAT-04</t>
    <phoneticPr fontId="3" type="noConversion"/>
  </si>
  <si>
    <t>INT-01, INT-02, INT-03, INT-04</t>
    <phoneticPr fontId="3" type="noConversion"/>
  </si>
  <si>
    <t>SO-01, SO-02</t>
    <phoneticPr fontId="3" type="noConversion"/>
  </si>
  <si>
    <t>HJP-SO-01</t>
    <phoneticPr fontId="3" type="noConversion"/>
  </si>
  <si>
    <t>HJP-SO-02</t>
    <phoneticPr fontId="3" type="noConversion"/>
  </si>
  <si>
    <t>HJP-OBM-01</t>
    <phoneticPr fontId="3" type="noConversion"/>
  </si>
  <si>
    <t>HJP-OBM-02</t>
    <phoneticPr fontId="3" type="noConversion"/>
  </si>
  <si>
    <t>HJP-OBM-03</t>
    <phoneticPr fontId="3" type="noConversion"/>
  </si>
  <si>
    <t>HJP-OBM-04</t>
    <phoneticPr fontId="3" type="noConversion"/>
  </si>
  <si>
    <t>HJP-OBM-05</t>
    <phoneticPr fontId="3" type="noConversion"/>
  </si>
  <si>
    <t>HJP-OBM-06</t>
    <phoneticPr fontId="3" type="noConversion"/>
  </si>
  <si>
    <t>HJP-OBE-01</t>
    <phoneticPr fontId="3" type="noConversion"/>
  </si>
  <si>
    <t>HJP-OBE-02</t>
    <phoneticPr fontId="3" type="noConversion"/>
  </si>
  <si>
    <t>HJP-OBE-03</t>
    <phoneticPr fontId="3" type="noConversion"/>
  </si>
  <si>
    <t>HJP-DAT-01</t>
    <phoneticPr fontId="3" type="noConversion"/>
  </si>
  <si>
    <t>HJP-DAT-02</t>
    <phoneticPr fontId="3" type="noConversion"/>
  </si>
  <si>
    <t>HJP-DAT-03</t>
    <phoneticPr fontId="3" type="noConversion"/>
  </si>
  <si>
    <t>HJP-DAT-04</t>
    <phoneticPr fontId="3" type="noConversion"/>
  </si>
  <si>
    <t>HJP-DAT-05</t>
    <phoneticPr fontId="3" type="noConversion"/>
  </si>
  <si>
    <t>HJP-INT-01</t>
    <phoneticPr fontId="3" type="noConversion"/>
  </si>
  <si>
    <t>HJP-INT-02</t>
    <phoneticPr fontId="3" type="noConversion"/>
  </si>
  <si>
    <t>HJP-INT-03</t>
    <phoneticPr fontId="3" type="noConversion"/>
  </si>
  <si>
    <t>HJP-INT-04</t>
    <phoneticPr fontId="3" type="noConversion"/>
  </si>
  <si>
    <t>OBE-01, OBE-02</t>
    <phoneticPr fontId="3" type="noConversion"/>
  </si>
  <si>
    <t>OBE-03</t>
    <phoneticPr fontId="3" type="noConversion"/>
  </si>
  <si>
    <t>-</t>
    <phoneticPr fontId="3" type="noConversion"/>
  </si>
  <si>
    <t>DAT-01, DAT-02, DAT-03, DAT-04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</si>
</sst>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"/>
      <family val="3"/>
    </font>
    <font>
      <b/>
      <sz val="10"/>
      <color rgb="FF000000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0" fillId="6" borderId="2" xfId="0" applyFill="1" applyBorder="1">
      <alignment vertical="center"/>
    </xf>
    <xf numFmtId="0" fontId="5" fillId="5" borderId="4" xfId="0" applyFont="1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4" fillId="7" borderId="3" xfId="0" applyFont="1" applyFill="1" applyBorder="1">
      <alignment vertical="center"/>
    </xf>
    <xf numFmtId="0" fontId="4" fillId="7" borderId="2" xfId="0" applyFont="1" applyFill="1" applyBorder="1">
      <alignment vertical="center"/>
    </xf>
    <xf numFmtId="0" fontId="6" fillId="6" borderId="3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0" fillId="6" borderId="3" xfId="0" applyFill="1" applyBorder="1" applyAlignment="1">
      <alignment horizontal="right" vertical="center"/>
    </xf>
    <xf numFmtId="0" fontId="0" fillId="6" borderId="2" xfId="0" applyFill="1" applyBorder="1" applyAlignment="1">
      <alignment horizontal="right" vertical="center"/>
    </xf>
    <xf numFmtId="0" fontId="0" fillId="6" borderId="5" xfId="0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95360194902917"/>
          <c:y val="1.4827118607770943E-2"/>
          <c:w val="0.94836598313187404"/>
          <c:h val="0.6200269798191661"/>
        </c:manualLayout>
      </c:layout>
      <c:lineChart>
        <c:grouping val="standard"/>
        <c:varyColors val="0"/>
        <c:ser>
          <c:idx val="0"/>
          <c:order val="0"/>
          <c:tx>
            <c:v>Current Status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</c:strLit>
          </c:cat>
          <c:val>
            <c:numRef>
              <c:f>Sheet1!$J$2:$J$8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7-44C5-BC7F-F21FDB725D2E}"/>
            </c:ext>
          </c:extLst>
        </c:ser>
        <c:ser>
          <c:idx val="1"/>
          <c:order val="1"/>
          <c:tx>
            <c:v>Base Plan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</c:strLit>
          </c:cat>
          <c:val>
            <c:numRef>
              <c:f>Sheet1!$F$2:$F$8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7-44C5-BC7F-F21FDB72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050488"/>
        <c:axId val="655047536"/>
      </c:lineChart>
      <c:catAx>
        <c:axId val="655050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Week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0.52749899058469629"/>
              <c:y val="0.93171875630930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047536"/>
        <c:crosses val="autoZero"/>
        <c:auto val="1"/>
        <c:lblAlgn val="ctr"/>
        <c:lblOffset val="100"/>
        <c:noMultiLvlLbl val="0"/>
      </c:catAx>
      <c:valAx>
        <c:axId val="65504753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/>
                  <a:t>Total Number of WBS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5.5613492358728048E-2"/>
              <c:y val="0.24764305690862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050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solidFill>
            <a:schemeClr val="accent3"/>
          </a:solidFill>
        </a:ln>
        <a:effectLst/>
      </c:spPr>
    </c:plotArea>
    <c:legend>
      <c:legendPos val="b"/>
      <c:layout>
        <c:manualLayout>
          <c:xMode val="edge"/>
          <c:yMode val="edge"/>
          <c:x val="0.10955722801969035"/>
          <c:y val="2.9437321079334486E-2"/>
          <c:w val="0.19297260451528017"/>
          <c:h val="4.5863649408038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2401</xdr:colOff>
      <xdr:row>10</xdr:row>
      <xdr:rowOff>4082</xdr:rowOff>
    </xdr:from>
    <xdr:to>
      <xdr:col>10</xdr:col>
      <xdr:colOff>784333</xdr:colOff>
      <xdr:row>34</xdr:row>
      <xdr:rowOff>135349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82CA4B-BB3B-4AF1-97B2-F2DC8BE16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4006-DC27-4401-A1CB-8048D57EFBE2}">
  <dimension ref="A1:L27"/>
  <sheetViews>
    <sheetView tabSelected="1" zoomScale="85" zoomScaleNormal="85" workbookViewId="0">
      <selection activeCell="N35" sqref="N35"/>
    </sheetView>
  </sheetViews>
  <sheetFormatPr defaultRowHeight="16.5" x14ac:dyDescent="0.3"/>
  <cols>
    <col min="1" max="1" width="15" customWidth="1"/>
    <col min="2" max="2" width="56.75" customWidth="1"/>
    <col min="4" max="4" width="52.75" customWidth="1"/>
    <col min="5" max="5" width="15.625" customWidth="1"/>
    <col min="6" max="6" width="11.5" customWidth="1"/>
    <col min="7" max="7" width="21.125" customWidth="1"/>
    <col min="8" max="9" width="10.625" customWidth="1"/>
    <col min="10" max="10" width="14.75" customWidth="1"/>
    <col min="11" max="11" width="19.75" customWidth="1"/>
    <col min="12" max="12" width="17.25" customWidth="1"/>
    <col min="14" max="15" width="17.75" customWidth="1"/>
  </cols>
  <sheetData>
    <row r="1" spans="1:12" ht="17.25" thickBot="1" x14ac:dyDescent="0.35">
      <c r="A1" s="2" t="s">
        <v>32</v>
      </c>
      <c r="B1" s="4" t="s">
        <v>7</v>
      </c>
      <c r="D1" s="7" t="s">
        <v>5</v>
      </c>
      <c r="E1" s="7" t="s">
        <v>0</v>
      </c>
      <c r="F1" s="7" t="s">
        <v>1</v>
      </c>
      <c r="G1" s="7" t="s">
        <v>6</v>
      </c>
      <c r="H1" s="7" t="s">
        <v>4</v>
      </c>
      <c r="I1" s="7" t="s">
        <v>0</v>
      </c>
      <c r="J1" s="7" t="s">
        <v>1</v>
      </c>
      <c r="K1" s="7" t="s">
        <v>2</v>
      </c>
      <c r="L1" s="7" t="s">
        <v>3</v>
      </c>
    </row>
    <row r="2" spans="1:12" ht="18" thickTop="1" thickBot="1" x14ac:dyDescent="0.35">
      <c r="A2" s="1" t="s">
        <v>33</v>
      </c>
      <c r="B2" s="5" t="s">
        <v>8</v>
      </c>
      <c r="D2" s="9" t="s">
        <v>25</v>
      </c>
      <c r="E2" s="8">
        <f>IF(LEN(D2)-LEN(SUBSTITUTE(D2,",",""))+1=1,0,LEN(D2)-LEN(SUBSTITUTE(D2,",",""))+1)</f>
        <v>2</v>
      </c>
      <c r="F2" s="8">
        <f>E2</f>
        <v>2</v>
      </c>
      <c r="G2" s="11" t="s">
        <v>31</v>
      </c>
      <c r="H2" s="8"/>
      <c r="I2" s="8">
        <f t="shared" ref="I2:I3" si="0">IF(LEN(G2)-LEN(SUBSTITUTE(G2,",",""))+1=1,0,LEN(G2)-LEN(SUBSTITUTE(G2,",",""))+1)</f>
        <v>2</v>
      </c>
      <c r="J2" s="8">
        <f>I2</f>
        <v>2</v>
      </c>
      <c r="K2" s="15" t="str">
        <f>_xlfn.CONCAT(FLOOR(I2/E2*100,0.1),"%")</f>
        <v>100%</v>
      </c>
      <c r="L2" s="13" t="str">
        <f>_xlfn.CONCAT(J2/F2*100,"%")</f>
        <v>100%</v>
      </c>
    </row>
    <row r="3" spans="1:12" ht="17.25" thickBot="1" x14ac:dyDescent="0.35">
      <c r="A3" s="1" t="s">
        <v>34</v>
      </c>
      <c r="B3" s="16" t="s">
        <v>9</v>
      </c>
      <c r="D3" s="10" t="s">
        <v>26</v>
      </c>
      <c r="E3" s="6">
        <f t="shared" ref="E3" si="1">IF(LEN(D3)-LEN(SUBSTITUTE(D3,",",""))+1=1,0,LEN(D3)-LEN(SUBSTITUTE(D3,",",""))+1)</f>
        <v>6</v>
      </c>
      <c r="F3" s="6">
        <f>SUM(E2:E3)</f>
        <v>8</v>
      </c>
      <c r="G3" s="12" t="s">
        <v>26</v>
      </c>
      <c r="H3" s="6"/>
      <c r="I3" s="6">
        <f t="shared" si="0"/>
        <v>6</v>
      </c>
      <c r="J3" s="6">
        <f>SUM(I2:I3)</f>
        <v>8</v>
      </c>
      <c r="K3" s="14" t="str">
        <f t="shared" ref="K3:K4" si="2">_xlfn.CONCAT(FLOOR(I3/E3*100,0.1),"%")</f>
        <v>100%</v>
      </c>
      <c r="L3" s="14" t="str">
        <f t="shared" ref="L3" si="3">_xlfn.CONCAT(J3/F3*100,"%")</f>
        <v>100%</v>
      </c>
    </row>
    <row r="4" spans="1:12" ht="17.25" thickBot="1" x14ac:dyDescent="0.35">
      <c r="A4" s="1" t="s">
        <v>35</v>
      </c>
      <c r="B4" s="17" t="s">
        <v>10</v>
      </c>
      <c r="D4" s="10" t="s">
        <v>27</v>
      </c>
      <c r="E4" s="6">
        <v>3</v>
      </c>
      <c r="F4" s="6">
        <f>SUM(E2:E4)</f>
        <v>11</v>
      </c>
      <c r="G4" s="12" t="s">
        <v>52</v>
      </c>
      <c r="H4" s="6"/>
      <c r="I4" s="6">
        <v>2</v>
      </c>
      <c r="J4" s="6">
        <f>SUM(I2:I4)</f>
        <v>10</v>
      </c>
      <c r="K4" s="14" t="str">
        <f t="shared" si="2"/>
        <v>66.6%</v>
      </c>
      <c r="L4" s="14" t="str">
        <f>_xlfn.CONCAT(FLOOR(J4/F4*100,0.1),"%")</f>
        <v>90.9%</v>
      </c>
    </row>
    <row r="5" spans="1:12" ht="17.25" thickBot="1" x14ac:dyDescent="0.35">
      <c r="A5" s="1" t="s">
        <v>36</v>
      </c>
      <c r="B5" s="17" t="s">
        <v>11</v>
      </c>
      <c r="D5" s="10" t="s">
        <v>54</v>
      </c>
      <c r="E5" s="6">
        <v>0</v>
      </c>
      <c r="F5" s="6">
        <v>11</v>
      </c>
      <c r="G5" s="12" t="s">
        <v>53</v>
      </c>
      <c r="H5" s="6"/>
      <c r="I5" s="6">
        <v>1</v>
      </c>
      <c r="J5" s="6">
        <v>11</v>
      </c>
      <c r="K5" s="14" t="e">
        <f t="shared" ref="K5" si="4">_xlfn.CONCAT(FLOOR(I5/E5*100,0.1),"%")</f>
        <v>#DIV/0!</v>
      </c>
      <c r="L5" s="14" t="str">
        <f>_xlfn.CONCAT(FLOOR(J5/F5*100,0.1),"%")</f>
        <v>100%</v>
      </c>
    </row>
    <row r="6" spans="1:12" ht="17.25" thickBot="1" x14ac:dyDescent="0.35">
      <c r="A6" s="1" t="s">
        <v>37</v>
      </c>
      <c r="B6" s="16" t="s">
        <v>12</v>
      </c>
      <c r="D6" s="10" t="s">
        <v>28</v>
      </c>
      <c r="E6" s="6">
        <v>1</v>
      </c>
      <c r="F6" s="6">
        <f>SUM(E2:E6)</f>
        <v>12</v>
      </c>
      <c r="G6" s="12"/>
      <c r="H6" s="6"/>
      <c r="I6" s="6">
        <v>0</v>
      </c>
      <c r="J6" s="6">
        <f>SUM(I2:I6)</f>
        <v>11</v>
      </c>
      <c r="K6" s="14" t="str">
        <f>_xlfn.CONCAT(FLOOR(I6/E6*100,0.1),"%")</f>
        <v>0%</v>
      </c>
      <c r="L6" s="14" t="str">
        <f t="shared" ref="L6:L8" si="5">_xlfn.CONCAT(FLOOR(J6/F6*100,0.1),"%")</f>
        <v>91.6%</v>
      </c>
    </row>
    <row r="7" spans="1:12" ht="17.25" thickBot="1" x14ac:dyDescent="0.35">
      <c r="A7" s="1" t="s">
        <v>38</v>
      </c>
      <c r="B7" s="17" t="s">
        <v>10</v>
      </c>
      <c r="D7" s="10" t="s">
        <v>29</v>
      </c>
      <c r="E7" s="6">
        <f>IF(LEN(D7)-LEN(SUBSTITUTE(D7,",",""))+1=1,0,LEN(D7)-LEN(SUBSTITUTE(D7,",",""))+1)</f>
        <v>3</v>
      </c>
      <c r="F7" s="6">
        <f>SUM(E2:E7)</f>
        <v>15</v>
      </c>
      <c r="G7" s="12" t="s">
        <v>55</v>
      </c>
      <c r="H7" s="6"/>
      <c r="I7" s="6">
        <f t="shared" ref="I7:I8" si="6">IF(LEN(G7)-LEN(SUBSTITUTE(G7,",",""))+1=1,IF(G7="",0,1),LEN(G7)-LEN(SUBSTITUTE(G7,",",""))+1)</f>
        <v>4</v>
      </c>
      <c r="J7" s="6">
        <f>SUM(I2:I7)</f>
        <v>15</v>
      </c>
      <c r="K7" s="14" t="str">
        <f>_xlfn.CONCAT(FLOOR(I7/E7*100,0.1),"%")</f>
        <v>133.3%</v>
      </c>
      <c r="L7" s="14" t="str">
        <f t="shared" si="5"/>
        <v>100%</v>
      </c>
    </row>
    <row r="8" spans="1:12" ht="17.25" thickBot="1" x14ac:dyDescent="0.35">
      <c r="A8" s="1" t="s">
        <v>39</v>
      </c>
      <c r="B8" s="17" t="s">
        <v>11</v>
      </c>
      <c r="D8" s="10" t="s">
        <v>30</v>
      </c>
      <c r="E8" s="6">
        <f>IF(LEN(D8)-LEN(SUBSTITUTE(D8,",",""))+1=1,0,LEN(D8)-LEN(SUBSTITUTE(D8,",",""))+1)</f>
        <v>4</v>
      </c>
      <c r="F8" s="6">
        <f>SUM(E2:E8)</f>
        <v>19</v>
      </c>
      <c r="G8" s="12"/>
      <c r="H8" s="6"/>
      <c r="I8" s="6">
        <f t="shared" si="6"/>
        <v>0</v>
      </c>
      <c r="J8" s="6">
        <f>SUM(I2:I8)</f>
        <v>15</v>
      </c>
      <c r="K8" s="14" t="str">
        <f>_xlfn.CONCAT(FLOOR(I8/E8*100,0.1),"%")</f>
        <v>0%</v>
      </c>
      <c r="L8" s="14" t="str">
        <f t="shared" si="5"/>
        <v>78.9%</v>
      </c>
    </row>
    <row r="9" spans="1:12" ht="17.25" thickBot="1" x14ac:dyDescent="0.35">
      <c r="A9" s="1" t="s">
        <v>40</v>
      </c>
      <c r="B9" s="18" t="s">
        <v>13</v>
      </c>
    </row>
    <row r="10" spans="1:12" ht="17.25" thickBot="1" x14ac:dyDescent="0.35">
      <c r="A10" s="1" t="s">
        <v>41</v>
      </c>
      <c r="B10" s="19" t="s">
        <v>14</v>
      </c>
    </row>
    <row r="11" spans="1:12" ht="17.25" thickBot="1" x14ac:dyDescent="0.35">
      <c r="A11" s="1" t="s">
        <v>42</v>
      </c>
      <c r="B11" s="19" t="s">
        <v>15</v>
      </c>
      <c r="F11" s="3"/>
    </row>
    <row r="12" spans="1:12" ht="15.95" customHeight="1" thickBot="1" x14ac:dyDescent="0.35">
      <c r="A12" s="1" t="s">
        <v>43</v>
      </c>
      <c r="B12" s="17" t="s">
        <v>16</v>
      </c>
    </row>
    <row r="13" spans="1:12" ht="15.95" customHeight="1" thickBot="1" x14ac:dyDescent="0.35">
      <c r="A13" s="1" t="s">
        <v>44</v>
      </c>
      <c r="B13" s="17" t="s">
        <v>17</v>
      </c>
    </row>
    <row r="14" spans="1:12" ht="15.95" customHeight="1" thickBot="1" x14ac:dyDescent="0.35">
      <c r="A14" s="1" t="s">
        <v>45</v>
      </c>
      <c r="B14" s="17" t="s">
        <v>18</v>
      </c>
    </row>
    <row r="15" spans="1:12" ht="15.95" customHeight="1" thickBot="1" x14ac:dyDescent="0.35">
      <c r="A15" s="1" t="s">
        <v>46</v>
      </c>
      <c r="B15" s="17" t="s">
        <v>19</v>
      </c>
    </row>
    <row r="16" spans="1:12" ht="15.95" customHeight="1" thickBot="1" x14ac:dyDescent="0.35">
      <c r="A16" s="1" t="s">
        <v>47</v>
      </c>
      <c r="B16" s="17" t="s">
        <v>20</v>
      </c>
    </row>
    <row r="17" spans="1:2" ht="15.95" customHeight="1" thickBot="1" x14ac:dyDescent="0.35">
      <c r="A17" s="1" t="s">
        <v>48</v>
      </c>
      <c r="B17" s="5" t="s">
        <v>21</v>
      </c>
    </row>
    <row r="18" spans="1:2" ht="15.95" customHeight="1" thickBot="1" x14ac:dyDescent="0.35">
      <c r="A18" s="1" t="s">
        <v>49</v>
      </c>
      <c r="B18" s="5" t="s">
        <v>22</v>
      </c>
    </row>
    <row r="19" spans="1:2" ht="15.95" customHeight="1" thickBot="1" x14ac:dyDescent="0.35">
      <c r="A19" s="1" t="s">
        <v>50</v>
      </c>
      <c r="B19" s="5" t="s">
        <v>23</v>
      </c>
    </row>
    <row r="20" spans="1:2" ht="15.95" customHeight="1" thickBot="1" x14ac:dyDescent="0.35">
      <c r="A20" s="1" t="s">
        <v>51</v>
      </c>
      <c r="B20" s="5" t="s">
        <v>24</v>
      </c>
    </row>
    <row r="21" spans="1:2" ht="15.95" customHeight="1" x14ac:dyDescent="0.3"/>
    <row r="22" spans="1:2" ht="15.95" customHeight="1" x14ac:dyDescent="0.3"/>
    <row r="23" spans="1:2" ht="15.95" customHeight="1" x14ac:dyDescent="0.3"/>
    <row r="24" spans="1:2" ht="15.95" customHeight="1" x14ac:dyDescent="0.3"/>
    <row r="25" spans="1:2" ht="15.95" customHeight="1" x14ac:dyDescent="0.3"/>
    <row r="26" spans="1:2" ht="18.75" customHeight="1" x14ac:dyDescent="0.3"/>
    <row r="27" spans="1:2" ht="25.5" customHeight="1" x14ac:dyDescent="0.3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ACL2022_17</dc:creator>
  <cp:lastModifiedBy>이진진</cp:lastModifiedBy>
  <dcterms:created xsi:type="dcterms:W3CDTF">2022-05-02T15:58:39Z</dcterms:created>
  <dcterms:modified xsi:type="dcterms:W3CDTF">2022-06-06T19:57:26Z</dcterms:modified>
</cp:coreProperties>
</file>