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Users\hsoh\Desktop\MIMAN\TCS\"/>
    </mc:Choice>
  </mc:AlternateContent>
  <xr:revisionPtr revIDLastSave="0" documentId="13_ncr:1_{DDC99938-D457-4FA2-B180-8062CCF9D5A2}" xr6:coauthVersionLast="45" xr6:coauthVersionMax="45" xr10:uidLastSave="{00000000-0000-0000-0000-000000000000}"/>
  <bookViews>
    <workbookView xWindow="-120" yWindow="-120" windowWidth="29040" windowHeight="15840" tabRatio="732" activeTab="3" xr2:uid="{00000000-000D-0000-FFFF-FFFF00000000}"/>
  </bookViews>
  <sheets>
    <sheet name="Revision" sheetId="1" r:id="rId1"/>
    <sheet name="PowerBudget" sheetId="2" r:id="rId2"/>
    <sheet name="PowerBudget (2)" sheetId="6" r:id="rId3"/>
    <sheet name="Sheet3" sheetId="5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1" i="6" l="1"/>
  <c r="K31" i="6"/>
  <c r="H31" i="6"/>
  <c r="N30" i="6"/>
  <c r="K30" i="6"/>
  <c r="H30" i="6"/>
  <c r="M29" i="6"/>
  <c r="E29" i="6"/>
  <c r="N28" i="6"/>
  <c r="J28" i="6"/>
  <c r="K28" i="6" s="1"/>
  <c r="H28" i="6"/>
  <c r="N27" i="6"/>
  <c r="K27" i="6"/>
  <c r="H27" i="6"/>
  <c r="E26" i="6"/>
  <c r="H26" i="6" s="1"/>
  <c r="E25" i="6"/>
  <c r="K25" i="6" s="1"/>
  <c r="E24" i="6"/>
  <c r="N24" i="6" s="1"/>
  <c r="E23" i="6"/>
  <c r="H23" i="6" s="1"/>
  <c r="N22" i="6"/>
  <c r="K22" i="6"/>
  <c r="H22" i="6"/>
  <c r="N21" i="6"/>
  <c r="K21" i="6"/>
  <c r="H21" i="6"/>
  <c r="M20" i="6"/>
  <c r="N20" i="6" s="1"/>
  <c r="K20" i="6"/>
  <c r="H20" i="6"/>
  <c r="E19" i="6"/>
  <c r="K19" i="6" s="1"/>
  <c r="E18" i="6"/>
  <c r="H18" i="6" s="1"/>
  <c r="M17" i="6"/>
  <c r="M16" i="6" s="1"/>
  <c r="J17" i="6"/>
  <c r="J16" i="6" s="1"/>
  <c r="G17" i="6"/>
  <c r="G16" i="6" s="1"/>
  <c r="E17" i="6"/>
  <c r="E16" i="6"/>
  <c r="E15" i="6"/>
  <c r="N15" i="6" s="1"/>
  <c r="E14" i="6"/>
  <c r="I14" i="6" s="1"/>
  <c r="E13" i="6"/>
  <c r="O13" i="6" s="1"/>
  <c r="E12" i="6"/>
  <c r="O12" i="6" s="1"/>
  <c r="M11" i="6"/>
  <c r="J11" i="6"/>
  <c r="G11" i="6"/>
  <c r="E11" i="6"/>
  <c r="E10" i="6"/>
  <c r="H10" i="6" s="1"/>
  <c r="H9" i="6"/>
  <c r="E9" i="6"/>
  <c r="N9" i="6" s="1"/>
  <c r="M8" i="6"/>
  <c r="J8" i="6"/>
  <c r="G8" i="6"/>
  <c r="E8" i="6"/>
  <c r="N7" i="6"/>
  <c r="K7" i="6"/>
  <c r="H7" i="6"/>
  <c r="M6" i="6"/>
  <c r="N6" i="6" s="1"/>
  <c r="K6" i="6"/>
  <c r="H6" i="6"/>
  <c r="M5" i="6"/>
  <c r="N5" i="6" s="1"/>
  <c r="K5" i="6"/>
  <c r="H5" i="6"/>
  <c r="N11" i="6" l="1"/>
  <c r="N18" i="6"/>
  <c r="K26" i="6"/>
  <c r="N29" i="6"/>
  <c r="O17" i="6"/>
  <c r="N26" i="6"/>
  <c r="H29" i="6"/>
  <c r="K10" i="6"/>
  <c r="N10" i="6"/>
  <c r="I12" i="6"/>
  <c r="H24" i="6"/>
  <c r="H8" i="6"/>
  <c r="K18" i="6"/>
  <c r="N25" i="6"/>
  <c r="I17" i="6"/>
  <c r="H11" i="6"/>
  <c r="O14" i="6"/>
  <c r="N19" i="6"/>
  <c r="K24" i="6"/>
  <c r="K29" i="6"/>
  <c r="L14" i="6"/>
  <c r="N8" i="6"/>
  <c r="K23" i="6"/>
  <c r="L16" i="6"/>
  <c r="N12" i="6"/>
  <c r="K8" i="6"/>
  <c r="K9" i="6"/>
  <c r="K11" i="6"/>
  <c r="I13" i="6"/>
  <c r="H12" i="6" s="1"/>
  <c r="H15" i="6"/>
  <c r="N23" i="6"/>
  <c r="L17" i="6"/>
  <c r="L13" i="6"/>
  <c r="I16" i="6"/>
  <c r="O16" i="6"/>
  <c r="L12" i="6"/>
  <c r="K15" i="6"/>
  <c r="H19" i="6"/>
  <c r="H25" i="6"/>
  <c r="R21" i="2"/>
  <c r="R22" i="2"/>
  <c r="R27" i="2"/>
  <c r="R28" i="2"/>
  <c r="R30" i="2"/>
  <c r="R31" i="2"/>
  <c r="R7" i="2"/>
  <c r="N20" i="2"/>
  <c r="N21" i="2"/>
  <c r="N22" i="2"/>
  <c r="N27" i="2"/>
  <c r="N30" i="2"/>
  <c r="N31" i="2"/>
  <c r="N6" i="2"/>
  <c r="N7" i="2"/>
  <c r="N5" i="2"/>
  <c r="J31" i="2"/>
  <c r="J30" i="2"/>
  <c r="J28" i="2"/>
  <c r="J27" i="2"/>
  <c r="J22" i="2"/>
  <c r="J21" i="2"/>
  <c r="J20" i="2"/>
  <c r="J6" i="2"/>
  <c r="J7" i="2"/>
  <c r="J5" i="2"/>
  <c r="N16" i="6" l="1"/>
  <c r="N33" i="6" s="1"/>
  <c r="H16" i="6"/>
  <c r="H33" i="6" s="1"/>
  <c r="K16" i="6"/>
  <c r="K12" i="6"/>
  <c r="K33" i="6" s="1"/>
  <c r="E9" i="2"/>
  <c r="E11" i="2"/>
  <c r="N9" i="2" l="1"/>
  <c r="R9" i="2"/>
  <c r="J9" i="2"/>
  <c r="E12" i="2"/>
  <c r="S12" i="2" l="1"/>
  <c r="K12" i="2"/>
  <c r="O12" i="2"/>
  <c r="E29" i="2"/>
  <c r="E8" i="2"/>
  <c r="N29" i="2" l="1"/>
  <c r="J29" i="2"/>
  <c r="E10" i="2"/>
  <c r="E15" i="2"/>
  <c r="E14" i="2"/>
  <c r="E13" i="2"/>
  <c r="E19" i="2"/>
  <c r="E18" i="2"/>
  <c r="Q29" i="2"/>
  <c r="R29" i="2" s="1"/>
  <c r="M28" i="2"/>
  <c r="N28" i="2" s="1"/>
  <c r="E26" i="2"/>
  <c r="E25" i="2"/>
  <c r="E24" i="2"/>
  <c r="E23" i="2"/>
  <c r="Q20" i="2"/>
  <c r="R20" i="2" s="1"/>
  <c r="Q17" i="2"/>
  <c r="Q16" i="2" s="1"/>
  <c r="M17" i="2"/>
  <c r="M16" i="2" s="1"/>
  <c r="I17" i="2"/>
  <c r="I16" i="2" s="1"/>
  <c r="E17" i="2"/>
  <c r="E16" i="2"/>
  <c r="Q11" i="2"/>
  <c r="R11" i="2" s="1"/>
  <c r="M11" i="2"/>
  <c r="N11" i="2" s="1"/>
  <c r="I11" i="2"/>
  <c r="J11" i="2" s="1"/>
  <c r="Q8" i="2"/>
  <c r="R8" i="2" s="1"/>
  <c r="M8" i="2"/>
  <c r="N8" i="2" s="1"/>
  <c r="I8" i="2"/>
  <c r="J8" i="2" s="1"/>
  <c r="Q6" i="2"/>
  <c r="R6" i="2" s="1"/>
  <c r="Q5" i="2"/>
  <c r="R5" i="2" s="1"/>
  <c r="J18" i="2" l="1"/>
  <c r="N18" i="2"/>
  <c r="R18" i="2"/>
  <c r="R19" i="2"/>
  <c r="J19" i="2"/>
  <c r="N19" i="2"/>
  <c r="N23" i="2"/>
  <c r="J23" i="2"/>
  <c r="R23" i="2"/>
  <c r="S13" i="2"/>
  <c r="K13" i="2"/>
  <c r="O13" i="2"/>
  <c r="K14" i="2"/>
  <c r="J12" i="2" s="1"/>
  <c r="O14" i="2"/>
  <c r="S14" i="2"/>
  <c r="J24" i="2"/>
  <c r="N24" i="2"/>
  <c r="R24" i="2"/>
  <c r="O16" i="2"/>
  <c r="K16" i="2"/>
  <c r="S16" i="2"/>
  <c r="R25" i="2"/>
  <c r="J25" i="2"/>
  <c r="N25" i="2"/>
  <c r="R15" i="2"/>
  <c r="J15" i="2"/>
  <c r="N15" i="2"/>
  <c r="O17" i="2"/>
  <c r="S17" i="2"/>
  <c r="K17" i="2"/>
  <c r="J26" i="2"/>
  <c r="R26" i="2"/>
  <c r="N26" i="2"/>
  <c r="N10" i="2"/>
  <c r="R10" i="2"/>
  <c r="J10" i="2"/>
  <c r="J16" i="2"/>
  <c r="N12" i="2" l="1"/>
  <c r="N33" i="2" s="1"/>
  <c r="N16" i="2"/>
  <c r="R12" i="2"/>
  <c r="R16" i="2"/>
  <c r="J33" i="2"/>
  <c r="L16" i="2" s="1"/>
  <c r="R33" i="2" l="1"/>
  <c r="P31" i="2"/>
  <c r="P7" i="2"/>
  <c r="P20" i="2"/>
  <c r="P21" i="2"/>
  <c r="P27" i="2"/>
  <c r="P5" i="2"/>
  <c r="P6" i="2"/>
  <c r="P22" i="2"/>
  <c r="P30" i="2"/>
  <c r="P9" i="2"/>
  <c r="P28" i="2"/>
  <c r="P11" i="2"/>
  <c r="P29" i="2"/>
  <c r="P8" i="2"/>
  <c r="P16" i="2"/>
  <c r="P18" i="2"/>
  <c r="P25" i="2"/>
  <c r="P23" i="2"/>
  <c r="P26" i="2"/>
  <c r="P19" i="2"/>
  <c r="P24" i="2"/>
  <c r="P10" i="2"/>
  <c r="P15" i="2"/>
  <c r="L21" i="2"/>
  <c r="L30" i="2"/>
  <c r="L28" i="2"/>
  <c r="L27" i="2"/>
  <c r="L20" i="2"/>
  <c r="L7" i="2"/>
  <c r="L31" i="2"/>
  <c r="L6" i="2"/>
  <c r="L5" i="2"/>
  <c r="L22" i="2"/>
  <c r="L9" i="2"/>
  <c r="L29" i="2"/>
  <c r="L11" i="2"/>
  <c r="L8" i="2"/>
  <c r="L19" i="2"/>
  <c r="L12" i="2"/>
  <c r="L23" i="2"/>
  <c r="L10" i="2"/>
  <c r="L26" i="2"/>
  <c r="L25" i="2"/>
  <c r="L15" i="2"/>
  <c r="L18" i="2"/>
  <c r="L24" i="2"/>
  <c r="P12" i="2"/>
  <c r="T16" i="2" l="1"/>
  <c r="T27" i="2"/>
  <c r="T11" i="2"/>
  <c r="T21" i="2"/>
  <c r="T20" i="2"/>
  <c r="T23" i="2"/>
  <c r="T30" i="2"/>
  <c r="T8" i="2"/>
  <c r="T22" i="2"/>
  <c r="T6" i="2"/>
  <c r="T12" i="2"/>
  <c r="T28" i="2"/>
  <c r="T29" i="2"/>
  <c r="T19" i="2"/>
  <c r="T15" i="2"/>
  <c r="T18" i="2"/>
  <c r="T5" i="2"/>
  <c r="T24" i="2"/>
  <c r="T7" i="2"/>
  <c r="T26" i="2"/>
  <c r="T25" i="2"/>
  <c r="T9" i="2"/>
  <c r="T10" i="2"/>
  <c r="T31" i="2"/>
  <c r="L33" i="2"/>
  <c r="P33" i="2"/>
  <c r="T33" i="2" l="1"/>
</calcChain>
</file>

<file path=xl/sharedStrings.xml><?xml version="1.0" encoding="utf-8"?>
<sst xmlns="http://schemas.openxmlformats.org/spreadsheetml/2006/main" count="313" uniqueCount="105">
  <si>
    <t>EPS</t>
  </si>
  <si>
    <t>Deploy Solar Array: 2W, 10 sec by 60 sec
(Trial &lt; 10 times)
Transmit Beacon (UHF): TX 1sec by 30 sec
MTQ: 5 sec on : 5 sec off (50% Dipole)</t>
  </si>
  <si>
    <t>Transmit Beacon as Real Time TX</t>
  </si>
  <si>
    <t>Operating
Power
(W)</t>
  </si>
  <si>
    <t>6000 sec on = 100%</t>
  </si>
  <si>
    <t>Operating
Voltage
(V)</t>
  </si>
  <si>
    <t>Operation
Description</t>
  </si>
  <si>
    <t>Multi spectral imager</t>
  </si>
  <si>
    <t>Normal (SA Deployment)</t>
  </si>
  <si>
    <t>* Duty Ref. 1-orbit:</t>
  </si>
  <si>
    <t>* Communication Mode:</t>
  </si>
  <si>
    <t>GNC</t>
  </si>
  <si>
    <t>-</t>
  </si>
  <si>
    <t>RX</t>
  </si>
  <si>
    <t>3U</t>
  </si>
  <si>
    <t>TX</t>
  </si>
  <si>
    <t>Off</t>
  </si>
  <si>
    <t>I2C</t>
  </si>
  <si>
    <t>38.5 Wh</t>
  </si>
  <si>
    <t xml:space="preserve">ADCS </t>
  </si>
  <si>
    <t>L1 Typ.</t>
  </si>
  <si>
    <t>OEM719</t>
  </si>
  <si>
    <t>Date</t>
  </si>
  <si>
    <t>Draft</t>
  </si>
  <si>
    <t>Normal</t>
  </si>
  <si>
    <t>PAYLOAD</t>
  </si>
  <si>
    <t>TW1421</t>
  </si>
  <si>
    <t xml:space="preserve">TT&amp;C </t>
  </si>
  <si>
    <t>Product</t>
  </si>
  <si>
    <t>Author</t>
  </si>
  <si>
    <t>Idle</t>
  </si>
  <si>
    <t>UHF TRX</t>
  </si>
  <si>
    <t>GPS RX</t>
  </si>
  <si>
    <t>Battery</t>
  </si>
  <si>
    <t>Imaging</t>
  </si>
  <si>
    <t>Mission</t>
  </si>
  <si>
    <t>Heater</t>
  </si>
  <si>
    <t>PCDU</t>
  </si>
  <si>
    <t xml:space="preserve">Component </t>
  </si>
  <si>
    <t>Ant deploy</t>
  </si>
  <si>
    <t>Subsystem</t>
  </si>
  <si>
    <t>MTQ X 3EA</t>
  </si>
  <si>
    <t>Description</t>
  </si>
  <si>
    <t>Revision #</t>
  </si>
  <si>
    <t>GPS Ant.</t>
  </si>
  <si>
    <t>S-band Ant.</t>
  </si>
  <si>
    <t>Deployment</t>
  </si>
  <si>
    <t>S-band TRX</t>
  </si>
  <si>
    <t>UHF Ant.</t>
  </si>
  <si>
    <t>Solar Array</t>
  </si>
  <si>
    <t>TX Standby</t>
  </si>
  <si>
    <t>PCM Eff.</t>
  </si>
  <si>
    <t>L+21days ~</t>
  </si>
  <si>
    <t>L+15days ~</t>
  </si>
  <si>
    <t>Geuk-Nam Kim</t>
  </si>
  <si>
    <t>NanoCom AX100</t>
  </si>
  <si>
    <t>NanoCom ANT2000</t>
  </si>
  <si>
    <t>3V3 / 5V BUS</t>
  </si>
  <si>
    <t>CNDH</t>
    <phoneticPr fontId="11" type="noConversion"/>
  </si>
  <si>
    <t>Payload board</t>
    <phoneticPr fontId="11" type="noConversion"/>
  </si>
  <si>
    <t>UHF ANTENNA III</t>
    <phoneticPr fontId="11" type="noConversion"/>
  </si>
  <si>
    <t>2000 rpm</t>
    <phoneticPr fontId="11" type="noConversion"/>
  </si>
  <si>
    <t>zero rpm</t>
    <phoneticPr fontId="11" type="noConversion"/>
  </si>
  <si>
    <t>Star Tracker</t>
    <phoneticPr fontId="11" type="noConversion"/>
  </si>
  <si>
    <t>CuberStar</t>
    <phoneticPr fontId="11" type="noConversion"/>
  </si>
  <si>
    <t>Max.</t>
    <phoneticPr fontId="11" type="noConversion"/>
  </si>
  <si>
    <t>CubeSense S</t>
    <phoneticPr fontId="11" type="noConversion"/>
  </si>
  <si>
    <t>Sun sensor</t>
    <phoneticPr fontId="11" type="noConversion"/>
  </si>
  <si>
    <t>OBC/IFB</t>
    <phoneticPr fontId="11" type="noConversion"/>
  </si>
  <si>
    <t>NanoCom TR-600 + NanoDock SDR</t>
    <phoneticPr fontId="11" type="noConversion"/>
  </si>
  <si>
    <t>SAC Gecko</t>
    <phoneticPr fontId="11" type="noConversion"/>
  </si>
  <si>
    <t>Config, Playback</t>
    <phoneticPr fontId="11" type="noConversion"/>
  </si>
  <si>
    <t>15 mA Max. 
(10 mA Typ.)</t>
    <phoneticPr fontId="11" type="noConversion"/>
  </si>
  <si>
    <t>Cubewheel M</t>
    <phoneticPr fontId="11" type="noConversion"/>
  </si>
  <si>
    <t xml:space="preserve">NanoMind Z7000 </t>
    <phoneticPr fontId="11" type="noConversion"/>
  </si>
  <si>
    <t>RX and TX active</t>
    <phoneticPr fontId="11" type="noConversion"/>
  </si>
  <si>
    <t>TX active</t>
  </si>
  <si>
    <t>Max.</t>
    <phoneticPr fontId="11" type="noConversion"/>
  </si>
  <si>
    <t>RX (idle)</t>
    <phoneticPr fontId="11" type="noConversion"/>
  </si>
  <si>
    <t>Max.
0.142 W Typ.</t>
    <phoneticPr fontId="11" type="noConversion"/>
  </si>
  <si>
    <t>Max.</t>
    <phoneticPr fontId="11" type="noConversion"/>
  </si>
  <si>
    <t>Geuk-Nam Kim</t>
    <phoneticPr fontId="11" type="noConversion"/>
  </si>
  <si>
    <t>Revision 1: Components Update</t>
    <phoneticPr fontId="11" type="noConversion"/>
  </si>
  <si>
    <t>0.13~0.24 Am2</t>
    <phoneticPr fontId="11" type="noConversion"/>
  </si>
  <si>
    <t>Reaction Wheel Assembly (RWA)
X 3EA</t>
    <phoneticPr fontId="11" type="noConversion"/>
  </si>
  <si>
    <t>Fibonacci</t>
    <phoneticPr fontId="11" type="noConversion"/>
  </si>
  <si>
    <t>ADCS Board</t>
    <phoneticPr fontId="11" type="noConversion"/>
  </si>
  <si>
    <t>CubeComputer</t>
    <phoneticPr fontId="11" type="noConversion"/>
  </si>
  <si>
    <t>NanoPower-p31u</t>
    <phoneticPr fontId="11" type="noConversion"/>
  </si>
  <si>
    <t>Idle (I2C)</t>
    <phoneticPr fontId="11" type="noConversion"/>
  </si>
  <si>
    <t>2 X Rod S, 1 X Air</t>
    <phoneticPr fontId="11" type="noConversion"/>
  </si>
  <si>
    <t>Transmit Beacon (UHF): TX 1sec by 30 sec
Manage Operational Schedule
Keep Sun-pointing
MTQ: 5 sec on : 5 sec off (50% Dipole)</t>
    <phoneticPr fontId="11" type="noConversion"/>
  </si>
  <si>
    <t>Transmit Beacon (UHF): TX 1 sec by 30 sec
Transmit HK Data (UHF)
Receive Ground Command (UHF)
Scanning Target and Take a Image: 4 min
MTQ: 5 sec on : 5 sec off (100% Dipole)</t>
    <phoneticPr fontId="11" type="noConversion"/>
  </si>
  <si>
    <t>STM32H753xI</t>
    <phoneticPr fontId="11" type="noConversion"/>
  </si>
  <si>
    <t>Total</t>
    <phoneticPr fontId="11" type="noConversion"/>
  </si>
  <si>
    <t>Percentage
(%)</t>
    <phoneticPr fontId="11" type="noConversion"/>
  </si>
  <si>
    <t>: component Heat
/ Total Heat
* 100(%)</t>
    <phoneticPr fontId="11" type="noConversion"/>
  </si>
  <si>
    <t>Heat Generation(W)
: Operating Power(W) * 
* duty cycle(%) * 0.9</t>
    <phoneticPr fontId="11" type="noConversion"/>
  </si>
  <si>
    <t>Normal Mode
Heat Generation
(W)</t>
    <phoneticPr fontId="11" type="noConversion"/>
  </si>
  <si>
    <t>Solar Array Deployment
Heat Generation
(W)</t>
    <phoneticPr fontId="11" type="noConversion"/>
  </si>
  <si>
    <t>Misson Mode
Heat Generation
(W)</t>
    <phoneticPr fontId="11" type="noConversion"/>
  </si>
  <si>
    <t>Reaction Wheel Assembly
(RWA) X 3EA</t>
    <phoneticPr fontId="11" type="noConversion"/>
  </si>
  <si>
    <t xml:space="preserve">In House </t>
    <phoneticPr fontId="11" type="noConversion"/>
  </si>
  <si>
    <t>CNDH</t>
    <phoneticPr fontId="11" type="noConversion"/>
  </si>
  <si>
    <t>In House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</si>
</sst>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맑은 고딕"/>
    </font>
    <font>
      <sz val="14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24"/>
      <color rgb="FFFFFFFF"/>
      <name val="맑은 고딕"/>
      <family val="3"/>
      <charset val="129"/>
    </font>
    <font>
      <sz val="8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5"/>
      <name val="맑은 고딕"/>
      <family val="3"/>
      <charset val="129"/>
    </font>
    <font>
      <sz val="14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6"/>
      <color theme="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5"/>
      <color theme="1"/>
      <name val="맑은 고딕"/>
      <family val="3"/>
      <charset val="129"/>
    </font>
    <font>
      <b/>
      <sz val="15"/>
      <color theme="1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theme="1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D8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2" fillId="9" borderId="0" applyNumberFormat="0" applyBorder="0" applyAlignment="0" applyProtection="0">
      <alignment vertical="center"/>
    </xf>
  </cellStyleXfs>
  <cellXfs count="131"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1" fillId="0" borderId="0" xfId="0" applyNumberFormat="1" applyFont="1" applyFill="1">
      <alignment vertical="center"/>
    </xf>
    <xf numFmtId="0" fontId="1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3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Alignment="1">
      <alignment vertical="top"/>
    </xf>
    <xf numFmtId="0" fontId="0" fillId="0" borderId="0" xfId="0" applyNumberFormat="1" applyFont="1">
      <alignment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8" fillId="0" borderId="2" xfId="0" applyNumberFormat="1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>
      <alignment vertical="center"/>
    </xf>
    <xf numFmtId="0" fontId="5" fillId="0" borderId="0" xfId="0" applyNumberFormat="1" applyFont="1">
      <alignment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0" fontId="14" fillId="6" borderId="1" xfId="0" applyNumberFormat="1" applyFont="1" applyFill="1" applyBorder="1" applyAlignment="1">
      <alignment horizontal="center" vertical="center" wrapText="1"/>
    </xf>
    <xf numFmtId="0" fontId="14" fillId="5" borderId="1" xfId="0" applyNumberFormat="1" applyFont="1" applyFill="1" applyBorder="1" applyAlignment="1">
      <alignment horizontal="center" vertical="center" wrapText="1"/>
    </xf>
    <xf numFmtId="0" fontId="13" fillId="0" borderId="11" xfId="0" applyNumberFormat="1" applyFont="1" applyFill="1" applyBorder="1" applyAlignment="1">
      <alignment horizontal="center" vertical="center" wrapText="1"/>
    </xf>
    <xf numFmtId="0" fontId="14" fillId="7" borderId="1" xfId="0" applyNumberFormat="1" applyFont="1" applyFill="1" applyBorder="1" applyAlignment="1">
      <alignment horizontal="center" vertical="center" wrapText="1"/>
    </xf>
    <xf numFmtId="0" fontId="14" fillId="0" borderId="10" xfId="0" applyNumberFormat="1" applyFont="1" applyFill="1" applyBorder="1" applyAlignment="1">
      <alignment horizontal="center" vertical="center" wrapText="1"/>
    </xf>
    <xf numFmtId="0" fontId="14" fillId="5" borderId="10" xfId="0" applyNumberFormat="1" applyFont="1" applyFill="1" applyBorder="1" applyAlignment="1">
      <alignment horizontal="center" vertical="center" wrapText="1"/>
    </xf>
    <xf numFmtId="0" fontId="14" fillId="6" borderId="10" xfId="0" applyNumberFormat="1" applyFont="1" applyFill="1" applyBorder="1" applyAlignment="1">
      <alignment horizontal="center" vertical="center" wrapText="1"/>
    </xf>
    <xf numFmtId="0" fontId="14" fillId="0" borderId="0" xfId="0" applyNumberFormat="1" applyFont="1">
      <alignment vertical="center"/>
    </xf>
    <xf numFmtId="10" fontId="13" fillId="0" borderId="1" xfId="0" applyNumberFormat="1" applyFont="1" applyFill="1" applyBorder="1" applyAlignment="1">
      <alignment horizontal="center" vertical="center" wrapText="1"/>
    </xf>
    <xf numFmtId="0" fontId="15" fillId="10" borderId="12" xfId="1" quotePrefix="1" applyNumberFormat="1" applyFont="1" applyFill="1" applyBorder="1" applyAlignment="1">
      <alignment horizontal="center" vertical="center" wrapText="1"/>
    </xf>
    <xf numFmtId="0" fontId="15" fillId="10" borderId="12" xfId="1" applyNumberFormat="1" applyFont="1" applyFill="1" applyBorder="1" applyAlignment="1">
      <alignment horizontal="center" vertical="center" wrapText="1"/>
    </xf>
    <xf numFmtId="0" fontId="14" fillId="10" borderId="1" xfId="0" applyNumberFormat="1" applyFont="1" applyFill="1" applyBorder="1" applyAlignment="1">
      <alignment horizontal="center" vertical="center" wrapText="1"/>
    </xf>
    <xf numFmtId="0" fontId="14" fillId="10" borderId="10" xfId="0" applyNumberFormat="1" applyFont="1" applyFill="1" applyBorder="1" applyAlignment="1">
      <alignment horizontal="center" vertical="center" wrapText="1"/>
    </xf>
    <xf numFmtId="10" fontId="7" fillId="11" borderId="1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Border="1" applyAlignment="1">
      <alignment horizontal="center" vertical="center"/>
    </xf>
    <xf numFmtId="0" fontId="16" fillId="0" borderId="6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4" fillId="6" borderId="10" xfId="0" applyNumberFormat="1" applyFont="1" applyFill="1" applyBorder="1" applyAlignment="1">
      <alignment horizontal="center" vertical="center" wrapText="1"/>
    </xf>
    <xf numFmtId="0" fontId="14" fillId="0" borderId="10" xfId="0" applyNumberFormat="1" applyFont="1" applyFill="1" applyBorder="1" applyAlignment="1">
      <alignment horizontal="center" vertical="center" wrapText="1"/>
    </xf>
    <xf numFmtId="0" fontId="13" fillId="0" borderId="1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9" fontId="7" fillId="0" borderId="1" xfId="0" applyNumberFormat="1" applyFont="1" applyFill="1" applyBorder="1" applyAlignment="1">
      <alignment horizontal="center" vertical="center" wrapText="1"/>
    </xf>
    <xf numFmtId="10" fontId="7" fillId="0" borderId="17" xfId="0" applyNumberFormat="1" applyFont="1" applyFill="1" applyBorder="1" applyAlignment="1">
      <alignment horizontal="center" vertical="center" wrapText="1"/>
    </xf>
    <xf numFmtId="10" fontId="19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24" fillId="0" borderId="1" xfId="0" applyNumberFormat="1" applyFont="1" applyFill="1" applyBorder="1" applyAlignment="1">
      <alignment horizontal="center" vertical="center" wrapText="1"/>
    </xf>
    <xf numFmtId="0" fontId="22" fillId="3" borderId="18" xfId="0" applyNumberFormat="1" applyFont="1" applyFill="1" applyBorder="1" applyAlignment="1">
      <alignment horizontal="center" vertical="center" wrapText="1"/>
    </xf>
    <xf numFmtId="0" fontId="22" fillId="3" borderId="21" xfId="0" applyNumberFormat="1" applyFont="1" applyFill="1" applyBorder="1" applyAlignment="1">
      <alignment horizontal="center" vertical="center" wrapText="1"/>
    </xf>
    <xf numFmtId="0" fontId="25" fillId="0" borderId="22" xfId="0" applyFont="1" applyFill="1" applyBorder="1" applyAlignment="1">
      <alignment horizontal="center" vertical="center" wrapText="1"/>
    </xf>
    <xf numFmtId="0" fontId="24" fillId="0" borderId="21" xfId="0" applyNumberFormat="1" applyFont="1" applyFill="1" applyBorder="1" applyAlignment="1">
      <alignment horizontal="center" vertical="center" wrapText="1"/>
    </xf>
    <xf numFmtId="0" fontId="24" fillId="0" borderId="23" xfId="0" applyNumberFormat="1" applyFont="1" applyFill="1" applyBorder="1" applyAlignment="1">
      <alignment horizontal="center" vertical="center" wrapText="1"/>
    </xf>
    <xf numFmtId="0" fontId="24" fillId="0" borderId="24" xfId="0" applyNumberFormat="1" applyFont="1" applyFill="1" applyBorder="1" applyAlignment="1">
      <alignment horizontal="center" vertical="center" wrapText="1"/>
    </xf>
    <xf numFmtId="0" fontId="25" fillId="0" borderId="25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/>
    </xf>
    <xf numFmtId="0" fontId="26" fillId="0" borderId="25" xfId="0" applyFont="1" applyFill="1" applyBorder="1" applyAlignment="1">
      <alignment horizontal="center" vertical="center" wrapText="1"/>
    </xf>
    <xf numFmtId="0" fontId="18" fillId="13" borderId="10" xfId="0" applyNumberFormat="1" applyFont="1" applyFill="1" applyBorder="1" applyAlignment="1">
      <alignment horizontal="center" vertical="center" wrapText="1"/>
    </xf>
    <xf numFmtId="0" fontId="18" fillId="13" borderId="12" xfId="0" applyNumberFormat="1" applyFont="1" applyFill="1" applyBorder="1" applyAlignment="1">
      <alignment horizontal="center" vertical="center" wrapText="1"/>
    </xf>
    <xf numFmtId="10" fontId="7" fillId="0" borderId="10" xfId="0" applyNumberFormat="1" applyFont="1" applyFill="1" applyBorder="1" applyAlignment="1">
      <alignment horizontal="center" vertical="center" wrapText="1"/>
    </xf>
    <xf numFmtId="10" fontId="7" fillId="0" borderId="13" xfId="0" applyNumberFormat="1" applyFont="1" applyFill="1" applyBorder="1" applyAlignment="1">
      <alignment horizontal="center" vertical="center" wrapText="1"/>
    </xf>
    <xf numFmtId="10" fontId="7" fillId="0" borderId="12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0" fontId="19" fillId="0" borderId="13" xfId="0" applyNumberFormat="1" applyFont="1" applyFill="1" applyBorder="1" applyAlignment="1">
      <alignment horizontal="center" vertical="center" wrapText="1"/>
    </xf>
    <xf numFmtId="10" fontId="19" fillId="0" borderId="12" xfId="0" applyNumberFormat="1" applyFont="1" applyFill="1" applyBorder="1" applyAlignment="1">
      <alignment horizontal="center" vertical="center" wrapText="1"/>
    </xf>
    <xf numFmtId="0" fontId="7" fillId="13" borderId="15" xfId="0" applyNumberFormat="1" applyFont="1" applyFill="1" applyBorder="1" applyAlignment="1">
      <alignment horizontal="center" vertical="center" wrapText="1"/>
    </xf>
    <xf numFmtId="0" fontId="7" fillId="13" borderId="16" xfId="0" applyNumberFormat="1" applyFont="1" applyFill="1" applyBorder="1" applyAlignment="1">
      <alignment horizontal="center" vertical="center" wrapText="1"/>
    </xf>
    <xf numFmtId="0" fontId="7" fillId="13" borderId="17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17" fillId="14" borderId="1" xfId="0" applyNumberFormat="1" applyFont="1" applyFill="1" applyBorder="1" applyAlignment="1">
      <alignment horizontal="center" vertical="center"/>
    </xf>
    <xf numFmtId="0" fontId="18" fillId="13" borderId="1" xfId="0" applyNumberFormat="1" applyFont="1" applyFill="1" applyBorder="1" applyAlignment="1">
      <alignment horizontal="center" vertical="center" wrapText="1"/>
    </xf>
    <xf numFmtId="0" fontId="21" fillId="14" borderId="1" xfId="0" applyNumberFormat="1" applyFont="1" applyFill="1" applyBorder="1" applyAlignment="1">
      <alignment horizontal="center" vertical="center" wrapText="1"/>
    </xf>
    <xf numFmtId="0" fontId="21" fillId="14" borderId="17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0" fontId="20" fillId="0" borderId="17" xfId="0" applyNumberFormat="1" applyFont="1" applyFill="1" applyBorder="1" applyAlignment="1">
      <alignment horizontal="center" vertical="center" wrapText="1"/>
    </xf>
    <xf numFmtId="0" fontId="9" fillId="14" borderId="1" xfId="0" applyNumberFormat="1" applyFont="1" applyFill="1" applyBorder="1" applyAlignment="1">
      <alignment horizontal="center" vertical="center" wrapText="1"/>
    </xf>
    <xf numFmtId="0" fontId="9" fillId="14" borderId="17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7" fillId="0" borderId="17" xfId="0" applyNumberFormat="1" applyFont="1" applyFill="1" applyBorder="1" applyAlignment="1">
      <alignment horizontal="center" vertical="center" wrapText="1"/>
    </xf>
    <xf numFmtId="0" fontId="10" fillId="3" borderId="1" xfId="0" applyNumberFormat="1" applyFont="1" applyFill="1" applyBorder="1" applyAlignment="1">
      <alignment horizontal="center" vertical="center" wrapText="1"/>
    </xf>
    <xf numFmtId="0" fontId="6" fillId="3" borderId="10" xfId="0" applyNumberFormat="1" applyFont="1" applyFill="1" applyBorder="1" applyAlignment="1">
      <alignment horizontal="center" vertical="center" wrapText="1"/>
    </xf>
    <xf numFmtId="0" fontId="6" fillId="3" borderId="13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0" fontId="14" fillId="6" borderId="10" xfId="0" applyNumberFormat="1" applyFont="1" applyFill="1" applyBorder="1" applyAlignment="1">
      <alignment horizontal="center" vertical="center" wrapText="1"/>
    </xf>
    <xf numFmtId="0" fontId="14" fillId="6" borderId="12" xfId="0" applyNumberFormat="1" applyFont="1" applyFill="1" applyBorder="1" applyAlignment="1">
      <alignment horizontal="center" vertical="center" wrapText="1"/>
    </xf>
    <xf numFmtId="0" fontId="14" fillId="5" borderId="10" xfId="0" applyNumberFormat="1" applyFont="1" applyFill="1" applyBorder="1" applyAlignment="1">
      <alignment horizontal="center" vertical="center" wrapText="1"/>
    </xf>
    <xf numFmtId="0" fontId="14" fillId="5" borderId="13" xfId="0" applyNumberFormat="1" applyFont="1" applyFill="1" applyBorder="1" applyAlignment="1">
      <alignment horizontal="center" vertical="center" wrapText="1"/>
    </xf>
    <xf numFmtId="0" fontId="14" fillId="5" borderId="12" xfId="0" applyNumberFormat="1" applyFont="1" applyFill="1" applyBorder="1" applyAlignment="1">
      <alignment horizontal="center" vertical="center" wrapText="1"/>
    </xf>
    <xf numFmtId="0" fontId="14" fillId="8" borderId="10" xfId="0" applyNumberFormat="1" applyFont="1" applyFill="1" applyBorder="1" applyAlignment="1">
      <alignment horizontal="center" vertical="center" wrapText="1"/>
    </xf>
    <xf numFmtId="0" fontId="14" fillId="8" borderId="13" xfId="0" applyNumberFormat="1" applyFont="1" applyFill="1" applyBorder="1" applyAlignment="1">
      <alignment horizontal="center" vertical="center" wrapText="1"/>
    </xf>
    <xf numFmtId="0" fontId="14" fillId="8" borderId="12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13" xfId="0" applyNumberFormat="1" applyFont="1" applyFill="1" applyBorder="1" applyAlignment="1">
      <alignment horizontal="center" vertical="center" wrapText="1"/>
    </xf>
    <xf numFmtId="0" fontId="13" fillId="0" borderId="12" xfId="0" applyNumberFormat="1" applyFont="1" applyFill="1" applyBorder="1" applyAlignment="1">
      <alignment horizontal="center" vertical="center" wrapText="1"/>
    </xf>
    <xf numFmtId="0" fontId="14" fillId="0" borderId="10" xfId="0" applyNumberFormat="1" applyFont="1" applyFill="1" applyBorder="1" applyAlignment="1">
      <alignment horizontal="center" vertical="center" wrapText="1"/>
    </xf>
    <xf numFmtId="0" fontId="14" fillId="0" borderId="13" xfId="0" applyNumberFormat="1" applyFont="1" applyFill="1" applyBorder="1" applyAlignment="1">
      <alignment horizontal="center" vertical="center" wrapText="1"/>
    </xf>
    <xf numFmtId="0" fontId="14" fillId="0" borderId="12" xfId="0" applyNumberFormat="1" applyFont="1" applyFill="1" applyBorder="1" applyAlignment="1">
      <alignment horizontal="center" vertical="center" wrapText="1"/>
    </xf>
    <xf numFmtId="0" fontId="13" fillId="0" borderId="14" xfId="0" applyNumberFormat="1" applyFont="1" applyFill="1" applyBorder="1" applyAlignment="1">
      <alignment horizontal="center" vertical="center" wrapText="1"/>
    </xf>
    <xf numFmtId="0" fontId="13" fillId="0" borderId="11" xfId="0" applyNumberFormat="1" applyFont="1" applyFill="1" applyBorder="1" applyAlignment="1">
      <alignment horizontal="center" vertical="center" wrapText="1"/>
    </xf>
    <xf numFmtId="0" fontId="14" fillId="10" borderId="13" xfId="0" applyNumberFormat="1" applyFont="1" applyFill="1" applyBorder="1" applyAlignment="1">
      <alignment horizontal="center" vertical="center" wrapText="1"/>
    </xf>
    <xf numFmtId="0" fontId="14" fillId="10" borderId="12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22" fillId="3" borderId="19" xfId="0" applyNumberFormat="1" applyFont="1" applyFill="1" applyBorder="1" applyAlignment="1">
      <alignment horizontal="center" vertical="center" wrapText="1"/>
    </xf>
    <xf numFmtId="0" fontId="22" fillId="3" borderId="1" xfId="0" applyNumberFormat="1" applyFont="1" applyFill="1" applyBorder="1" applyAlignment="1">
      <alignment horizontal="center" vertical="center" wrapText="1"/>
    </xf>
    <xf numFmtId="0" fontId="24" fillId="0" borderId="21" xfId="0" applyNumberFormat="1" applyFont="1" applyFill="1" applyBorder="1" applyAlignment="1">
      <alignment horizontal="center" vertical="center" wrapText="1"/>
    </xf>
    <xf numFmtId="0" fontId="23" fillId="15" borderId="20" xfId="0" applyNumberFormat="1" applyFont="1" applyFill="1" applyBorder="1" applyAlignment="1">
      <alignment horizontal="center" vertical="center" wrapText="1"/>
    </xf>
    <xf numFmtId="0" fontId="23" fillId="15" borderId="22" xfId="0" applyNumberFormat="1" applyFont="1" applyFill="1" applyBorder="1" applyAlignment="1">
      <alignment horizontal="center" vertical="center" wrapText="1"/>
    </xf>
    <xf numFmtId="0" fontId="23" fillId="13" borderId="20" xfId="0" applyNumberFormat="1" applyFont="1" applyFill="1" applyBorder="1" applyAlignment="1">
      <alignment horizontal="center" vertical="center" wrapText="1"/>
    </xf>
    <xf numFmtId="0" fontId="23" fillId="13" borderId="22" xfId="0" applyNumberFormat="1" applyFont="1" applyFill="1" applyBorder="1" applyAlignment="1">
      <alignment horizontal="center" vertical="center" wrapText="1"/>
    </xf>
    <xf numFmtId="0" fontId="23" fillId="12" borderId="20" xfId="0" applyNumberFormat="1" applyFont="1" applyFill="1" applyBorder="1" applyAlignment="1">
      <alignment horizontal="center" vertical="center" wrapText="1"/>
    </xf>
    <xf numFmtId="0" fontId="23" fillId="12" borderId="22" xfId="0" applyNumberFormat="1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/>
    </xf>
    <xf numFmtId="0" fontId="21" fillId="6" borderId="1" xfId="0" applyNumberFormat="1" applyFont="1" applyFill="1" applyBorder="1" applyAlignment="1">
      <alignment horizontal="center" vertical="center" wrapText="1"/>
    </xf>
    <xf numFmtId="0" fontId="21" fillId="6" borderId="17" xfId="0" applyNumberFormat="1" applyFont="1" applyFill="1" applyBorder="1" applyAlignment="1">
      <alignment horizontal="center" vertical="center" wrapText="1"/>
    </xf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colors>
    <mruColors>
      <color rgb="FFDCE6F2"/>
      <color rgb="FFFF9D89"/>
      <color rgb="FFFF8989"/>
      <color rgb="FFF3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6"/>
  <sheetViews>
    <sheetView topLeftCell="C1" zoomScale="85" zoomScaleNormal="85" workbookViewId="0">
      <selection activeCell="D3" sqref="D3"/>
    </sheetView>
  </sheetViews>
  <sheetFormatPr defaultColWidth="8.875" defaultRowHeight="16.5" x14ac:dyDescent="0.3"/>
  <cols>
    <col min="1" max="2" width="15.75" style="12" customWidth="1"/>
    <col min="3" max="3" width="20.75" style="12" customWidth="1"/>
    <col min="4" max="4" width="100.75" style="15" customWidth="1"/>
  </cols>
  <sheetData>
    <row r="1" spans="1:4" s="12" customFormat="1" x14ac:dyDescent="0.3">
      <c r="A1" s="9" t="s">
        <v>43</v>
      </c>
      <c r="B1" s="10" t="s">
        <v>22</v>
      </c>
      <c r="C1" s="10" t="s">
        <v>29</v>
      </c>
      <c r="D1" s="11" t="s">
        <v>42</v>
      </c>
    </row>
    <row r="2" spans="1:4" x14ac:dyDescent="0.3">
      <c r="A2" s="13">
        <v>1</v>
      </c>
      <c r="B2" s="14">
        <v>43598</v>
      </c>
      <c r="C2" s="15" t="s">
        <v>54</v>
      </c>
      <c r="D2" s="16" t="s">
        <v>23</v>
      </c>
    </row>
    <row r="3" spans="1:4" x14ac:dyDescent="0.3">
      <c r="A3" s="13">
        <v>2</v>
      </c>
      <c r="B3" s="14">
        <v>43783</v>
      </c>
      <c r="C3" s="45" t="s">
        <v>81</v>
      </c>
      <c r="D3" s="46" t="s">
        <v>82</v>
      </c>
    </row>
    <row r="4" spans="1:4" x14ac:dyDescent="0.3">
      <c r="A4" s="13">
        <v>3</v>
      </c>
      <c r="B4" s="14"/>
      <c r="C4" s="15"/>
      <c r="D4" s="16"/>
    </row>
    <row r="5" spans="1:4" x14ac:dyDescent="0.3">
      <c r="A5" s="13">
        <v>4</v>
      </c>
      <c r="B5" s="14"/>
      <c r="C5" s="15"/>
      <c r="D5" s="16"/>
    </row>
    <row r="6" spans="1:4" x14ac:dyDescent="0.3">
      <c r="A6" s="13">
        <v>5</v>
      </c>
      <c r="B6" s="14"/>
      <c r="C6" s="15"/>
      <c r="D6" s="16"/>
    </row>
    <row r="7" spans="1:4" x14ac:dyDescent="0.3">
      <c r="A7" s="13">
        <v>6</v>
      </c>
      <c r="B7" s="14"/>
      <c r="C7" s="15"/>
      <c r="D7" s="16"/>
    </row>
    <row r="8" spans="1:4" x14ac:dyDescent="0.3">
      <c r="A8" s="13">
        <v>7</v>
      </c>
      <c r="B8" s="14"/>
      <c r="C8" s="15"/>
      <c r="D8" s="16"/>
    </row>
    <row r="9" spans="1:4" x14ac:dyDescent="0.3">
      <c r="A9" s="13">
        <v>8</v>
      </c>
      <c r="B9" s="14"/>
      <c r="C9" s="15"/>
      <c r="D9" s="16"/>
    </row>
    <row r="10" spans="1:4" x14ac:dyDescent="0.3">
      <c r="A10" s="13">
        <v>9</v>
      </c>
      <c r="B10" s="14"/>
      <c r="C10" s="15"/>
      <c r="D10" s="16"/>
    </row>
    <row r="11" spans="1:4" x14ac:dyDescent="0.3">
      <c r="A11" s="20">
        <v>10</v>
      </c>
      <c r="B11" s="14"/>
      <c r="C11" s="15"/>
      <c r="D11" s="16"/>
    </row>
    <row r="12" spans="1:4" x14ac:dyDescent="0.3">
      <c r="A12" s="21">
        <v>11</v>
      </c>
      <c r="B12" s="14"/>
      <c r="C12" s="15"/>
      <c r="D12" s="16"/>
    </row>
    <row r="13" spans="1:4" x14ac:dyDescent="0.3">
      <c r="A13" s="22">
        <v>12</v>
      </c>
      <c r="B13" s="14"/>
      <c r="C13" s="15"/>
      <c r="D13" s="16"/>
    </row>
    <row r="14" spans="1:4" x14ac:dyDescent="0.3">
      <c r="A14" s="25">
        <v>13</v>
      </c>
      <c r="B14" s="14"/>
      <c r="C14" s="15"/>
      <c r="D14" s="16"/>
    </row>
    <row r="15" spans="1:4" x14ac:dyDescent="0.3">
      <c r="A15" s="26">
        <v>14</v>
      </c>
      <c r="B15" s="14"/>
      <c r="C15" s="15"/>
      <c r="D15" s="16"/>
    </row>
    <row r="16" spans="1:4" x14ac:dyDescent="0.3">
      <c r="A16" s="17"/>
      <c r="B16" s="18"/>
      <c r="C16" s="18"/>
      <c r="D16" s="19"/>
    </row>
  </sheetData>
  <phoneticPr fontId="11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T52"/>
  <sheetViews>
    <sheetView showGridLines="0" zoomScale="55" zoomScaleNormal="55" workbookViewId="0">
      <pane xSplit="8" topLeftCell="J1" activePane="topRight" state="frozen"/>
      <selection pane="topRight" activeCell="E28" sqref="E28"/>
    </sheetView>
  </sheetViews>
  <sheetFormatPr defaultColWidth="8.875" defaultRowHeight="16.5" x14ac:dyDescent="0.3"/>
  <cols>
    <col min="1" max="1" width="4.25" customWidth="1"/>
    <col min="2" max="8" width="20.625" customWidth="1"/>
    <col min="9" max="9" width="40.625" customWidth="1"/>
    <col min="10" max="10" width="16.625" customWidth="1"/>
    <col min="11" max="11" width="16.5" customWidth="1"/>
    <col min="12" max="12" width="19.25" customWidth="1"/>
    <col min="13" max="13" width="40.625" customWidth="1"/>
    <col min="14" max="15" width="16.625" customWidth="1"/>
    <col min="16" max="16" width="19.375" customWidth="1"/>
    <col min="17" max="17" width="40.625" customWidth="1"/>
    <col min="18" max="19" width="16.625" customWidth="1"/>
    <col min="20" max="20" width="19.25" customWidth="1"/>
  </cols>
  <sheetData>
    <row r="1" spans="2:20" s="3" customFormat="1" ht="20.25" x14ac:dyDescent="0.3">
      <c r="B1" s="5"/>
      <c r="I1" s="4"/>
      <c r="J1" s="4"/>
      <c r="K1" s="4"/>
      <c r="L1" s="4"/>
      <c r="M1" s="4"/>
      <c r="N1" s="4"/>
      <c r="O1" s="4"/>
      <c r="P1" s="4"/>
      <c r="R1" s="4"/>
      <c r="T1" s="4"/>
    </row>
    <row r="2" spans="2:20" s="6" customFormat="1" ht="55.5" customHeight="1" x14ac:dyDescent="0.3">
      <c r="B2" s="96" t="s">
        <v>14</v>
      </c>
      <c r="C2" s="84" t="s">
        <v>38</v>
      </c>
      <c r="D2" s="84" t="s">
        <v>28</v>
      </c>
      <c r="E2" s="84" t="s">
        <v>3</v>
      </c>
      <c r="F2" s="84" t="s">
        <v>51</v>
      </c>
      <c r="G2" s="84" t="s">
        <v>6</v>
      </c>
      <c r="H2" s="97" t="s">
        <v>5</v>
      </c>
      <c r="I2" s="27" t="s">
        <v>53</v>
      </c>
      <c r="J2" s="86" t="s">
        <v>98</v>
      </c>
      <c r="K2" s="86"/>
      <c r="L2" s="86" t="s">
        <v>95</v>
      </c>
      <c r="M2" s="27" t="s">
        <v>53</v>
      </c>
      <c r="N2" s="86" t="s">
        <v>99</v>
      </c>
      <c r="O2" s="86"/>
      <c r="P2" s="86" t="s">
        <v>95</v>
      </c>
      <c r="Q2" s="24" t="s">
        <v>52</v>
      </c>
      <c r="R2" s="86" t="s">
        <v>100</v>
      </c>
      <c r="S2" s="86"/>
      <c r="T2" s="73" t="s">
        <v>95</v>
      </c>
    </row>
    <row r="3" spans="2:20" ht="39.950000000000003" customHeight="1" x14ac:dyDescent="0.3">
      <c r="B3" s="96"/>
      <c r="C3" s="84"/>
      <c r="D3" s="84"/>
      <c r="E3" s="84"/>
      <c r="F3" s="84"/>
      <c r="G3" s="84"/>
      <c r="H3" s="98"/>
      <c r="I3" s="27" t="s">
        <v>24</v>
      </c>
      <c r="J3" s="86"/>
      <c r="K3" s="86"/>
      <c r="L3" s="86"/>
      <c r="M3" s="27" t="s">
        <v>8</v>
      </c>
      <c r="N3" s="86"/>
      <c r="O3" s="86"/>
      <c r="P3" s="86"/>
      <c r="Q3" s="24" t="s">
        <v>35</v>
      </c>
      <c r="R3" s="86"/>
      <c r="S3" s="86"/>
      <c r="T3" s="74"/>
    </row>
    <row r="4" spans="2:20" ht="150" customHeight="1" x14ac:dyDescent="0.3">
      <c r="B4" s="55" t="s">
        <v>40</v>
      </c>
      <c r="C4" s="84"/>
      <c r="D4" s="84"/>
      <c r="E4" s="84"/>
      <c r="F4" s="84"/>
      <c r="G4" s="84"/>
      <c r="H4" s="99"/>
      <c r="I4" s="8" t="s">
        <v>91</v>
      </c>
      <c r="J4" s="94" t="s">
        <v>97</v>
      </c>
      <c r="K4" s="94"/>
      <c r="L4" s="52" t="s">
        <v>96</v>
      </c>
      <c r="M4" s="8" t="s">
        <v>1</v>
      </c>
      <c r="N4" s="94" t="s">
        <v>97</v>
      </c>
      <c r="O4" s="94"/>
      <c r="P4" s="52" t="s">
        <v>96</v>
      </c>
      <c r="Q4" s="8" t="s">
        <v>92</v>
      </c>
      <c r="R4" s="94" t="s">
        <v>97</v>
      </c>
      <c r="S4" s="94"/>
      <c r="T4" s="52" t="s">
        <v>96</v>
      </c>
    </row>
    <row r="5" spans="2:20" s="3" customFormat="1" ht="28.5" customHeight="1" x14ac:dyDescent="0.3">
      <c r="B5" s="108" t="s">
        <v>25</v>
      </c>
      <c r="C5" s="111" t="s">
        <v>7</v>
      </c>
      <c r="D5" s="111" t="s">
        <v>70</v>
      </c>
      <c r="E5" s="30">
        <v>2.85</v>
      </c>
      <c r="F5" s="111">
        <v>0.9</v>
      </c>
      <c r="G5" s="30" t="s">
        <v>34</v>
      </c>
      <c r="H5" s="102">
        <v>5</v>
      </c>
      <c r="I5" s="23">
        <v>0</v>
      </c>
      <c r="J5" s="89">
        <f>E5*I5*0.9</f>
        <v>0</v>
      </c>
      <c r="K5" s="89"/>
      <c r="L5" s="23">
        <f>J5/$J$33</f>
        <v>0</v>
      </c>
      <c r="M5" s="23">
        <v>0</v>
      </c>
      <c r="N5" s="89">
        <f>E5*M5*0.9</f>
        <v>0</v>
      </c>
      <c r="O5" s="95"/>
      <c r="P5" s="23">
        <f>N5/$N$33</f>
        <v>0</v>
      </c>
      <c r="Q5" s="23">
        <f>300*2/5900</f>
        <v>0.10169491525423729</v>
      </c>
      <c r="R5" s="87">
        <f>E5*Q5*0.9</f>
        <v>0.2608474576271187</v>
      </c>
      <c r="S5" s="88"/>
      <c r="T5" s="57">
        <f>R5/$R$33</f>
        <v>2.9568851134711149E-2</v>
      </c>
    </row>
    <row r="6" spans="2:20" s="3" customFormat="1" ht="24" x14ac:dyDescent="0.3">
      <c r="B6" s="109"/>
      <c r="C6" s="112"/>
      <c r="D6" s="113"/>
      <c r="E6" s="30">
        <v>1.65</v>
      </c>
      <c r="F6" s="112"/>
      <c r="G6" s="30" t="s">
        <v>71</v>
      </c>
      <c r="H6" s="104"/>
      <c r="I6" s="23">
        <v>0</v>
      </c>
      <c r="J6" s="89">
        <f t="shared" ref="J6:J11" si="0">E6*I6*0.9</f>
        <v>0</v>
      </c>
      <c r="K6" s="89"/>
      <c r="L6" s="23">
        <f t="shared" ref="L6:L30" si="1">J6/$J$33</f>
        <v>0</v>
      </c>
      <c r="M6" s="23">
        <v>0</v>
      </c>
      <c r="N6" s="89">
        <f t="shared" ref="N6:N11" si="2">E6*M6*0.9</f>
        <v>0</v>
      </c>
      <c r="O6" s="95"/>
      <c r="P6" s="23">
        <f t="shared" ref="P6:P31" si="3">N6/$N$33</f>
        <v>0</v>
      </c>
      <c r="Q6" s="23">
        <f>300*4/5900</f>
        <v>0.20338983050847459</v>
      </c>
      <c r="R6" s="87">
        <f t="shared" ref="R6:R11" si="4">E6*Q6*0.9</f>
        <v>0.30203389830508476</v>
      </c>
      <c r="S6" s="88"/>
      <c r="T6" s="57">
        <f t="shared" ref="T6:T31" si="5">R6/$R$33</f>
        <v>3.4237617103349743E-2</v>
      </c>
    </row>
    <row r="7" spans="2:20" s="3" customFormat="1" ht="26.25" x14ac:dyDescent="0.3">
      <c r="B7" s="114" t="s">
        <v>11</v>
      </c>
      <c r="C7" s="30" t="s">
        <v>32</v>
      </c>
      <c r="D7" s="30" t="s">
        <v>21</v>
      </c>
      <c r="E7" s="30">
        <v>0.9</v>
      </c>
      <c r="F7" s="112"/>
      <c r="G7" s="30" t="s">
        <v>20</v>
      </c>
      <c r="H7" s="31">
        <v>3.3</v>
      </c>
      <c r="I7" s="23">
        <v>1</v>
      </c>
      <c r="J7" s="92">
        <f t="shared" si="0"/>
        <v>0.81</v>
      </c>
      <c r="K7" s="92"/>
      <c r="L7" s="58">
        <f t="shared" si="1"/>
        <v>0.1617098117428275</v>
      </c>
      <c r="M7" s="23">
        <v>1</v>
      </c>
      <c r="N7" s="92">
        <f t="shared" si="2"/>
        <v>0.81</v>
      </c>
      <c r="O7" s="93"/>
      <c r="P7" s="23">
        <f t="shared" si="3"/>
        <v>0.14065008992489544</v>
      </c>
      <c r="Q7" s="23">
        <v>1</v>
      </c>
      <c r="R7" s="87">
        <f t="shared" si="4"/>
        <v>0.81</v>
      </c>
      <c r="S7" s="88"/>
      <c r="T7" s="57">
        <f t="shared" si="5"/>
        <v>9.1819064049892499E-2</v>
      </c>
    </row>
    <row r="8" spans="2:20" s="3" customFormat="1" ht="40.5" x14ac:dyDescent="0.3">
      <c r="B8" s="115"/>
      <c r="C8" s="30" t="s">
        <v>44</v>
      </c>
      <c r="D8" s="30" t="s">
        <v>26</v>
      </c>
      <c r="E8" s="30">
        <f>0.015*3.3</f>
        <v>4.9499999999999995E-2</v>
      </c>
      <c r="F8" s="112"/>
      <c r="G8" s="30" t="s">
        <v>72</v>
      </c>
      <c r="H8" s="31">
        <v>3.3</v>
      </c>
      <c r="I8" s="23">
        <f t="shared" ref="I8:Q8" si="6">I7</f>
        <v>1</v>
      </c>
      <c r="J8" s="92">
        <f t="shared" si="0"/>
        <v>4.4549999999999999E-2</v>
      </c>
      <c r="K8" s="92"/>
      <c r="L8" s="23">
        <f t="shared" si="1"/>
        <v>8.8940396458555109E-3</v>
      </c>
      <c r="M8" s="23">
        <f t="shared" si="6"/>
        <v>1</v>
      </c>
      <c r="N8" s="92">
        <f t="shared" si="2"/>
        <v>4.4549999999999999E-2</v>
      </c>
      <c r="O8" s="93"/>
      <c r="P8" s="23">
        <f t="shared" si="3"/>
        <v>7.7357549458692493E-3</v>
      </c>
      <c r="Q8" s="23">
        <f t="shared" si="6"/>
        <v>1</v>
      </c>
      <c r="R8" s="87">
        <f t="shared" si="4"/>
        <v>4.4549999999999999E-2</v>
      </c>
      <c r="S8" s="88"/>
      <c r="T8" s="57">
        <f t="shared" si="5"/>
        <v>5.0500485227440873E-3</v>
      </c>
    </row>
    <row r="9" spans="2:20" s="3" customFormat="1" ht="26.25" x14ac:dyDescent="0.3">
      <c r="B9" s="108" t="s">
        <v>19</v>
      </c>
      <c r="C9" s="30" t="s">
        <v>86</v>
      </c>
      <c r="D9" s="30" t="s">
        <v>87</v>
      </c>
      <c r="E9" s="30">
        <f>3.3*(0.039+0.006+0.025+0.004+0.015+0.025+0.027+0.06)</f>
        <v>0.6633</v>
      </c>
      <c r="F9" s="112"/>
      <c r="G9" s="30" t="s">
        <v>85</v>
      </c>
      <c r="H9" s="31">
        <v>3.3</v>
      </c>
      <c r="I9" s="23">
        <v>1</v>
      </c>
      <c r="J9" s="92">
        <f t="shared" si="0"/>
        <v>0.59697</v>
      </c>
      <c r="K9" s="92"/>
      <c r="L9" s="58">
        <f t="shared" si="1"/>
        <v>0.11918013125446385</v>
      </c>
      <c r="M9" s="23">
        <v>1</v>
      </c>
      <c r="N9" s="92">
        <f t="shared" si="2"/>
        <v>0.59697</v>
      </c>
      <c r="O9" s="93"/>
      <c r="P9" s="23">
        <f t="shared" si="3"/>
        <v>0.10365911627464794</v>
      </c>
      <c r="Q9" s="23">
        <v>1</v>
      </c>
      <c r="R9" s="87">
        <f t="shared" si="4"/>
        <v>0.59697</v>
      </c>
      <c r="S9" s="88"/>
      <c r="T9" s="57">
        <f t="shared" si="5"/>
        <v>6.7670650204770769E-2</v>
      </c>
    </row>
    <row r="10" spans="2:20" s="3" customFormat="1" ht="26.25" x14ac:dyDescent="0.3">
      <c r="B10" s="109"/>
      <c r="C10" s="30" t="s">
        <v>67</v>
      </c>
      <c r="D10" s="30" t="s">
        <v>66</v>
      </c>
      <c r="E10" s="30">
        <f>200/1000</f>
        <v>0.2</v>
      </c>
      <c r="F10" s="112"/>
      <c r="G10" s="30" t="s">
        <v>65</v>
      </c>
      <c r="H10" s="31">
        <v>3.3</v>
      </c>
      <c r="I10" s="23">
        <v>1</v>
      </c>
      <c r="J10" s="92">
        <f t="shared" si="0"/>
        <v>0.18000000000000002</v>
      </c>
      <c r="K10" s="92"/>
      <c r="L10" s="58">
        <f t="shared" si="1"/>
        <v>3.593551372062833E-2</v>
      </c>
      <c r="M10" s="23">
        <v>1</v>
      </c>
      <c r="N10" s="92">
        <f t="shared" si="2"/>
        <v>0.18000000000000002</v>
      </c>
      <c r="O10" s="93"/>
      <c r="P10" s="23">
        <f t="shared" si="3"/>
        <v>3.1255575538865661E-2</v>
      </c>
      <c r="Q10" s="23">
        <v>1</v>
      </c>
      <c r="R10" s="87">
        <f t="shared" si="4"/>
        <v>0.18000000000000002</v>
      </c>
      <c r="S10" s="88"/>
      <c r="T10" s="57">
        <f t="shared" si="5"/>
        <v>2.0404236455531667E-2</v>
      </c>
    </row>
    <row r="11" spans="2:20" s="3" customFormat="1" ht="24" customHeight="1" x14ac:dyDescent="0.3">
      <c r="B11" s="109"/>
      <c r="C11" s="30" t="s">
        <v>41</v>
      </c>
      <c r="D11" s="30" t="s">
        <v>90</v>
      </c>
      <c r="E11" s="30">
        <f>2*0.15*2.5 + 1*0.15*5</f>
        <v>1.5</v>
      </c>
      <c r="F11" s="112"/>
      <c r="G11" s="30" t="s">
        <v>83</v>
      </c>
      <c r="H11" s="32">
        <v>5</v>
      </c>
      <c r="I11" s="23">
        <f>5/10*0.5</f>
        <v>0.25</v>
      </c>
      <c r="J11" s="92">
        <f t="shared" si="0"/>
        <v>0.33750000000000002</v>
      </c>
      <c r="K11" s="92"/>
      <c r="L11" s="58">
        <f t="shared" si="1"/>
        <v>6.7379088226178122E-2</v>
      </c>
      <c r="M11" s="23">
        <f>5/10*0.5</f>
        <v>0.25</v>
      </c>
      <c r="N11" s="92">
        <f t="shared" si="2"/>
        <v>0.33750000000000002</v>
      </c>
      <c r="O11" s="93"/>
      <c r="P11" s="23">
        <f t="shared" si="3"/>
        <v>5.8604204135373109E-2</v>
      </c>
      <c r="Q11" s="23">
        <f>5/10*1</f>
        <v>0.5</v>
      </c>
      <c r="R11" s="87">
        <f t="shared" si="4"/>
        <v>0.67500000000000004</v>
      </c>
      <c r="S11" s="88"/>
      <c r="T11" s="57">
        <f t="shared" si="5"/>
        <v>7.6515886708243747E-2</v>
      </c>
    </row>
    <row r="12" spans="2:20" s="3" customFormat="1" ht="24" customHeight="1" x14ac:dyDescent="0.3">
      <c r="B12" s="109"/>
      <c r="C12" s="111" t="s">
        <v>84</v>
      </c>
      <c r="D12" s="111" t="s">
        <v>73</v>
      </c>
      <c r="E12" s="30">
        <f>2.3*3</f>
        <v>6.8999999999999995</v>
      </c>
      <c r="F12" s="112"/>
      <c r="G12" s="30" t="s">
        <v>80</v>
      </c>
      <c r="H12" s="34">
        <v>16</v>
      </c>
      <c r="I12" s="23">
        <v>0.25</v>
      </c>
      <c r="J12" s="85">
        <f>SUM(K12:K14)</f>
        <v>1.6466624999999999</v>
      </c>
      <c r="K12" s="51">
        <f>E12*I12*0.9</f>
        <v>1.5525</v>
      </c>
      <c r="L12" s="78">
        <f t="shared" si="1"/>
        <v>0.32874257145552299</v>
      </c>
      <c r="M12" s="23">
        <v>0.25</v>
      </c>
      <c r="N12" s="85">
        <f>SUM(O12:O14)</f>
        <v>1.6466624999999999</v>
      </c>
      <c r="O12" s="51">
        <f>E12*M12*0.9</f>
        <v>1.5525</v>
      </c>
      <c r="P12" s="75">
        <f t="shared" si="3"/>
        <v>0.28592991197648537</v>
      </c>
      <c r="Q12" s="23">
        <v>0.5</v>
      </c>
      <c r="R12" s="85">
        <f>SUM(S12:S14)</f>
        <v>3.1546125000000003</v>
      </c>
      <c r="S12" s="51">
        <f>E12*Q12*0.9</f>
        <v>3.105</v>
      </c>
      <c r="T12" s="75">
        <f t="shared" si="5"/>
        <v>0.35759699653097721</v>
      </c>
    </row>
    <row r="13" spans="2:20" s="3" customFormat="1" ht="24" customHeight="1" x14ac:dyDescent="0.3">
      <c r="B13" s="109"/>
      <c r="C13" s="112"/>
      <c r="D13" s="112"/>
      <c r="E13" s="30">
        <f>3*66/1000</f>
        <v>0.19800000000000001</v>
      </c>
      <c r="F13" s="112"/>
      <c r="G13" s="30" t="s">
        <v>61</v>
      </c>
      <c r="H13" s="32">
        <v>5</v>
      </c>
      <c r="I13" s="23">
        <v>0.5</v>
      </c>
      <c r="J13" s="85"/>
      <c r="K13" s="51">
        <f t="shared" ref="K13:K14" si="7">E13*I13*0.9</f>
        <v>8.9100000000000013E-2</v>
      </c>
      <c r="L13" s="79"/>
      <c r="M13" s="23">
        <v>0.5</v>
      </c>
      <c r="N13" s="85"/>
      <c r="O13" s="51">
        <f t="shared" ref="O13:O14" si="8">E13*M13*0.9</f>
        <v>8.9100000000000013E-2</v>
      </c>
      <c r="P13" s="76"/>
      <c r="Q13" s="23">
        <v>0.25</v>
      </c>
      <c r="R13" s="85"/>
      <c r="S13" s="51">
        <f t="shared" ref="S13:S14" si="9">E13*Q13*0.9</f>
        <v>4.4550000000000006E-2</v>
      </c>
      <c r="T13" s="76"/>
    </row>
    <row r="14" spans="2:20" s="3" customFormat="1" ht="24" customHeight="1" x14ac:dyDescent="0.3">
      <c r="B14" s="109"/>
      <c r="C14" s="113"/>
      <c r="D14" s="113"/>
      <c r="E14" s="30">
        <f>3*7.5/1000</f>
        <v>2.2499999999999999E-2</v>
      </c>
      <c r="F14" s="112"/>
      <c r="G14" s="30" t="s">
        <v>62</v>
      </c>
      <c r="H14" s="48">
        <v>3.3</v>
      </c>
      <c r="I14" s="23">
        <v>0.25</v>
      </c>
      <c r="J14" s="85"/>
      <c r="K14" s="51">
        <f t="shared" si="7"/>
        <v>5.0625000000000002E-3</v>
      </c>
      <c r="L14" s="80"/>
      <c r="M14" s="23">
        <v>0.25</v>
      </c>
      <c r="N14" s="85"/>
      <c r="O14" s="51">
        <f t="shared" si="8"/>
        <v>5.0625000000000002E-3</v>
      </c>
      <c r="P14" s="77"/>
      <c r="Q14" s="23">
        <v>0.25</v>
      </c>
      <c r="R14" s="85"/>
      <c r="S14" s="51">
        <f t="shared" si="9"/>
        <v>5.0625000000000002E-3</v>
      </c>
      <c r="T14" s="77"/>
    </row>
    <row r="15" spans="2:20" s="38" customFormat="1" ht="40.5" x14ac:dyDescent="0.3">
      <c r="B15" s="110"/>
      <c r="C15" s="30" t="s">
        <v>63</v>
      </c>
      <c r="D15" s="30" t="s">
        <v>64</v>
      </c>
      <c r="E15" s="30">
        <f>264/1000</f>
        <v>0.26400000000000001</v>
      </c>
      <c r="F15" s="112"/>
      <c r="G15" s="30" t="s">
        <v>79</v>
      </c>
      <c r="H15" s="31">
        <v>3.3</v>
      </c>
      <c r="I15" s="39">
        <v>0</v>
      </c>
      <c r="J15" s="89">
        <f>E15*I15*0.9</f>
        <v>0</v>
      </c>
      <c r="K15" s="89"/>
      <c r="L15" s="23">
        <f t="shared" si="1"/>
        <v>0</v>
      </c>
      <c r="M15" s="39">
        <v>0</v>
      </c>
      <c r="N15" s="89">
        <f>E15*M15*0.9</f>
        <v>0</v>
      </c>
      <c r="O15" s="95"/>
      <c r="P15" s="23">
        <f t="shared" si="3"/>
        <v>0</v>
      </c>
      <c r="Q15" s="39">
        <v>0.5</v>
      </c>
      <c r="R15" s="87">
        <f>E15*Q15*0.9</f>
        <v>0.1188</v>
      </c>
      <c r="S15" s="88"/>
      <c r="T15" s="57">
        <f t="shared" si="5"/>
        <v>1.3466796060650901E-2</v>
      </c>
    </row>
    <row r="16" spans="2:20" s="3" customFormat="1" ht="26.25" customHeight="1" x14ac:dyDescent="0.3">
      <c r="B16" s="108" t="s">
        <v>27</v>
      </c>
      <c r="C16" s="111" t="s">
        <v>31</v>
      </c>
      <c r="D16" s="111" t="s">
        <v>55</v>
      </c>
      <c r="E16" s="30">
        <f>3.3*120/1000</f>
        <v>0.39600000000000002</v>
      </c>
      <c r="F16" s="112"/>
      <c r="G16" s="30" t="s">
        <v>13</v>
      </c>
      <c r="H16" s="100">
        <v>3.3</v>
      </c>
      <c r="I16" s="23">
        <f t="shared" ref="I16:Q16" si="10">1-I17</f>
        <v>0.96666666666666667</v>
      </c>
      <c r="J16" s="85">
        <f>SUM(K16:K17)</f>
        <v>0.42867000000000005</v>
      </c>
      <c r="K16" s="51">
        <f t="shared" ref="K16:K17" si="11">E16*I16*0.9</f>
        <v>0.34452000000000005</v>
      </c>
      <c r="L16" s="78">
        <f>J16/$J$33</f>
        <v>8.5580425925676371E-2</v>
      </c>
      <c r="M16" s="23">
        <f t="shared" si="10"/>
        <v>0.96666666666666667</v>
      </c>
      <c r="N16" s="85">
        <f>SUM(O16:O17)</f>
        <v>0.42867000000000005</v>
      </c>
      <c r="O16" s="51">
        <f>E16*M16*0.9</f>
        <v>0.34452000000000005</v>
      </c>
      <c r="P16" s="75">
        <f t="shared" si="3"/>
        <v>7.4435153145808564E-2</v>
      </c>
      <c r="Q16" s="23">
        <f t="shared" si="10"/>
        <v>0.89548022598870058</v>
      </c>
      <c r="R16" s="85">
        <f>SUM(S16:S17)</f>
        <v>0.58300932203389833</v>
      </c>
      <c r="S16" s="51">
        <f>E16*Q16*0.9</f>
        <v>0.31914915254237292</v>
      </c>
      <c r="T16" s="75">
        <f t="shared" si="5"/>
        <v>6.6088111458660379E-2</v>
      </c>
    </row>
    <row r="17" spans="2:20" s="3" customFormat="1" ht="24" customHeight="1" x14ac:dyDescent="0.3">
      <c r="B17" s="109"/>
      <c r="C17" s="113"/>
      <c r="D17" s="113"/>
      <c r="E17" s="30">
        <f>3.3*850/1000</f>
        <v>2.8050000000000002</v>
      </c>
      <c r="F17" s="112"/>
      <c r="G17" s="30" t="s">
        <v>15</v>
      </c>
      <c r="H17" s="101"/>
      <c r="I17" s="23">
        <f t="shared" ref="I17:M17" si="12">1/30</f>
        <v>3.3333333333333333E-2</v>
      </c>
      <c r="J17" s="85"/>
      <c r="K17" s="51">
        <f t="shared" si="11"/>
        <v>8.4150000000000003E-2</v>
      </c>
      <c r="L17" s="80"/>
      <c r="M17" s="23">
        <f t="shared" si="12"/>
        <v>3.3333333333333333E-2</v>
      </c>
      <c r="N17" s="85"/>
      <c r="O17" s="51">
        <f>E17*M17*0.9</f>
        <v>8.4150000000000003E-2</v>
      </c>
      <c r="P17" s="77"/>
      <c r="Q17" s="23">
        <f>1/30+(60*2+300)/5900</f>
        <v>0.10451977401129944</v>
      </c>
      <c r="R17" s="85"/>
      <c r="S17" s="51">
        <f>E17*Q17*0.9</f>
        <v>0.26386016949152546</v>
      </c>
      <c r="T17" s="77"/>
    </row>
    <row r="18" spans="2:20" s="3" customFormat="1" ht="24" x14ac:dyDescent="0.3">
      <c r="B18" s="109"/>
      <c r="C18" s="111" t="s">
        <v>48</v>
      </c>
      <c r="D18" s="111" t="s">
        <v>60</v>
      </c>
      <c r="E18" s="30">
        <f>5*2/1000</f>
        <v>0.01</v>
      </c>
      <c r="F18" s="112"/>
      <c r="G18" s="30" t="s">
        <v>89</v>
      </c>
      <c r="H18" s="102">
        <v>5</v>
      </c>
      <c r="I18" s="23">
        <v>1</v>
      </c>
      <c r="J18" s="89">
        <f t="shared" ref="J18:J31" si="13">E18*I18*0.9</f>
        <v>9.0000000000000011E-3</v>
      </c>
      <c r="K18" s="89"/>
      <c r="L18" s="23">
        <f t="shared" si="1"/>
        <v>1.7967756860314166E-3</v>
      </c>
      <c r="M18" s="23">
        <v>1</v>
      </c>
      <c r="N18" s="89">
        <f>E18*M18*0.9</f>
        <v>9.0000000000000011E-3</v>
      </c>
      <c r="O18" s="95"/>
      <c r="P18" s="23">
        <f t="shared" si="3"/>
        <v>1.5627787769432828E-3</v>
      </c>
      <c r="Q18" s="23">
        <v>1</v>
      </c>
      <c r="R18" s="90">
        <f>E18*Q18*0.9</f>
        <v>9.0000000000000011E-3</v>
      </c>
      <c r="S18" s="91"/>
      <c r="T18" s="57">
        <f t="shared" si="5"/>
        <v>1.0202118227765834E-3</v>
      </c>
    </row>
    <row r="19" spans="2:20" s="3" customFormat="1" ht="24" x14ac:dyDescent="0.3">
      <c r="B19" s="109"/>
      <c r="C19" s="113"/>
      <c r="D19" s="113"/>
      <c r="E19" s="30">
        <f>5*1120/1000</f>
        <v>5.6</v>
      </c>
      <c r="F19" s="112"/>
      <c r="G19" s="30" t="s">
        <v>46</v>
      </c>
      <c r="H19" s="104"/>
      <c r="I19" s="23">
        <v>0</v>
      </c>
      <c r="J19" s="89">
        <f t="shared" si="13"/>
        <v>0</v>
      </c>
      <c r="K19" s="89"/>
      <c r="L19" s="23">
        <f t="shared" si="1"/>
        <v>0</v>
      </c>
      <c r="M19" s="23">
        <v>0</v>
      </c>
      <c r="N19" s="89">
        <f t="shared" ref="N19:N31" si="14">E19*M19*0.9</f>
        <v>0</v>
      </c>
      <c r="O19" s="95"/>
      <c r="P19" s="23">
        <f t="shared" si="3"/>
        <v>0</v>
      </c>
      <c r="Q19" s="23">
        <v>0</v>
      </c>
      <c r="R19" s="90">
        <f t="shared" ref="R19:R31" si="15">E19*Q19*0.9</f>
        <v>0</v>
      </c>
      <c r="S19" s="91"/>
      <c r="T19" s="57">
        <f t="shared" si="5"/>
        <v>0</v>
      </c>
    </row>
    <row r="20" spans="2:20" s="3" customFormat="1" ht="24" x14ac:dyDescent="0.3">
      <c r="B20" s="109"/>
      <c r="C20" s="116" t="s">
        <v>47</v>
      </c>
      <c r="D20" s="116" t="s">
        <v>69</v>
      </c>
      <c r="E20" s="40">
        <v>3.88</v>
      </c>
      <c r="F20" s="112"/>
      <c r="G20" s="41" t="s">
        <v>78</v>
      </c>
      <c r="H20" s="102">
        <v>5</v>
      </c>
      <c r="I20" s="44">
        <v>0</v>
      </c>
      <c r="J20" s="89">
        <f t="shared" si="13"/>
        <v>0</v>
      </c>
      <c r="K20" s="89"/>
      <c r="L20" s="23">
        <f t="shared" si="1"/>
        <v>0</v>
      </c>
      <c r="M20" s="23">
        <v>0</v>
      </c>
      <c r="N20" s="89">
        <f t="shared" si="14"/>
        <v>0</v>
      </c>
      <c r="O20" s="95"/>
      <c r="P20" s="23">
        <f t="shared" si="3"/>
        <v>0</v>
      </c>
      <c r="Q20" s="23">
        <f>300*4/5900</f>
        <v>0.20338983050847459</v>
      </c>
      <c r="R20" s="87">
        <f t="shared" si="15"/>
        <v>0.71023728813559328</v>
      </c>
      <c r="S20" s="88"/>
      <c r="T20" s="57">
        <f t="shared" si="5"/>
        <v>8.0510275370301226E-2</v>
      </c>
    </row>
    <row r="21" spans="2:20" s="3" customFormat="1" ht="24" x14ac:dyDescent="0.3">
      <c r="B21" s="109"/>
      <c r="C21" s="116"/>
      <c r="D21" s="116"/>
      <c r="E21" s="40">
        <v>4.0999999999999996</v>
      </c>
      <c r="F21" s="112"/>
      <c r="G21" s="41" t="s">
        <v>76</v>
      </c>
      <c r="H21" s="103"/>
      <c r="I21" s="44">
        <v>0</v>
      </c>
      <c r="J21" s="89">
        <f t="shared" si="13"/>
        <v>0</v>
      </c>
      <c r="K21" s="89"/>
      <c r="L21" s="23">
        <f t="shared" si="1"/>
        <v>0</v>
      </c>
      <c r="M21" s="23">
        <v>0</v>
      </c>
      <c r="N21" s="89">
        <f t="shared" si="14"/>
        <v>0</v>
      </c>
      <c r="O21" s="95"/>
      <c r="P21" s="23">
        <f t="shared" si="3"/>
        <v>0</v>
      </c>
      <c r="Q21" s="23">
        <v>0</v>
      </c>
      <c r="R21" s="90">
        <f t="shared" si="15"/>
        <v>0</v>
      </c>
      <c r="S21" s="91"/>
      <c r="T21" s="57">
        <f t="shared" si="5"/>
        <v>0</v>
      </c>
    </row>
    <row r="22" spans="2:20" s="3" customFormat="1" ht="24" x14ac:dyDescent="0.3">
      <c r="B22" s="109"/>
      <c r="C22" s="117"/>
      <c r="D22" s="117"/>
      <c r="E22" s="40">
        <v>4.13</v>
      </c>
      <c r="F22" s="112"/>
      <c r="G22" s="42" t="s">
        <v>75</v>
      </c>
      <c r="H22" s="104"/>
      <c r="I22" s="44">
        <v>0</v>
      </c>
      <c r="J22" s="89">
        <f t="shared" si="13"/>
        <v>0</v>
      </c>
      <c r="K22" s="89"/>
      <c r="L22" s="23">
        <f t="shared" si="1"/>
        <v>0</v>
      </c>
      <c r="M22" s="23">
        <v>0</v>
      </c>
      <c r="N22" s="89">
        <f t="shared" si="14"/>
        <v>0</v>
      </c>
      <c r="O22" s="95"/>
      <c r="P22" s="23">
        <f t="shared" si="3"/>
        <v>0</v>
      </c>
      <c r="Q22" s="23">
        <v>0</v>
      </c>
      <c r="R22" s="90">
        <f t="shared" si="15"/>
        <v>0</v>
      </c>
      <c r="S22" s="91"/>
      <c r="T22" s="57">
        <f t="shared" si="5"/>
        <v>0</v>
      </c>
    </row>
    <row r="23" spans="2:20" s="3" customFormat="1" ht="24" x14ac:dyDescent="0.3">
      <c r="B23" s="109"/>
      <c r="C23" s="111" t="s">
        <v>45</v>
      </c>
      <c r="D23" s="111" t="s">
        <v>56</v>
      </c>
      <c r="E23" s="30">
        <f>1.8/1000</f>
        <v>1.8E-3</v>
      </c>
      <c r="F23" s="112"/>
      <c r="G23" s="30" t="s">
        <v>16</v>
      </c>
      <c r="H23" s="105">
        <v>16</v>
      </c>
      <c r="I23" s="23">
        <v>1</v>
      </c>
      <c r="J23" s="89">
        <f t="shared" si="13"/>
        <v>1.6199999999999999E-3</v>
      </c>
      <c r="K23" s="89"/>
      <c r="L23" s="23">
        <f t="shared" si="1"/>
        <v>3.2341962348565495E-4</v>
      </c>
      <c r="M23" s="23">
        <v>1</v>
      </c>
      <c r="N23" s="89">
        <f t="shared" si="14"/>
        <v>1.6199999999999999E-3</v>
      </c>
      <c r="O23" s="95"/>
      <c r="P23" s="23">
        <f t="shared" si="3"/>
        <v>2.8130017984979088E-4</v>
      </c>
      <c r="Q23" s="23">
        <v>1</v>
      </c>
      <c r="R23" s="90">
        <f t="shared" si="15"/>
        <v>1.6199999999999999E-3</v>
      </c>
      <c r="S23" s="91"/>
      <c r="T23" s="57">
        <f t="shared" si="5"/>
        <v>1.8363812809978498E-4</v>
      </c>
    </row>
    <row r="24" spans="2:20" s="3" customFormat="1" ht="24" x14ac:dyDescent="0.3">
      <c r="B24" s="109"/>
      <c r="C24" s="112"/>
      <c r="D24" s="112"/>
      <c r="E24" s="30">
        <f>200/1000</f>
        <v>0.2</v>
      </c>
      <c r="F24" s="112"/>
      <c r="G24" s="30" t="s">
        <v>30</v>
      </c>
      <c r="H24" s="106"/>
      <c r="I24" s="23">
        <v>0</v>
      </c>
      <c r="J24" s="89">
        <f t="shared" si="13"/>
        <v>0</v>
      </c>
      <c r="K24" s="89"/>
      <c r="L24" s="23">
        <f t="shared" si="1"/>
        <v>0</v>
      </c>
      <c r="M24" s="23">
        <v>0</v>
      </c>
      <c r="N24" s="89">
        <f t="shared" si="14"/>
        <v>0</v>
      </c>
      <c r="O24" s="95"/>
      <c r="P24" s="23">
        <f t="shared" si="3"/>
        <v>0</v>
      </c>
      <c r="Q24" s="23">
        <v>0</v>
      </c>
      <c r="R24" s="90">
        <f t="shared" si="15"/>
        <v>0</v>
      </c>
      <c r="S24" s="91"/>
      <c r="T24" s="57">
        <f t="shared" si="5"/>
        <v>0</v>
      </c>
    </row>
    <row r="25" spans="2:20" s="3" customFormat="1" ht="24" x14ac:dyDescent="0.3">
      <c r="B25" s="109"/>
      <c r="C25" s="112"/>
      <c r="D25" s="112"/>
      <c r="E25" s="30">
        <f>800/1000</f>
        <v>0.8</v>
      </c>
      <c r="F25" s="112"/>
      <c r="G25" s="30" t="s">
        <v>13</v>
      </c>
      <c r="H25" s="106"/>
      <c r="I25" s="23">
        <v>0</v>
      </c>
      <c r="J25" s="89">
        <f t="shared" si="13"/>
        <v>0</v>
      </c>
      <c r="K25" s="89"/>
      <c r="L25" s="23">
        <f t="shared" si="1"/>
        <v>0</v>
      </c>
      <c r="M25" s="23">
        <v>0</v>
      </c>
      <c r="N25" s="89">
        <f t="shared" si="14"/>
        <v>0</v>
      </c>
      <c r="O25" s="95"/>
      <c r="P25" s="23">
        <f t="shared" si="3"/>
        <v>0</v>
      </c>
      <c r="Q25" s="23">
        <v>0</v>
      </c>
      <c r="R25" s="90">
        <f t="shared" si="15"/>
        <v>0</v>
      </c>
      <c r="S25" s="91"/>
      <c r="T25" s="57">
        <f t="shared" si="5"/>
        <v>0</v>
      </c>
    </row>
    <row r="26" spans="2:20" s="3" customFormat="1" ht="24" x14ac:dyDescent="0.3">
      <c r="B26" s="109"/>
      <c r="C26" s="112"/>
      <c r="D26" s="112"/>
      <c r="E26" s="30">
        <f>600/1000</f>
        <v>0.6</v>
      </c>
      <c r="F26" s="112"/>
      <c r="G26" s="30" t="s">
        <v>50</v>
      </c>
      <c r="H26" s="106"/>
      <c r="I26" s="23">
        <v>0</v>
      </c>
      <c r="J26" s="89">
        <f t="shared" si="13"/>
        <v>0</v>
      </c>
      <c r="K26" s="89"/>
      <c r="L26" s="23">
        <f t="shared" si="1"/>
        <v>0</v>
      </c>
      <c r="M26" s="23">
        <v>0</v>
      </c>
      <c r="N26" s="89">
        <f t="shared" si="14"/>
        <v>0</v>
      </c>
      <c r="O26" s="95"/>
      <c r="P26" s="23">
        <f t="shared" si="3"/>
        <v>0</v>
      </c>
      <c r="Q26" s="23">
        <v>0</v>
      </c>
      <c r="R26" s="90">
        <f t="shared" si="15"/>
        <v>0</v>
      </c>
      <c r="S26" s="91"/>
      <c r="T26" s="57">
        <f t="shared" si="5"/>
        <v>0</v>
      </c>
    </row>
    <row r="27" spans="2:20" s="3" customFormat="1" ht="24" x14ac:dyDescent="0.3">
      <c r="B27" s="110"/>
      <c r="C27" s="113"/>
      <c r="D27" s="113"/>
      <c r="E27" s="30">
        <v>10.7</v>
      </c>
      <c r="F27" s="112"/>
      <c r="G27" s="30" t="s">
        <v>15</v>
      </c>
      <c r="H27" s="107"/>
      <c r="I27" s="23">
        <v>0</v>
      </c>
      <c r="J27" s="89">
        <f t="shared" si="13"/>
        <v>0</v>
      </c>
      <c r="K27" s="89"/>
      <c r="L27" s="23">
        <f t="shared" si="1"/>
        <v>0</v>
      </c>
      <c r="M27" s="23">
        <v>0</v>
      </c>
      <c r="N27" s="89">
        <f t="shared" si="14"/>
        <v>0</v>
      </c>
      <c r="O27" s="95"/>
      <c r="P27" s="23">
        <f t="shared" si="3"/>
        <v>0</v>
      </c>
      <c r="Q27" s="23">
        <v>0</v>
      </c>
      <c r="R27" s="90">
        <f t="shared" si="15"/>
        <v>0</v>
      </c>
      <c r="S27" s="91"/>
      <c r="T27" s="57">
        <f t="shared" si="5"/>
        <v>0</v>
      </c>
    </row>
    <row r="28" spans="2:20" s="3" customFormat="1" ht="24" x14ac:dyDescent="0.3">
      <c r="B28" s="33" t="s">
        <v>46</v>
      </c>
      <c r="C28" s="30" t="s">
        <v>49</v>
      </c>
      <c r="D28" s="30" t="s">
        <v>102</v>
      </c>
      <c r="E28" s="30">
        <v>5</v>
      </c>
      <c r="F28" s="112"/>
      <c r="G28" s="30" t="s">
        <v>39</v>
      </c>
      <c r="H28" s="34">
        <v>16</v>
      </c>
      <c r="I28" s="23">
        <v>0</v>
      </c>
      <c r="J28" s="89">
        <f t="shared" si="13"/>
        <v>0</v>
      </c>
      <c r="K28" s="89"/>
      <c r="L28" s="23">
        <f t="shared" si="1"/>
        <v>0</v>
      </c>
      <c r="M28" s="23">
        <f>10/60</f>
        <v>0.16666666666666666</v>
      </c>
      <c r="N28" s="129">
        <f t="shared" si="14"/>
        <v>0.75</v>
      </c>
      <c r="O28" s="130"/>
      <c r="P28" s="23">
        <f t="shared" si="3"/>
        <v>0.13023156474527356</v>
      </c>
      <c r="Q28" s="23">
        <v>0</v>
      </c>
      <c r="R28" s="90">
        <f t="shared" si="15"/>
        <v>0</v>
      </c>
      <c r="S28" s="91"/>
      <c r="T28" s="57">
        <f t="shared" si="5"/>
        <v>0</v>
      </c>
    </row>
    <row r="29" spans="2:20" s="3" customFormat="1" ht="24" x14ac:dyDescent="0.3">
      <c r="B29" s="108" t="s">
        <v>58</v>
      </c>
      <c r="C29" s="43" t="s">
        <v>59</v>
      </c>
      <c r="D29" s="43" t="s">
        <v>74</v>
      </c>
      <c r="E29" s="43">
        <f>2.3</f>
        <v>2.2999999999999998</v>
      </c>
      <c r="F29" s="112"/>
      <c r="G29" s="42" t="s">
        <v>77</v>
      </c>
      <c r="H29" s="36">
        <v>5</v>
      </c>
      <c r="I29" s="23">
        <v>0</v>
      </c>
      <c r="J29" s="89">
        <f t="shared" si="13"/>
        <v>0</v>
      </c>
      <c r="K29" s="89"/>
      <c r="L29" s="23">
        <f t="shared" si="1"/>
        <v>0</v>
      </c>
      <c r="M29" s="23">
        <v>0</v>
      </c>
      <c r="N29" s="89">
        <f t="shared" si="14"/>
        <v>0</v>
      </c>
      <c r="O29" s="95"/>
      <c r="P29" s="23">
        <f t="shared" si="3"/>
        <v>0</v>
      </c>
      <c r="Q29" s="23">
        <f>300*4/5900</f>
        <v>0.20338983050847459</v>
      </c>
      <c r="R29" s="87">
        <f t="shared" si="15"/>
        <v>0.4210169491525424</v>
      </c>
      <c r="S29" s="88"/>
      <c r="T29" s="57">
        <f t="shared" si="5"/>
        <v>4.7725163234972376E-2</v>
      </c>
    </row>
    <row r="30" spans="2:20" s="3" customFormat="1" ht="49.5" customHeight="1" x14ac:dyDescent="0.3">
      <c r="B30" s="110"/>
      <c r="C30" s="35" t="s">
        <v>68</v>
      </c>
      <c r="D30" s="35" t="s">
        <v>93</v>
      </c>
      <c r="E30" s="35">
        <v>0.8</v>
      </c>
      <c r="F30" s="113"/>
      <c r="G30" s="30" t="s">
        <v>65</v>
      </c>
      <c r="H30" s="37">
        <v>3.3</v>
      </c>
      <c r="I30" s="23">
        <v>1</v>
      </c>
      <c r="J30" s="92">
        <f t="shared" si="13"/>
        <v>0.72000000000000008</v>
      </c>
      <c r="K30" s="92"/>
      <c r="L30" s="58">
        <f t="shared" si="1"/>
        <v>0.14374205488251332</v>
      </c>
      <c r="M30" s="23">
        <v>1</v>
      </c>
      <c r="N30" s="92">
        <f t="shared" si="14"/>
        <v>0.72000000000000008</v>
      </c>
      <c r="O30" s="93"/>
      <c r="P30" s="23">
        <f>N30/$N$33</f>
        <v>0.12502230215546264</v>
      </c>
      <c r="Q30" s="23">
        <v>1</v>
      </c>
      <c r="R30" s="87">
        <f t="shared" si="15"/>
        <v>0.72000000000000008</v>
      </c>
      <c r="S30" s="88"/>
      <c r="T30" s="57">
        <f t="shared" si="5"/>
        <v>8.1616945822126669E-2</v>
      </c>
    </row>
    <row r="31" spans="2:20" s="3" customFormat="1" ht="49.5" customHeight="1" x14ac:dyDescent="0.3">
      <c r="B31" s="108" t="s">
        <v>0</v>
      </c>
      <c r="C31" s="30" t="s">
        <v>37</v>
      </c>
      <c r="D31" s="30" t="s">
        <v>88</v>
      </c>
      <c r="E31" s="30">
        <v>0.26</v>
      </c>
      <c r="F31" s="30" t="s">
        <v>12</v>
      </c>
      <c r="G31" s="30" t="s">
        <v>57</v>
      </c>
      <c r="H31" s="35" t="s">
        <v>12</v>
      </c>
      <c r="I31" s="23">
        <v>1</v>
      </c>
      <c r="J31" s="92">
        <f t="shared" si="13"/>
        <v>0.23400000000000001</v>
      </c>
      <c r="K31" s="92"/>
      <c r="L31" s="58">
        <f>J31/$J$33</f>
        <v>4.6716167836816827E-2</v>
      </c>
      <c r="M31" s="23">
        <v>1</v>
      </c>
      <c r="N31" s="92">
        <f t="shared" si="14"/>
        <v>0.23400000000000001</v>
      </c>
      <c r="O31" s="93"/>
      <c r="P31" s="23">
        <f t="shared" si="3"/>
        <v>4.0632248200525356E-2</v>
      </c>
      <c r="Q31" s="23">
        <v>1</v>
      </c>
      <c r="R31" s="87">
        <f t="shared" si="15"/>
        <v>0.23400000000000001</v>
      </c>
      <c r="S31" s="88"/>
      <c r="T31" s="57">
        <f t="shared" si="5"/>
        <v>2.6525507392191169E-2</v>
      </c>
    </row>
    <row r="32" spans="2:20" s="3" customFormat="1" ht="21.75" customHeight="1" x14ac:dyDescent="0.3">
      <c r="B32" s="109"/>
      <c r="C32" s="111" t="s">
        <v>33</v>
      </c>
      <c r="D32" s="111" t="s">
        <v>18</v>
      </c>
      <c r="E32" s="30">
        <v>0</v>
      </c>
      <c r="F32" s="30" t="s">
        <v>12</v>
      </c>
      <c r="G32" s="30" t="s">
        <v>17</v>
      </c>
      <c r="H32" s="35" t="s">
        <v>12</v>
      </c>
      <c r="I32" s="23">
        <v>1</v>
      </c>
      <c r="J32" s="81" t="s">
        <v>94</v>
      </c>
      <c r="K32" s="82"/>
      <c r="L32" s="83"/>
      <c r="M32" s="23">
        <v>1</v>
      </c>
      <c r="N32" s="81" t="s">
        <v>94</v>
      </c>
      <c r="O32" s="82"/>
      <c r="P32" s="83"/>
      <c r="Q32" s="23">
        <v>1</v>
      </c>
      <c r="R32" s="81" t="s">
        <v>94</v>
      </c>
      <c r="S32" s="82"/>
      <c r="T32" s="83"/>
    </row>
    <row r="33" spans="2:20" s="3" customFormat="1" ht="24" x14ac:dyDescent="0.3">
      <c r="B33" s="110"/>
      <c r="C33" s="113"/>
      <c r="D33" s="113"/>
      <c r="E33" s="30">
        <v>7</v>
      </c>
      <c r="F33" s="30" t="s">
        <v>12</v>
      </c>
      <c r="G33" s="30" t="s">
        <v>36</v>
      </c>
      <c r="H33" s="30" t="s">
        <v>12</v>
      </c>
      <c r="I33" s="23">
        <v>0</v>
      </c>
      <c r="J33" s="89">
        <f>SUM(J5:J31)</f>
        <v>5.0089725000000005</v>
      </c>
      <c r="K33" s="89"/>
      <c r="L33" s="56">
        <f>SUM(L5:L31)</f>
        <v>1</v>
      </c>
      <c r="M33" s="23">
        <v>0</v>
      </c>
      <c r="N33" s="89">
        <f>SUM(N5:N31)</f>
        <v>5.7589725000000005</v>
      </c>
      <c r="O33" s="89"/>
      <c r="P33" s="56">
        <f>SUM(P5:P31)</f>
        <v>0.99999999999999989</v>
      </c>
      <c r="Q33" s="23">
        <v>0</v>
      </c>
      <c r="R33" s="89">
        <f>SUM(R5:R31)</f>
        <v>8.8216974152542385</v>
      </c>
      <c r="S33" s="89"/>
      <c r="T33" s="56">
        <f>SUM(T5:T31)</f>
        <v>0.99999999999999978</v>
      </c>
    </row>
    <row r="34" spans="2:20" ht="17.25" customHeight="1" x14ac:dyDescent="0.3">
      <c r="D34" s="7"/>
    </row>
    <row r="35" spans="2:20" ht="17.25" customHeight="1" x14ac:dyDescent="0.3">
      <c r="D35" s="28" t="s">
        <v>9</v>
      </c>
    </row>
    <row r="36" spans="2:20" ht="26.25" x14ac:dyDescent="0.3">
      <c r="D36" s="28" t="s">
        <v>4</v>
      </c>
    </row>
    <row r="37" spans="2:20" ht="26.25" x14ac:dyDescent="0.3">
      <c r="D37" s="29" t="s">
        <v>10</v>
      </c>
    </row>
    <row r="38" spans="2:20" ht="26.25" x14ac:dyDescent="0.3">
      <c r="D38" s="28" t="s">
        <v>2</v>
      </c>
    </row>
    <row r="48" spans="2:20" ht="21" customHeight="1" x14ac:dyDescent="0.3"/>
    <row r="49" spans="2:20" ht="21" customHeight="1" x14ac:dyDescent="0.3"/>
    <row r="50" spans="2:20" ht="20.25" x14ac:dyDescent="0.3">
      <c r="B50" s="1"/>
      <c r="C50" s="1"/>
      <c r="D50" s="1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T50" s="1"/>
    </row>
    <row r="51" spans="2:20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T51" s="1"/>
    </row>
    <row r="52" spans="2:20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T52" s="1"/>
    </row>
  </sheetData>
  <mergeCells count="126">
    <mergeCell ref="B31:B33"/>
    <mergeCell ref="C32:C33"/>
    <mergeCell ref="D32:D33"/>
    <mergeCell ref="B29:B30"/>
    <mergeCell ref="C18:C19"/>
    <mergeCell ref="D18:D19"/>
    <mergeCell ref="D23:D27"/>
    <mergeCell ref="H16:H17"/>
    <mergeCell ref="H20:H22"/>
    <mergeCell ref="H23:H27"/>
    <mergeCell ref="H18:H19"/>
    <mergeCell ref="B9:B15"/>
    <mergeCell ref="C5:C6"/>
    <mergeCell ref="H5:H6"/>
    <mergeCell ref="B5:B6"/>
    <mergeCell ref="D5:D6"/>
    <mergeCell ref="F5:F30"/>
    <mergeCell ref="B7:B8"/>
    <mergeCell ref="C16:C17"/>
    <mergeCell ref="C20:C22"/>
    <mergeCell ref="B16:B27"/>
    <mergeCell ref="C23:C27"/>
    <mergeCell ref="D16:D17"/>
    <mergeCell ref="D20:D22"/>
    <mergeCell ref="C12:C14"/>
    <mergeCell ref="D12:D14"/>
    <mergeCell ref="J5:K5"/>
    <mergeCell ref="J7:K7"/>
    <mergeCell ref="J6:K6"/>
    <mergeCell ref="J8:K8"/>
    <mergeCell ref="J9:K9"/>
    <mergeCell ref="P2:P3"/>
    <mergeCell ref="J2:K3"/>
    <mergeCell ref="J4:K4"/>
    <mergeCell ref="B2:B3"/>
    <mergeCell ref="C2:C4"/>
    <mergeCell ref="D2:D4"/>
    <mergeCell ref="E2:E4"/>
    <mergeCell ref="H2:H4"/>
    <mergeCell ref="G2:G4"/>
    <mergeCell ref="J10:K10"/>
    <mergeCell ref="J11:K11"/>
    <mergeCell ref="J33:K33"/>
    <mergeCell ref="J31:K31"/>
    <mergeCell ref="J30:K30"/>
    <mergeCell ref="J29:K29"/>
    <mergeCell ref="J28:K28"/>
    <mergeCell ref="J27:K27"/>
    <mergeCell ref="J26:K26"/>
    <mergeCell ref="J25:K25"/>
    <mergeCell ref="J24:K24"/>
    <mergeCell ref="J23:K23"/>
    <mergeCell ref="J22:K22"/>
    <mergeCell ref="J21:K21"/>
    <mergeCell ref="N33:O33"/>
    <mergeCell ref="R4:S4"/>
    <mergeCell ref="R5:S5"/>
    <mergeCell ref="R6:S6"/>
    <mergeCell ref="R7:S7"/>
    <mergeCell ref="R8:S8"/>
    <mergeCell ref="R9:S9"/>
    <mergeCell ref="R10:S10"/>
    <mergeCell ref="R11:S11"/>
    <mergeCell ref="R15:S15"/>
    <mergeCell ref="N25:O25"/>
    <mergeCell ref="N26:O26"/>
    <mergeCell ref="N27:O27"/>
    <mergeCell ref="N28:O28"/>
    <mergeCell ref="N29:O29"/>
    <mergeCell ref="N20:O20"/>
    <mergeCell ref="N21:O21"/>
    <mergeCell ref="N22:O22"/>
    <mergeCell ref="N23:O23"/>
    <mergeCell ref="N24:O24"/>
    <mergeCell ref="N15:O15"/>
    <mergeCell ref="N18:O18"/>
    <mergeCell ref="N19:O19"/>
    <mergeCell ref="N4:O4"/>
    <mergeCell ref="F2:F4"/>
    <mergeCell ref="R16:R17"/>
    <mergeCell ref="N16:N17"/>
    <mergeCell ref="J16:J17"/>
    <mergeCell ref="L2:L3"/>
    <mergeCell ref="R31:S31"/>
    <mergeCell ref="R33:S33"/>
    <mergeCell ref="N2:O3"/>
    <mergeCell ref="R2:S3"/>
    <mergeCell ref="R12:R14"/>
    <mergeCell ref="N12:N14"/>
    <mergeCell ref="R26:S26"/>
    <mergeCell ref="R27:S27"/>
    <mergeCell ref="R28:S28"/>
    <mergeCell ref="R29:S29"/>
    <mergeCell ref="R30:S30"/>
    <mergeCell ref="R21:S21"/>
    <mergeCell ref="R22:S22"/>
    <mergeCell ref="R23:S23"/>
    <mergeCell ref="R24:S24"/>
    <mergeCell ref="R25:S25"/>
    <mergeCell ref="R18:S18"/>
    <mergeCell ref="R19:S19"/>
    <mergeCell ref="R20:S20"/>
    <mergeCell ref="T2:T3"/>
    <mergeCell ref="T12:T14"/>
    <mergeCell ref="P12:P14"/>
    <mergeCell ref="L12:L14"/>
    <mergeCell ref="R32:T32"/>
    <mergeCell ref="N32:P32"/>
    <mergeCell ref="J32:L32"/>
    <mergeCell ref="L16:L17"/>
    <mergeCell ref="P16:P17"/>
    <mergeCell ref="T16:T17"/>
    <mergeCell ref="N30:O30"/>
    <mergeCell ref="N31:O31"/>
    <mergeCell ref="N5:O5"/>
    <mergeCell ref="N6:O6"/>
    <mergeCell ref="N7:O7"/>
    <mergeCell ref="N8:O8"/>
    <mergeCell ref="N9:O9"/>
    <mergeCell ref="N10:O10"/>
    <mergeCell ref="N11:O11"/>
    <mergeCell ref="J12:J14"/>
    <mergeCell ref="J20:K20"/>
    <mergeCell ref="J19:K19"/>
    <mergeCell ref="J18:K18"/>
    <mergeCell ref="J15:K15"/>
  </mergeCells>
  <phoneticPr fontId="11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EED6-B911-4A99-AD0F-23D10864BB1A}">
  <dimension ref="B1:O52"/>
  <sheetViews>
    <sheetView showGridLines="0" zoomScale="40" zoomScaleNormal="40" workbookViewId="0">
      <pane xSplit="6" topLeftCell="G1" activePane="topRight" state="frozen"/>
      <selection pane="topRight" activeCell="M29" sqref="M29"/>
    </sheetView>
  </sheetViews>
  <sheetFormatPr defaultColWidth="8.875" defaultRowHeight="16.5" x14ac:dyDescent="0.3"/>
  <cols>
    <col min="1" max="1" width="4.25" customWidth="1"/>
    <col min="2" max="6" width="20.625" customWidth="1"/>
    <col min="7" max="7" width="40.625" customWidth="1"/>
    <col min="8" max="8" width="16.625" customWidth="1"/>
    <col min="9" max="9" width="16.5" customWidth="1"/>
    <col min="10" max="10" width="40.625" customWidth="1"/>
    <col min="11" max="12" width="16.625" customWidth="1"/>
    <col min="13" max="13" width="40.625" customWidth="1"/>
    <col min="14" max="15" width="16.625" customWidth="1"/>
  </cols>
  <sheetData>
    <row r="1" spans="2:15" s="3" customFormat="1" ht="20.25" x14ac:dyDescent="0.3">
      <c r="B1" s="5"/>
      <c r="G1" s="4"/>
      <c r="H1" s="4"/>
      <c r="I1" s="4"/>
      <c r="J1" s="4"/>
      <c r="K1" s="4"/>
      <c r="L1" s="4"/>
      <c r="N1" s="4"/>
    </row>
    <row r="2" spans="2:15" s="6" customFormat="1" ht="55.5" customHeight="1" x14ac:dyDescent="0.3">
      <c r="B2" s="96" t="s">
        <v>14</v>
      </c>
      <c r="C2" s="84" t="s">
        <v>38</v>
      </c>
      <c r="D2" s="84" t="s">
        <v>28</v>
      </c>
      <c r="E2" s="84" t="s">
        <v>3</v>
      </c>
      <c r="F2" s="84" t="s">
        <v>6</v>
      </c>
      <c r="G2" s="27" t="s">
        <v>53</v>
      </c>
      <c r="H2" s="86" t="s">
        <v>98</v>
      </c>
      <c r="I2" s="86"/>
      <c r="J2" s="27" t="s">
        <v>53</v>
      </c>
      <c r="K2" s="86" t="s">
        <v>99</v>
      </c>
      <c r="L2" s="86"/>
      <c r="M2" s="24" t="s">
        <v>52</v>
      </c>
      <c r="N2" s="86" t="s">
        <v>100</v>
      </c>
      <c r="O2" s="86"/>
    </row>
    <row r="3" spans="2:15" ht="39.950000000000003" customHeight="1" x14ac:dyDescent="0.3">
      <c r="B3" s="96"/>
      <c r="C3" s="84"/>
      <c r="D3" s="84"/>
      <c r="E3" s="84"/>
      <c r="F3" s="84"/>
      <c r="G3" s="27" t="s">
        <v>24</v>
      </c>
      <c r="H3" s="86"/>
      <c r="I3" s="86"/>
      <c r="J3" s="27" t="s">
        <v>8</v>
      </c>
      <c r="K3" s="86"/>
      <c r="L3" s="86"/>
      <c r="M3" s="24" t="s">
        <v>35</v>
      </c>
      <c r="N3" s="86"/>
      <c r="O3" s="86"/>
    </row>
    <row r="4" spans="2:15" ht="150" customHeight="1" x14ac:dyDescent="0.3">
      <c r="B4" s="55" t="s">
        <v>40</v>
      </c>
      <c r="C4" s="84"/>
      <c r="D4" s="84"/>
      <c r="E4" s="84"/>
      <c r="F4" s="84"/>
      <c r="G4" s="8" t="s">
        <v>91</v>
      </c>
      <c r="H4" s="94" t="s">
        <v>97</v>
      </c>
      <c r="I4" s="94"/>
      <c r="J4" s="8" t="s">
        <v>1</v>
      </c>
      <c r="K4" s="94" t="s">
        <v>97</v>
      </c>
      <c r="L4" s="94"/>
      <c r="M4" s="8" t="s">
        <v>92</v>
      </c>
      <c r="N4" s="94" t="s">
        <v>97</v>
      </c>
      <c r="O4" s="94"/>
    </row>
    <row r="5" spans="2:15" s="3" customFormat="1" ht="28.5" customHeight="1" x14ac:dyDescent="0.3">
      <c r="B5" s="108" t="s">
        <v>25</v>
      </c>
      <c r="C5" s="111" t="s">
        <v>7</v>
      </c>
      <c r="D5" s="111" t="s">
        <v>70</v>
      </c>
      <c r="E5" s="30">
        <v>2.85</v>
      </c>
      <c r="F5" s="30" t="s">
        <v>34</v>
      </c>
      <c r="G5" s="23">
        <v>0</v>
      </c>
      <c r="H5" s="89">
        <f>E5*G5*0.9</f>
        <v>0</v>
      </c>
      <c r="I5" s="89"/>
      <c r="J5" s="23">
        <v>0</v>
      </c>
      <c r="K5" s="89">
        <f>E5*J5*0.9</f>
        <v>0</v>
      </c>
      <c r="L5" s="95"/>
      <c r="M5" s="23">
        <f>300*2/5900</f>
        <v>0.10169491525423729</v>
      </c>
      <c r="N5" s="87">
        <f>E5*M5*0.9</f>
        <v>0.2608474576271187</v>
      </c>
      <c r="O5" s="88"/>
    </row>
    <row r="6" spans="2:15" s="3" customFormat="1" ht="24" x14ac:dyDescent="0.3">
      <c r="B6" s="109"/>
      <c r="C6" s="112"/>
      <c r="D6" s="113"/>
      <c r="E6" s="30">
        <v>1.65</v>
      </c>
      <c r="F6" s="30" t="s">
        <v>71</v>
      </c>
      <c r="G6" s="23">
        <v>0</v>
      </c>
      <c r="H6" s="89">
        <f>E6*G6*0.9</f>
        <v>0</v>
      </c>
      <c r="I6" s="89"/>
      <c r="J6" s="23">
        <v>0</v>
      </c>
      <c r="K6" s="89">
        <f>E6*J6*0.9</f>
        <v>0</v>
      </c>
      <c r="L6" s="95"/>
      <c r="M6" s="23">
        <f>300*4/5900</f>
        <v>0.20338983050847459</v>
      </c>
      <c r="N6" s="87">
        <f>E6*M6*0.9</f>
        <v>0.30203389830508476</v>
      </c>
      <c r="O6" s="88"/>
    </row>
    <row r="7" spans="2:15" s="3" customFormat="1" ht="24" x14ac:dyDescent="0.3">
      <c r="B7" s="114" t="s">
        <v>11</v>
      </c>
      <c r="C7" s="30" t="s">
        <v>32</v>
      </c>
      <c r="D7" s="30" t="s">
        <v>21</v>
      </c>
      <c r="E7" s="30">
        <v>0.9</v>
      </c>
      <c r="F7" s="30" t="s">
        <v>20</v>
      </c>
      <c r="G7" s="23">
        <v>1</v>
      </c>
      <c r="H7" s="92">
        <f>E7*G7*0.9</f>
        <v>0.81</v>
      </c>
      <c r="I7" s="92"/>
      <c r="J7" s="23">
        <v>1</v>
      </c>
      <c r="K7" s="92">
        <f>E7*J7*0.9</f>
        <v>0.81</v>
      </c>
      <c r="L7" s="93"/>
      <c r="M7" s="23">
        <v>1</v>
      </c>
      <c r="N7" s="87">
        <f>E7*M7*0.9</f>
        <v>0.81</v>
      </c>
      <c r="O7" s="88"/>
    </row>
    <row r="8" spans="2:15" s="3" customFormat="1" ht="40.5" x14ac:dyDescent="0.3">
      <c r="B8" s="115"/>
      <c r="C8" s="30" t="s">
        <v>44</v>
      </c>
      <c r="D8" s="30" t="s">
        <v>26</v>
      </c>
      <c r="E8" s="30">
        <f>0.015*3.3</f>
        <v>4.9499999999999995E-2</v>
      </c>
      <c r="F8" s="30" t="s">
        <v>72</v>
      </c>
      <c r="G8" s="23">
        <f t="shared" ref="G8:M8" si="0">G7</f>
        <v>1</v>
      </c>
      <c r="H8" s="92">
        <f>E8*G8*0.9</f>
        <v>4.4549999999999999E-2</v>
      </c>
      <c r="I8" s="92"/>
      <c r="J8" s="23">
        <f t="shared" si="0"/>
        <v>1</v>
      </c>
      <c r="K8" s="92">
        <f>E8*J8*0.9</f>
        <v>4.4549999999999999E-2</v>
      </c>
      <c r="L8" s="93"/>
      <c r="M8" s="23">
        <f t="shared" si="0"/>
        <v>1</v>
      </c>
      <c r="N8" s="87">
        <f>E8*M8*0.9</f>
        <v>4.4549999999999999E-2</v>
      </c>
      <c r="O8" s="88"/>
    </row>
    <row r="9" spans="2:15" s="3" customFormat="1" ht="24" x14ac:dyDescent="0.3">
      <c r="B9" s="108" t="s">
        <v>19</v>
      </c>
      <c r="C9" s="30" t="s">
        <v>86</v>
      </c>
      <c r="D9" s="30" t="s">
        <v>87</v>
      </c>
      <c r="E9" s="30">
        <f>3.3*(0.039+0.006+0.025+0.004+0.015+0.025+0.027+0.06)</f>
        <v>0.6633</v>
      </c>
      <c r="F9" s="30" t="s">
        <v>85</v>
      </c>
      <c r="G9" s="23">
        <v>1</v>
      </c>
      <c r="H9" s="92">
        <f>E9*G9*0.9</f>
        <v>0.59697</v>
      </c>
      <c r="I9" s="92"/>
      <c r="J9" s="23">
        <v>1</v>
      </c>
      <c r="K9" s="92">
        <f>E9*J9*0.9</f>
        <v>0.59697</v>
      </c>
      <c r="L9" s="93"/>
      <c r="M9" s="23">
        <v>1</v>
      </c>
      <c r="N9" s="87">
        <f>E9*M9*0.9</f>
        <v>0.59697</v>
      </c>
      <c r="O9" s="88"/>
    </row>
    <row r="10" spans="2:15" s="3" customFormat="1" ht="24" x14ac:dyDescent="0.3">
      <c r="B10" s="109"/>
      <c r="C10" s="30" t="s">
        <v>67</v>
      </c>
      <c r="D10" s="30" t="s">
        <v>66</v>
      </c>
      <c r="E10" s="30">
        <f>200/1000</f>
        <v>0.2</v>
      </c>
      <c r="F10" s="30" t="s">
        <v>65</v>
      </c>
      <c r="G10" s="23">
        <v>1</v>
      </c>
      <c r="H10" s="92">
        <f>E10*G10*0.9</f>
        <v>0.18000000000000002</v>
      </c>
      <c r="I10" s="92"/>
      <c r="J10" s="23">
        <v>1</v>
      </c>
      <c r="K10" s="92">
        <f>E10*J10*0.9</f>
        <v>0.18000000000000002</v>
      </c>
      <c r="L10" s="93"/>
      <c r="M10" s="23">
        <v>1</v>
      </c>
      <c r="N10" s="87">
        <f>E10*M10*0.9</f>
        <v>0.18000000000000002</v>
      </c>
      <c r="O10" s="88"/>
    </row>
    <row r="11" spans="2:15" s="3" customFormat="1" ht="24" customHeight="1" x14ac:dyDescent="0.3">
      <c r="B11" s="109"/>
      <c r="C11" s="30" t="s">
        <v>41</v>
      </c>
      <c r="D11" s="30" t="s">
        <v>90</v>
      </c>
      <c r="E11" s="30">
        <f>2*0.15*2.5 + 1*0.15*5</f>
        <v>1.5</v>
      </c>
      <c r="F11" s="30" t="s">
        <v>83</v>
      </c>
      <c r="G11" s="23">
        <f>5/10*0.5</f>
        <v>0.25</v>
      </c>
      <c r="H11" s="92">
        <f>E11*G11*0.9</f>
        <v>0.33750000000000002</v>
      </c>
      <c r="I11" s="92"/>
      <c r="J11" s="23">
        <f>5/10*0.5</f>
        <v>0.25</v>
      </c>
      <c r="K11" s="92">
        <f>E11*J11*0.9</f>
        <v>0.33750000000000002</v>
      </c>
      <c r="L11" s="93"/>
      <c r="M11" s="23">
        <f>5/10*1</f>
        <v>0.5</v>
      </c>
      <c r="N11" s="87">
        <f>E11*M11*0.9</f>
        <v>0.67500000000000004</v>
      </c>
      <c r="O11" s="88"/>
    </row>
    <row r="12" spans="2:15" s="3" customFormat="1" ht="24" customHeight="1" x14ac:dyDescent="0.3">
      <c r="B12" s="109"/>
      <c r="C12" s="111" t="s">
        <v>84</v>
      </c>
      <c r="D12" s="111" t="s">
        <v>73</v>
      </c>
      <c r="E12" s="30">
        <f>2.3*3</f>
        <v>6.8999999999999995</v>
      </c>
      <c r="F12" s="30" t="s">
        <v>65</v>
      </c>
      <c r="G12" s="23">
        <v>0.25</v>
      </c>
      <c r="H12" s="85">
        <f>SUM(I12:I14)</f>
        <v>1.6466624999999999</v>
      </c>
      <c r="I12" s="53">
        <f>E12*G12*0.9</f>
        <v>1.5525</v>
      </c>
      <c r="J12" s="23">
        <v>0.25</v>
      </c>
      <c r="K12" s="85">
        <f>SUM(L12:L14)</f>
        <v>1.6466624999999999</v>
      </c>
      <c r="L12" s="53">
        <f>E12*J12*0.9</f>
        <v>1.5525</v>
      </c>
      <c r="M12" s="23">
        <v>0.5</v>
      </c>
      <c r="N12" s="85">
        <f>SUM(O12:O14)</f>
        <v>3.1546125000000003</v>
      </c>
      <c r="O12" s="53">
        <f>E12*M12*0.9</f>
        <v>3.105</v>
      </c>
    </row>
    <row r="13" spans="2:15" s="3" customFormat="1" ht="24" customHeight="1" x14ac:dyDescent="0.3">
      <c r="B13" s="109"/>
      <c r="C13" s="112"/>
      <c r="D13" s="112"/>
      <c r="E13" s="30">
        <f>3*66/1000</f>
        <v>0.19800000000000001</v>
      </c>
      <c r="F13" s="30" t="s">
        <v>61</v>
      </c>
      <c r="G13" s="23">
        <v>0.5</v>
      </c>
      <c r="H13" s="85"/>
      <c r="I13" s="53">
        <f>E13*G13*0.9</f>
        <v>8.9100000000000013E-2</v>
      </c>
      <c r="J13" s="23">
        <v>0.5</v>
      </c>
      <c r="K13" s="85"/>
      <c r="L13" s="53">
        <f>E13*J13*0.9</f>
        <v>8.9100000000000013E-2</v>
      </c>
      <c r="M13" s="23">
        <v>0.25</v>
      </c>
      <c r="N13" s="85"/>
      <c r="O13" s="53">
        <f>E13*M13*0.9</f>
        <v>4.4550000000000006E-2</v>
      </c>
    </row>
    <row r="14" spans="2:15" s="3" customFormat="1" ht="24" customHeight="1" x14ac:dyDescent="0.3">
      <c r="B14" s="109"/>
      <c r="C14" s="113"/>
      <c r="D14" s="113"/>
      <c r="E14" s="30">
        <f>3*7.5/1000</f>
        <v>2.2499999999999999E-2</v>
      </c>
      <c r="F14" s="30" t="s">
        <v>62</v>
      </c>
      <c r="G14" s="23">
        <v>0.25</v>
      </c>
      <c r="H14" s="85"/>
      <c r="I14" s="53">
        <f>E14*G14*0.9</f>
        <v>5.0625000000000002E-3</v>
      </c>
      <c r="J14" s="23">
        <v>0.25</v>
      </c>
      <c r="K14" s="85"/>
      <c r="L14" s="53">
        <f>E14*J14*0.9</f>
        <v>5.0625000000000002E-3</v>
      </c>
      <c r="M14" s="23">
        <v>0.25</v>
      </c>
      <c r="N14" s="85"/>
      <c r="O14" s="53">
        <f>E14*M14*0.9</f>
        <v>5.0625000000000002E-3</v>
      </c>
    </row>
    <row r="15" spans="2:15" s="38" customFormat="1" ht="40.5" x14ac:dyDescent="0.3">
      <c r="B15" s="110"/>
      <c r="C15" s="30" t="s">
        <v>63</v>
      </c>
      <c r="D15" s="30" t="s">
        <v>64</v>
      </c>
      <c r="E15" s="30">
        <f>264/1000</f>
        <v>0.26400000000000001</v>
      </c>
      <c r="F15" s="30" t="s">
        <v>79</v>
      </c>
      <c r="G15" s="39">
        <v>0</v>
      </c>
      <c r="H15" s="89">
        <f>E15*G15*0.9</f>
        <v>0</v>
      </c>
      <c r="I15" s="89"/>
      <c r="J15" s="39">
        <v>0</v>
      </c>
      <c r="K15" s="89">
        <f>E15*J15*0.9</f>
        <v>0</v>
      </c>
      <c r="L15" s="95"/>
      <c r="M15" s="39">
        <v>0.5</v>
      </c>
      <c r="N15" s="87">
        <f>E15*M15*0.9</f>
        <v>0.1188</v>
      </c>
      <c r="O15" s="88"/>
    </row>
    <row r="16" spans="2:15" s="3" customFormat="1" ht="26.25" customHeight="1" x14ac:dyDescent="0.3">
      <c r="B16" s="108" t="s">
        <v>27</v>
      </c>
      <c r="C16" s="111" t="s">
        <v>31</v>
      </c>
      <c r="D16" s="111" t="s">
        <v>55</v>
      </c>
      <c r="E16" s="30">
        <f>3.3*120/1000</f>
        <v>0.39600000000000002</v>
      </c>
      <c r="F16" s="30" t="s">
        <v>13</v>
      </c>
      <c r="G16" s="23">
        <f t="shared" ref="G16:M16" si="1">1-G17</f>
        <v>0.96666666666666667</v>
      </c>
      <c r="H16" s="85">
        <f>SUM(I16:I17)</f>
        <v>0.42867000000000005</v>
      </c>
      <c r="I16" s="53">
        <f>E16*G16*0.9</f>
        <v>0.34452000000000005</v>
      </c>
      <c r="J16" s="23">
        <f t="shared" si="1"/>
        <v>0.96666666666666667</v>
      </c>
      <c r="K16" s="85">
        <f>SUM(L16:L17)</f>
        <v>0.42867000000000005</v>
      </c>
      <c r="L16" s="53">
        <f>E16*J16*0.9</f>
        <v>0.34452000000000005</v>
      </c>
      <c r="M16" s="23">
        <f t="shared" si="1"/>
        <v>0.89548022598870058</v>
      </c>
      <c r="N16" s="85">
        <f>SUM(O16:O17)</f>
        <v>0.58300932203389833</v>
      </c>
      <c r="O16" s="53">
        <f>E16*M16*0.9</f>
        <v>0.31914915254237292</v>
      </c>
    </row>
    <row r="17" spans="2:15" s="3" customFormat="1" ht="24" customHeight="1" x14ac:dyDescent="0.3">
      <c r="B17" s="109"/>
      <c r="C17" s="113"/>
      <c r="D17" s="113"/>
      <c r="E17" s="30">
        <f>3.3*850/1000</f>
        <v>2.8050000000000002</v>
      </c>
      <c r="F17" s="30" t="s">
        <v>15</v>
      </c>
      <c r="G17" s="23">
        <f t="shared" ref="G17:J17" si="2">1/30</f>
        <v>3.3333333333333333E-2</v>
      </c>
      <c r="H17" s="85"/>
      <c r="I17" s="53">
        <f>E17*G17*0.9</f>
        <v>8.4150000000000003E-2</v>
      </c>
      <c r="J17" s="23">
        <f t="shared" si="2"/>
        <v>3.3333333333333333E-2</v>
      </c>
      <c r="K17" s="85"/>
      <c r="L17" s="53">
        <f>E17*J17*0.9</f>
        <v>8.4150000000000003E-2</v>
      </c>
      <c r="M17" s="23">
        <f>1/30+(60*2+300)/5900</f>
        <v>0.10451977401129944</v>
      </c>
      <c r="N17" s="85"/>
      <c r="O17" s="53">
        <f>E17*M17*0.9</f>
        <v>0.26386016949152546</v>
      </c>
    </row>
    <row r="18" spans="2:15" s="3" customFormat="1" ht="24" x14ac:dyDescent="0.3">
      <c r="B18" s="109"/>
      <c r="C18" s="111" t="s">
        <v>48</v>
      </c>
      <c r="D18" s="111" t="s">
        <v>60</v>
      </c>
      <c r="E18" s="30">
        <f>5*2/1000</f>
        <v>0.01</v>
      </c>
      <c r="F18" s="30" t="s">
        <v>89</v>
      </c>
      <c r="G18" s="23">
        <v>1</v>
      </c>
      <c r="H18" s="89">
        <f>E18*G18*0.9</f>
        <v>9.0000000000000011E-3</v>
      </c>
      <c r="I18" s="89"/>
      <c r="J18" s="23">
        <v>1</v>
      </c>
      <c r="K18" s="89">
        <f>E18*J18*0.9</f>
        <v>9.0000000000000011E-3</v>
      </c>
      <c r="L18" s="95"/>
      <c r="M18" s="23">
        <v>1</v>
      </c>
      <c r="N18" s="90">
        <f>E18*M18*0.9</f>
        <v>9.0000000000000011E-3</v>
      </c>
      <c r="O18" s="91"/>
    </row>
    <row r="19" spans="2:15" s="3" customFormat="1" ht="24" x14ac:dyDescent="0.3">
      <c r="B19" s="109"/>
      <c r="C19" s="113"/>
      <c r="D19" s="113"/>
      <c r="E19" s="30">
        <f>5*1120/1000</f>
        <v>5.6</v>
      </c>
      <c r="F19" s="30" t="s">
        <v>46</v>
      </c>
      <c r="G19" s="23">
        <v>0</v>
      </c>
      <c r="H19" s="89">
        <f>E19*G19*0.9</f>
        <v>0</v>
      </c>
      <c r="I19" s="89"/>
      <c r="J19" s="23">
        <v>0</v>
      </c>
      <c r="K19" s="89">
        <f>E19*J19*0.9</f>
        <v>0</v>
      </c>
      <c r="L19" s="95"/>
      <c r="M19" s="23">
        <v>0</v>
      </c>
      <c r="N19" s="90">
        <f>E19*M19*0.9</f>
        <v>0</v>
      </c>
      <c r="O19" s="91"/>
    </row>
    <row r="20" spans="2:15" s="3" customFormat="1" ht="24" x14ac:dyDescent="0.3">
      <c r="B20" s="109"/>
      <c r="C20" s="116" t="s">
        <v>47</v>
      </c>
      <c r="D20" s="116" t="s">
        <v>69</v>
      </c>
      <c r="E20" s="40">
        <v>3.88</v>
      </c>
      <c r="F20" s="41" t="s">
        <v>78</v>
      </c>
      <c r="G20" s="44">
        <v>0</v>
      </c>
      <c r="H20" s="89">
        <f>E20*G20*0.9</f>
        <v>0</v>
      </c>
      <c r="I20" s="89"/>
      <c r="J20" s="23">
        <v>0</v>
      </c>
      <c r="K20" s="89">
        <f>E20*J20*0.9</f>
        <v>0</v>
      </c>
      <c r="L20" s="95"/>
      <c r="M20" s="23">
        <f>300*4/5900</f>
        <v>0.20338983050847459</v>
      </c>
      <c r="N20" s="87">
        <f>E20*M20*0.9</f>
        <v>0.71023728813559328</v>
      </c>
      <c r="O20" s="88"/>
    </row>
    <row r="21" spans="2:15" s="3" customFormat="1" ht="24" x14ac:dyDescent="0.3">
      <c r="B21" s="109"/>
      <c r="C21" s="116"/>
      <c r="D21" s="116"/>
      <c r="E21" s="40">
        <v>4.0999999999999996</v>
      </c>
      <c r="F21" s="41" t="s">
        <v>76</v>
      </c>
      <c r="G21" s="44">
        <v>0</v>
      </c>
      <c r="H21" s="89">
        <f>E21*G21*0.9</f>
        <v>0</v>
      </c>
      <c r="I21" s="89"/>
      <c r="J21" s="23">
        <v>0</v>
      </c>
      <c r="K21" s="89">
        <f>E21*J21*0.9</f>
        <v>0</v>
      </c>
      <c r="L21" s="95"/>
      <c r="M21" s="23">
        <v>0</v>
      </c>
      <c r="N21" s="90">
        <f>E21*M21*0.9</f>
        <v>0</v>
      </c>
      <c r="O21" s="91"/>
    </row>
    <row r="22" spans="2:15" s="3" customFormat="1" ht="24" x14ac:dyDescent="0.3">
      <c r="B22" s="109"/>
      <c r="C22" s="117"/>
      <c r="D22" s="117"/>
      <c r="E22" s="40">
        <v>4.13</v>
      </c>
      <c r="F22" s="42" t="s">
        <v>75</v>
      </c>
      <c r="G22" s="44">
        <v>0</v>
      </c>
      <c r="H22" s="89">
        <f>E22*G22*0.9</f>
        <v>0</v>
      </c>
      <c r="I22" s="89"/>
      <c r="J22" s="23">
        <v>0</v>
      </c>
      <c r="K22" s="89">
        <f>E22*J22*0.9</f>
        <v>0</v>
      </c>
      <c r="L22" s="95"/>
      <c r="M22" s="23">
        <v>0</v>
      </c>
      <c r="N22" s="90">
        <f>E22*M22*0.9</f>
        <v>0</v>
      </c>
      <c r="O22" s="91"/>
    </row>
    <row r="23" spans="2:15" s="3" customFormat="1" ht="24" x14ac:dyDescent="0.3">
      <c r="B23" s="109"/>
      <c r="C23" s="111" t="s">
        <v>45</v>
      </c>
      <c r="D23" s="111" t="s">
        <v>56</v>
      </c>
      <c r="E23" s="30">
        <f>1.8/1000</f>
        <v>1.8E-3</v>
      </c>
      <c r="F23" s="30" t="s">
        <v>16</v>
      </c>
      <c r="G23" s="23">
        <v>1</v>
      </c>
      <c r="H23" s="89">
        <f>E23*G23*0.9</f>
        <v>1.6199999999999999E-3</v>
      </c>
      <c r="I23" s="89"/>
      <c r="J23" s="23">
        <v>1</v>
      </c>
      <c r="K23" s="89">
        <f>E23*J23*0.9</f>
        <v>1.6199999999999999E-3</v>
      </c>
      <c r="L23" s="95"/>
      <c r="M23" s="23">
        <v>1</v>
      </c>
      <c r="N23" s="90">
        <f>E23*M23*0.9</f>
        <v>1.6199999999999999E-3</v>
      </c>
      <c r="O23" s="91"/>
    </row>
    <row r="24" spans="2:15" s="3" customFormat="1" ht="24" x14ac:dyDescent="0.3">
      <c r="B24" s="109"/>
      <c r="C24" s="112"/>
      <c r="D24" s="112"/>
      <c r="E24" s="30">
        <f>200/1000</f>
        <v>0.2</v>
      </c>
      <c r="F24" s="30" t="s">
        <v>30</v>
      </c>
      <c r="G24" s="23">
        <v>0</v>
      </c>
      <c r="H24" s="89">
        <f>E24*G24*0.9</f>
        <v>0</v>
      </c>
      <c r="I24" s="89"/>
      <c r="J24" s="23">
        <v>0</v>
      </c>
      <c r="K24" s="89">
        <f>E24*J24*0.9</f>
        <v>0</v>
      </c>
      <c r="L24" s="95"/>
      <c r="M24" s="23">
        <v>0</v>
      </c>
      <c r="N24" s="90">
        <f>E24*M24*0.9</f>
        <v>0</v>
      </c>
      <c r="O24" s="91"/>
    </row>
    <row r="25" spans="2:15" s="3" customFormat="1" ht="24" x14ac:dyDescent="0.3">
      <c r="B25" s="109"/>
      <c r="C25" s="112"/>
      <c r="D25" s="112"/>
      <c r="E25" s="30">
        <f>800/1000</f>
        <v>0.8</v>
      </c>
      <c r="F25" s="30" t="s">
        <v>13</v>
      </c>
      <c r="G25" s="23">
        <v>0</v>
      </c>
      <c r="H25" s="89">
        <f>E25*G25*0.9</f>
        <v>0</v>
      </c>
      <c r="I25" s="89"/>
      <c r="J25" s="23">
        <v>0</v>
      </c>
      <c r="K25" s="89">
        <f>E25*J25*0.9</f>
        <v>0</v>
      </c>
      <c r="L25" s="95"/>
      <c r="M25" s="23">
        <v>0</v>
      </c>
      <c r="N25" s="90">
        <f>E25*M25*0.9</f>
        <v>0</v>
      </c>
      <c r="O25" s="91"/>
    </row>
    <row r="26" spans="2:15" s="3" customFormat="1" ht="24" x14ac:dyDescent="0.3">
      <c r="B26" s="109"/>
      <c r="C26" s="112"/>
      <c r="D26" s="112"/>
      <c r="E26" s="30">
        <f>600/1000</f>
        <v>0.6</v>
      </c>
      <c r="F26" s="30" t="s">
        <v>50</v>
      </c>
      <c r="G26" s="23">
        <v>0</v>
      </c>
      <c r="H26" s="89">
        <f>E26*G26*0.9</f>
        <v>0</v>
      </c>
      <c r="I26" s="89"/>
      <c r="J26" s="23">
        <v>0</v>
      </c>
      <c r="K26" s="89">
        <f>E26*J26*0.9</f>
        <v>0</v>
      </c>
      <c r="L26" s="95"/>
      <c r="M26" s="23">
        <v>0</v>
      </c>
      <c r="N26" s="90">
        <f>E26*M26*0.9</f>
        <v>0</v>
      </c>
      <c r="O26" s="91"/>
    </row>
    <row r="27" spans="2:15" s="3" customFormat="1" ht="24" x14ac:dyDescent="0.3">
      <c r="B27" s="110"/>
      <c r="C27" s="113"/>
      <c r="D27" s="113"/>
      <c r="E27" s="30">
        <v>10.7</v>
      </c>
      <c r="F27" s="30" t="s">
        <v>15</v>
      </c>
      <c r="G27" s="23">
        <v>0</v>
      </c>
      <c r="H27" s="89">
        <f>E27*G27*0.9</f>
        <v>0</v>
      </c>
      <c r="I27" s="89"/>
      <c r="J27" s="23">
        <v>0</v>
      </c>
      <c r="K27" s="89">
        <f>E27*J27*0.9</f>
        <v>0</v>
      </c>
      <c r="L27" s="95"/>
      <c r="M27" s="23">
        <v>0</v>
      </c>
      <c r="N27" s="90">
        <f>E27*M27*0.9</f>
        <v>0</v>
      </c>
      <c r="O27" s="91"/>
    </row>
    <row r="28" spans="2:15" s="3" customFormat="1" ht="24" x14ac:dyDescent="0.3">
      <c r="B28" s="50" t="s">
        <v>46</v>
      </c>
      <c r="C28" s="30" t="s">
        <v>49</v>
      </c>
      <c r="D28" s="30" t="s">
        <v>102</v>
      </c>
      <c r="E28" s="30">
        <v>5</v>
      </c>
      <c r="F28" s="30" t="s">
        <v>39</v>
      </c>
      <c r="G28" s="23">
        <v>0</v>
      </c>
      <c r="H28" s="89">
        <f>E28*G28*0.9</f>
        <v>0</v>
      </c>
      <c r="I28" s="89"/>
      <c r="J28" s="23">
        <f>10/60</f>
        <v>0.16666666666666666</v>
      </c>
      <c r="K28" s="129">
        <f>E28*J28*0.9</f>
        <v>0.75</v>
      </c>
      <c r="L28" s="130"/>
      <c r="M28" s="23">
        <v>0</v>
      </c>
      <c r="N28" s="90">
        <f>E28*M28*0.9</f>
        <v>0</v>
      </c>
      <c r="O28" s="91"/>
    </row>
    <row r="29" spans="2:15" s="3" customFormat="1" ht="24" x14ac:dyDescent="0.3">
      <c r="B29" s="108" t="s">
        <v>58</v>
      </c>
      <c r="C29" s="43" t="s">
        <v>59</v>
      </c>
      <c r="D29" s="43" t="s">
        <v>74</v>
      </c>
      <c r="E29" s="43">
        <f>2.3</f>
        <v>2.2999999999999998</v>
      </c>
      <c r="F29" s="42" t="s">
        <v>65</v>
      </c>
      <c r="G29" s="23">
        <v>0</v>
      </c>
      <c r="H29" s="89">
        <f>E29*G29*0.9</f>
        <v>0</v>
      </c>
      <c r="I29" s="89"/>
      <c r="J29" s="23">
        <v>0</v>
      </c>
      <c r="K29" s="89">
        <f>E29*J29*0.9</f>
        <v>0</v>
      </c>
      <c r="L29" s="95"/>
      <c r="M29" s="23">
        <f>300*4/5900</f>
        <v>0.20338983050847459</v>
      </c>
      <c r="N29" s="87">
        <f>E29*M29*0.9</f>
        <v>0.4210169491525424</v>
      </c>
      <c r="O29" s="88"/>
    </row>
    <row r="30" spans="2:15" s="3" customFormat="1" ht="49.5" customHeight="1" x14ac:dyDescent="0.3">
      <c r="B30" s="110"/>
      <c r="C30" s="49" t="s">
        <v>68</v>
      </c>
      <c r="D30" s="49" t="s">
        <v>93</v>
      </c>
      <c r="E30" s="49">
        <v>0.8</v>
      </c>
      <c r="F30" s="30" t="s">
        <v>65</v>
      </c>
      <c r="G30" s="23">
        <v>1</v>
      </c>
      <c r="H30" s="92">
        <f>E30*G30*0.9</f>
        <v>0.72000000000000008</v>
      </c>
      <c r="I30" s="92"/>
      <c r="J30" s="23">
        <v>1</v>
      </c>
      <c r="K30" s="92">
        <f>E30*J30*0.9</f>
        <v>0.72000000000000008</v>
      </c>
      <c r="L30" s="93"/>
      <c r="M30" s="23">
        <v>1</v>
      </c>
      <c r="N30" s="87">
        <f>E30*M30*0.9</f>
        <v>0.72000000000000008</v>
      </c>
      <c r="O30" s="88"/>
    </row>
    <row r="31" spans="2:15" s="3" customFormat="1" ht="49.5" customHeight="1" x14ac:dyDescent="0.3">
      <c r="B31" s="108" t="s">
        <v>0</v>
      </c>
      <c r="C31" s="30" t="s">
        <v>37</v>
      </c>
      <c r="D31" s="30" t="s">
        <v>88</v>
      </c>
      <c r="E31" s="30">
        <v>0.26</v>
      </c>
      <c r="F31" s="30" t="s">
        <v>57</v>
      </c>
      <c r="G31" s="23">
        <v>1</v>
      </c>
      <c r="H31" s="92">
        <f>E31*G31*0.9</f>
        <v>0.23400000000000001</v>
      </c>
      <c r="I31" s="92"/>
      <c r="J31" s="23">
        <v>1</v>
      </c>
      <c r="K31" s="92">
        <f>E31*J31*0.9</f>
        <v>0.23400000000000001</v>
      </c>
      <c r="L31" s="93"/>
      <c r="M31" s="23">
        <v>1</v>
      </c>
      <c r="N31" s="87">
        <f>E31*M31*0.9</f>
        <v>0.23400000000000001</v>
      </c>
      <c r="O31" s="88"/>
    </row>
    <row r="32" spans="2:15" s="3" customFormat="1" ht="21.75" customHeight="1" x14ac:dyDescent="0.3">
      <c r="B32" s="109"/>
      <c r="C32" s="111" t="s">
        <v>33</v>
      </c>
      <c r="D32" s="111" t="s">
        <v>18</v>
      </c>
      <c r="E32" s="30">
        <v>0</v>
      </c>
      <c r="F32" s="30" t="s">
        <v>17</v>
      </c>
      <c r="G32" s="23">
        <v>1</v>
      </c>
      <c r="H32" s="81" t="s">
        <v>94</v>
      </c>
      <c r="I32" s="82"/>
      <c r="J32" s="23">
        <v>1</v>
      </c>
      <c r="K32" s="81" t="s">
        <v>94</v>
      </c>
      <c r="L32" s="82"/>
      <c r="M32" s="23">
        <v>1</v>
      </c>
      <c r="N32" s="81" t="s">
        <v>94</v>
      </c>
      <c r="O32" s="82"/>
    </row>
    <row r="33" spans="2:15" s="3" customFormat="1" ht="24" x14ac:dyDescent="0.3">
      <c r="B33" s="110"/>
      <c r="C33" s="113"/>
      <c r="D33" s="113"/>
      <c r="E33" s="30">
        <v>7</v>
      </c>
      <c r="F33" s="30" t="s">
        <v>36</v>
      </c>
      <c r="G33" s="23">
        <v>0</v>
      </c>
      <c r="H33" s="89">
        <f>SUM(H5:H31)</f>
        <v>5.0089725000000005</v>
      </c>
      <c r="I33" s="89"/>
      <c r="J33" s="23">
        <v>0</v>
      </c>
      <c r="K33" s="89">
        <f>SUM(K5:K31)</f>
        <v>5.7589725000000005</v>
      </c>
      <c r="L33" s="89"/>
      <c r="M33" s="23">
        <v>0</v>
      </c>
      <c r="N33" s="89">
        <f>SUM(N5:N31)</f>
        <v>8.8216974152542385</v>
      </c>
      <c r="O33" s="89"/>
    </row>
    <row r="34" spans="2:15" ht="17.25" customHeight="1" x14ac:dyDescent="0.3">
      <c r="D34" s="7"/>
    </row>
    <row r="35" spans="2:15" ht="17.25" customHeight="1" x14ac:dyDescent="0.3">
      <c r="D35" s="29" t="s">
        <v>9</v>
      </c>
    </row>
    <row r="36" spans="2:15" ht="26.25" x14ac:dyDescent="0.3">
      <c r="D36" s="29" t="s">
        <v>4</v>
      </c>
    </row>
    <row r="37" spans="2:15" ht="26.25" x14ac:dyDescent="0.3">
      <c r="D37" s="29" t="s">
        <v>10</v>
      </c>
    </row>
    <row r="38" spans="2:15" ht="26.25" x14ac:dyDescent="0.3">
      <c r="D38" s="29" t="s">
        <v>2</v>
      </c>
    </row>
    <row r="48" spans="2:15" ht="21" customHeight="1" x14ac:dyDescent="0.3"/>
    <row r="49" spans="2:14" ht="21" customHeight="1" x14ac:dyDescent="0.3"/>
    <row r="50" spans="2:14" ht="20.25" x14ac:dyDescent="0.3">
      <c r="B50" s="1"/>
      <c r="C50" s="1"/>
      <c r="D50" s="1"/>
      <c r="E50" s="2"/>
      <c r="F50" s="2"/>
      <c r="G50" s="1"/>
      <c r="H50" s="1"/>
      <c r="I50" s="1"/>
      <c r="J50" s="1"/>
      <c r="K50" s="1"/>
      <c r="L50" s="1"/>
      <c r="M50" s="1"/>
      <c r="N50" s="1"/>
    </row>
    <row r="51" spans="2:14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2:14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</sheetData>
  <mergeCells count="109">
    <mergeCell ref="K33:L33"/>
    <mergeCell ref="N33:O33"/>
    <mergeCell ref="B31:B33"/>
    <mergeCell ref="H31:I31"/>
    <mergeCell ref="K31:L31"/>
    <mergeCell ref="N31:O31"/>
    <mergeCell ref="C32:C33"/>
    <mergeCell ref="D32:D33"/>
    <mergeCell ref="H32:I32"/>
    <mergeCell ref="K32:L32"/>
    <mergeCell ref="N32:O32"/>
    <mergeCell ref="H33:I33"/>
    <mergeCell ref="H28:I28"/>
    <mergeCell ref="K28:L28"/>
    <mergeCell ref="N28:O28"/>
    <mergeCell ref="B29:B30"/>
    <mergeCell ref="H29:I29"/>
    <mergeCell ref="K29:L29"/>
    <mergeCell ref="N29:O29"/>
    <mergeCell ref="H30:I30"/>
    <mergeCell ref="K30:L30"/>
    <mergeCell ref="N30:O30"/>
    <mergeCell ref="H26:I26"/>
    <mergeCell ref="K26:L26"/>
    <mergeCell ref="N26:O26"/>
    <mergeCell ref="H27:I27"/>
    <mergeCell ref="K27:L27"/>
    <mergeCell ref="N27:O27"/>
    <mergeCell ref="N23:O23"/>
    <mergeCell ref="H24:I24"/>
    <mergeCell ref="K24:L24"/>
    <mergeCell ref="N24:O24"/>
    <mergeCell ref="H25:I25"/>
    <mergeCell ref="K25:L25"/>
    <mergeCell ref="N25:O25"/>
    <mergeCell ref="K21:L21"/>
    <mergeCell ref="N21:O21"/>
    <mergeCell ref="H22:I22"/>
    <mergeCell ref="K22:L22"/>
    <mergeCell ref="N22:O22"/>
    <mergeCell ref="C23:C27"/>
    <mergeCell ref="D23:D27"/>
    <mergeCell ref="H23:I23"/>
    <mergeCell ref="K23:L23"/>
    <mergeCell ref="H19:I19"/>
    <mergeCell ref="K19:L19"/>
    <mergeCell ref="N19:O19"/>
    <mergeCell ref="C20:C22"/>
    <mergeCell ref="D20:D22"/>
    <mergeCell ref="H20:I20"/>
    <mergeCell ref="K20:L20"/>
    <mergeCell ref="N20:O20"/>
    <mergeCell ref="H21:I21"/>
    <mergeCell ref="K16:K17"/>
    <mergeCell ref="N16:N17"/>
    <mergeCell ref="C18:C19"/>
    <mergeCell ref="D18:D19"/>
    <mergeCell ref="H18:I18"/>
    <mergeCell ref="K18:L18"/>
    <mergeCell ref="N18:O18"/>
    <mergeCell ref="H15:I15"/>
    <mergeCell ref="K15:L15"/>
    <mergeCell ref="N15:O15"/>
    <mergeCell ref="B16:B27"/>
    <mergeCell ref="C16:C17"/>
    <mergeCell ref="D16:D17"/>
    <mergeCell ref="H16:H17"/>
    <mergeCell ref="K11:L11"/>
    <mergeCell ref="N11:O11"/>
    <mergeCell ref="C12:C14"/>
    <mergeCell ref="D12:D14"/>
    <mergeCell ref="H12:H14"/>
    <mergeCell ref="K12:K14"/>
    <mergeCell ref="N12:N14"/>
    <mergeCell ref="K8:L8"/>
    <mergeCell ref="N8:O8"/>
    <mergeCell ref="B9:B15"/>
    <mergeCell ref="H9:I9"/>
    <mergeCell ref="K9:L9"/>
    <mergeCell ref="N9:O9"/>
    <mergeCell ref="H10:I10"/>
    <mergeCell ref="K10:L10"/>
    <mergeCell ref="N10:O10"/>
    <mergeCell ref="H11:I11"/>
    <mergeCell ref="K5:L5"/>
    <mergeCell ref="N5:O5"/>
    <mergeCell ref="H6:I6"/>
    <mergeCell ref="K6:L6"/>
    <mergeCell ref="N6:O6"/>
    <mergeCell ref="B7:B8"/>
    <mergeCell ref="H7:I7"/>
    <mergeCell ref="K7:L7"/>
    <mergeCell ref="N7:O7"/>
    <mergeCell ref="H8:I8"/>
    <mergeCell ref="H4:I4"/>
    <mergeCell ref="K4:L4"/>
    <mergeCell ref="N4:O4"/>
    <mergeCell ref="B5:B6"/>
    <mergeCell ref="C5:C6"/>
    <mergeCell ref="D5:D6"/>
    <mergeCell ref="H5:I5"/>
    <mergeCell ref="H2:I3"/>
    <mergeCell ref="K2:L3"/>
    <mergeCell ref="N2:O3"/>
    <mergeCell ref="B2:B3"/>
    <mergeCell ref="C2:C4"/>
    <mergeCell ref="D2:D4"/>
    <mergeCell ref="E2:E4"/>
    <mergeCell ref="F2:F4"/>
  </mergeCells>
  <phoneticPr fontId="11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50"/>
  <sheetViews>
    <sheetView tabSelected="1" zoomScale="70" zoomScaleNormal="70" workbookViewId="0">
      <selection activeCell="C13" sqref="C13"/>
    </sheetView>
  </sheetViews>
  <sheetFormatPr defaultRowHeight="16.5" x14ac:dyDescent="0.3"/>
  <cols>
    <col min="2" max="2" width="13" customWidth="1"/>
    <col min="3" max="3" width="13.25" style="12" bestFit="1" customWidth="1"/>
    <col min="4" max="4" width="27.625" style="12" bestFit="1" customWidth="1"/>
    <col min="5" max="5" width="20.625" style="12" bestFit="1" customWidth="1"/>
    <col min="6" max="6" width="20.125" style="12" bestFit="1" customWidth="1"/>
    <col min="7" max="7" width="16.625" style="12" customWidth="1"/>
    <col min="8" max="8" width="14.25" style="12" bestFit="1" customWidth="1"/>
    <col min="9" max="9" width="27.625" style="12" bestFit="1" customWidth="1"/>
    <col min="10" max="10" width="20.625" style="12" bestFit="1" customWidth="1"/>
    <col min="11" max="11" width="29.625" style="12" bestFit="1" customWidth="1"/>
    <col min="12" max="12" width="20.625" style="12" customWidth="1"/>
    <col min="13" max="13" width="13.25" style="12" bestFit="1" customWidth="1"/>
    <col min="14" max="14" width="27.625" style="12" bestFit="1" customWidth="1"/>
    <col min="15" max="15" width="41.25" style="12" customWidth="1"/>
    <col min="16" max="16" width="20.125" style="12" bestFit="1" customWidth="1"/>
    <col min="19" max="19" width="18.125" bestFit="1" customWidth="1"/>
    <col min="20" max="20" width="27.125" bestFit="1" customWidth="1"/>
    <col min="21" max="21" width="47.375" bestFit="1" customWidth="1"/>
    <col min="23" max="23" width="9" customWidth="1"/>
    <col min="24" max="24" width="15.125" bestFit="1" customWidth="1"/>
  </cols>
  <sheetData>
    <row r="1" spans="2:15" ht="21" thickBot="1" x14ac:dyDescent="0.35">
      <c r="C1" s="59"/>
      <c r="D1" s="54"/>
      <c r="E1" s="54"/>
      <c r="F1" s="47"/>
      <c r="G1" s="47"/>
      <c r="H1" s="47"/>
      <c r="I1" s="47"/>
      <c r="J1" s="54"/>
      <c r="K1" s="47"/>
      <c r="L1" s="54"/>
      <c r="M1" s="47"/>
      <c r="N1" s="54"/>
      <c r="O1" s="47"/>
    </row>
    <row r="2" spans="2:15" s="12" customFormat="1" ht="17.25" x14ac:dyDescent="0.3">
      <c r="B2" s="63" t="s">
        <v>14</v>
      </c>
      <c r="C2" s="119" t="s">
        <v>38</v>
      </c>
      <c r="D2" s="119" t="s">
        <v>28</v>
      </c>
      <c r="E2" s="122" t="s">
        <v>98</v>
      </c>
      <c r="G2" s="61"/>
      <c r="L2" s="61"/>
    </row>
    <row r="3" spans="2:15" s="12" customFormat="1" ht="17.25" x14ac:dyDescent="0.3">
      <c r="B3" s="64" t="s">
        <v>40</v>
      </c>
      <c r="C3" s="120"/>
      <c r="D3" s="120"/>
      <c r="E3" s="123"/>
      <c r="G3" s="61"/>
      <c r="L3" s="61"/>
    </row>
    <row r="4" spans="2:15" s="12" customFormat="1" ht="17.25" x14ac:dyDescent="0.3">
      <c r="B4" s="121" t="s">
        <v>11</v>
      </c>
      <c r="C4" s="62" t="s">
        <v>32</v>
      </c>
      <c r="D4" s="62" t="s">
        <v>21</v>
      </c>
      <c r="E4" s="65">
        <v>0.81</v>
      </c>
      <c r="G4" s="61"/>
      <c r="L4" s="61"/>
    </row>
    <row r="5" spans="2:15" s="12" customFormat="1" ht="17.25" x14ac:dyDescent="0.3">
      <c r="B5" s="121"/>
      <c r="C5" s="62" t="s">
        <v>44</v>
      </c>
      <c r="D5" s="62" t="s">
        <v>26</v>
      </c>
      <c r="E5" s="65">
        <v>4.4549999999999999E-2</v>
      </c>
      <c r="G5" s="61"/>
      <c r="L5" s="61"/>
    </row>
    <row r="6" spans="2:15" s="12" customFormat="1" ht="17.25" x14ac:dyDescent="0.3">
      <c r="B6" s="121" t="s">
        <v>19</v>
      </c>
      <c r="C6" s="62" t="s">
        <v>86</v>
      </c>
      <c r="D6" s="62" t="s">
        <v>87</v>
      </c>
      <c r="E6" s="65">
        <v>0.59697</v>
      </c>
      <c r="G6" s="61"/>
      <c r="L6" s="61"/>
    </row>
    <row r="7" spans="2:15" s="12" customFormat="1" ht="17.25" x14ac:dyDescent="0.3">
      <c r="B7" s="121"/>
      <c r="C7" s="62" t="s">
        <v>67</v>
      </c>
      <c r="D7" s="62" t="s">
        <v>66</v>
      </c>
      <c r="E7" s="65">
        <v>0.18000000000000002</v>
      </c>
      <c r="G7" s="61"/>
      <c r="L7" s="61"/>
    </row>
    <row r="8" spans="2:15" s="12" customFormat="1" ht="17.25" x14ac:dyDescent="0.3">
      <c r="B8" s="121"/>
      <c r="C8" s="62" t="s">
        <v>41</v>
      </c>
      <c r="D8" s="62" t="s">
        <v>90</v>
      </c>
      <c r="E8" s="65">
        <v>0.33750000000000002</v>
      </c>
      <c r="G8" s="61"/>
      <c r="L8" s="61"/>
    </row>
    <row r="9" spans="2:15" s="12" customFormat="1" ht="69" x14ac:dyDescent="0.3">
      <c r="B9" s="121"/>
      <c r="C9" s="62" t="s">
        <v>101</v>
      </c>
      <c r="D9" s="62" t="s">
        <v>73</v>
      </c>
      <c r="E9" s="71">
        <v>1.6466624999999999</v>
      </c>
      <c r="G9" s="61"/>
      <c r="L9" s="61"/>
    </row>
    <row r="10" spans="2:15" s="12" customFormat="1" ht="17.25" x14ac:dyDescent="0.3">
      <c r="B10" s="66" t="s">
        <v>27</v>
      </c>
      <c r="C10" s="62" t="s">
        <v>31</v>
      </c>
      <c r="D10" s="62" t="s">
        <v>55</v>
      </c>
      <c r="E10" s="71">
        <v>0.42867000000000005</v>
      </c>
      <c r="G10" s="61"/>
      <c r="L10" s="61"/>
    </row>
    <row r="11" spans="2:15" s="12" customFormat="1" ht="17.25" x14ac:dyDescent="0.3">
      <c r="B11" s="66"/>
      <c r="C11" s="62" t="s">
        <v>68</v>
      </c>
      <c r="D11" s="62" t="s">
        <v>93</v>
      </c>
      <c r="E11" s="65">
        <v>0.72000000000000008</v>
      </c>
      <c r="G11" s="61"/>
      <c r="L11" s="61"/>
    </row>
    <row r="12" spans="2:15" s="12" customFormat="1" ht="18" thickBot="1" x14ac:dyDescent="0.35">
      <c r="B12" s="67" t="s">
        <v>0</v>
      </c>
      <c r="C12" s="68" t="s">
        <v>37</v>
      </c>
      <c r="D12" s="68" t="s">
        <v>88</v>
      </c>
      <c r="E12" s="69">
        <v>0.23400000000000001</v>
      </c>
      <c r="G12" s="61"/>
      <c r="L12" s="61"/>
    </row>
    <row r="13" spans="2:15" s="12" customFormat="1" ht="17.25" x14ac:dyDescent="0.3">
      <c r="C13" s="61"/>
      <c r="D13" s="61"/>
      <c r="E13" s="61"/>
      <c r="F13" s="61"/>
      <c r="G13" s="61"/>
      <c r="L13" s="61"/>
    </row>
    <row r="14" spans="2:15" s="12" customFormat="1" ht="17.25" x14ac:dyDescent="0.3">
      <c r="C14" s="61"/>
      <c r="D14" s="61"/>
      <c r="E14" s="61"/>
      <c r="F14" s="61"/>
      <c r="G14" s="61"/>
      <c r="H14" s="61"/>
      <c r="I14" s="61"/>
      <c r="J14" s="61"/>
      <c r="K14" s="61"/>
      <c r="L14" s="61"/>
    </row>
    <row r="15" spans="2:15" s="12" customFormat="1" ht="18" thickBot="1" x14ac:dyDescent="0.35">
      <c r="F15" s="61"/>
      <c r="G15" s="61"/>
      <c r="H15" s="61"/>
      <c r="I15" s="61"/>
      <c r="J15" s="61"/>
      <c r="K15" s="61"/>
      <c r="L15" s="61"/>
    </row>
    <row r="16" spans="2:15" s="12" customFormat="1" ht="25.5" customHeight="1" x14ac:dyDescent="0.3">
      <c r="B16" s="63" t="s">
        <v>14</v>
      </c>
      <c r="C16" s="119" t="s">
        <v>38</v>
      </c>
      <c r="D16" s="119" t="s">
        <v>28</v>
      </c>
      <c r="E16" s="126" t="s">
        <v>99</v>
      </c>
      <c r="F16" s="61"/>
      <c r="G16" s="61"/>
      <c r="H16" s="61"/>
      <c r="I16" s="61"/>
      <c r="J16" s="61"/>
      <c r="K16" s="61"/>
      <c r="L16" s="61"/>
    </row>
    <row r="17" spans="2:12" s="12" customFormat="1" ht="50.25" customHeight="1" x14ac:dyDescent="0.3">
      <c r="B17" s="64" t="s">
        <v>40</v>
      </c>
      <c r="C17" s="120"/>
      <c r="D17" s="120"/>
      <c r="E17" s="127"/>
      <c r="F17" s="61"/>
      <c r="G17" s="61"/>
      <c r="H17" s="61"/>
      <c r="I17" s="61"/>
      <c r="J17" s="61"/>
      <c r="K17" s="61"/>
      <c r="L17" s="61"/>
    </row>
    <row r="18" spans="2:12" s="12" customFormat="1" ht="17.25" x14ac:dyDescent="0.3">
      <c r="B18" s="121" t="s">
        <v>11</v>
      </c>
      <c r="C18" s="62" t="s">
        <v>32</v>
      </c>
      <c r="D18" s="62" t="s">
        <v>21</v>
      </c>
      <c r="E18" s="65">
        <v>0.81</v>
      </c>
      <c r="F18" s="61"/>
      <c r="G18" s="61"/>
      <c r="H18" s="61"/>
      <c r="I18" s="61"/>
      <c r="J18" s="61"/>
      <c r="K18" s="61"/>
      <c r="L18" s="61"/>
    </row>
    <row r="19" spans="2:12" s="12" customFormat="1" ht="17.25" x14ac:dyDescent="0.3">
      <c r="B19" s="121"/>
      <c r="C19" s="62" t="s">
        <v>44</v>
      </c>
      <c r="D19" s="62" t="s">
        <v>26</v>
      </c>
      <c r="E19" s="65">
        <v>4.4549999999999999E-2</v>
      </c>
    </row>
    <row r="20" spans="2:12" s="12" customFormat="1" ht="17.25" x14ac:dyDescent="0.3">
      <c r="B20" s="121" t="s">
        <v>19</v>
      </c>
      <c r="C20" s="62" t="s">
        <v>86</v>
      </c>
      <c r="D20" s="62" t="s">
        <v>87</v>
      </c>
      <c r="E20" s="65">
        <v>0.59697</v>
      </c>
    </row>
    <row r="21" spans="2:12" s="12" customFormat="1" ht="17.25" x14ac:dyDescent="0.3">
      <c r="B21" s="121"/>
      <c r="C21" s="62" t="s">
        <v>67</v>
      </c>
      <c r="D21" s="62" t="s">
        <v>66</v>
      </c>
      <c r="E21" s="65">
        <v>0.18000000000000002</v>
      </c>
    </row>
    <row r="22" spans="2:12" s="12" customFormat="1" ht="17.25" x14ac:dyDescent="0.3">
      <c r="B22" s="121"/>
      <c r="C22" s="62" t="s">
        <v>41</v>
      </c>
      <c r="D22" s="62" t="s">
        <v>90</v>
      </c>
      <c r="E22" s="65">
        <v>0.33750000000000002</v>
      </c>
      <c r="G22" s="60"/>
      <c r="H22" s="60"/>
      <c r="I22" s="60"/>
      <c r="K22" s="60"/>
    </row>
    <row r="23" spans="2:12" s="12" customFormat="1" ht="69" x14ac:dyDescent="0.3">
      <c r="B23" s="121"/>
      <c r="C23" s="62" t="s">
        <v>101</v>
      </c>
      <c r="D23" s="62" t="s">
        <v>73</v>
      </c>
      <c r="E23" s="71">
        <v>1.6466624999999999</v>
      </c>
    </row>
    <row r="24" spans="2:12" s="12" customFormat="1" ht="17.25" x14ac:dyDescent="0.3">
      <c r="B24" s="66" t="s">
        <v>27</v>
      </c>
      <c r="C24" s="62" t="s">
        <v>31</v>
      </c>
      <c r="D24" s="62" t="s">
        <v>55</v>
      </c>
      <c r="E24" s="71">
        <v>0.42867000000000005</v>
      </c>
    </row>
    <row r="25" spans="2:12" s="12" customFormat="1" ht="17.25" x14ac:dyDescent="0.3">
      <c r="B25" s="66" t="s">
        <v>46</v>
      </c>
      <c r="C25" s="62" t="s">
        <v>49</v>
      </c>
      <c r="D25" s="62" t="s">
        <v>104</v>
      </c>
      <c r="E25" s="65">
        <v>0.75</v>
      </c>
    </row>
    <row r="26" spans="2:12" s="12" customFormat="1" ht="17.25" x14ac:dyDescent="0.3">
      <c r="B26" s="66" t="s">
        <v>103</v>
      </c>
      <c r="C26" s="62" t="s">
        <v>68</v>
      </c>
      <c r="D26" s="62" t="s">
        <v>93</v>
      </c>
      <c r="E26" s="65">
        <v>0.72000000000000008</v>
      </c>
    </row>
    <row r="27" spans="2:12" s="12" customFormat="1" ht="18" thickBot="1" x14ac:dyDescent="0.35">
      <c r="B27" s="67" t="s">
        <v>0</v>
      </c>
      <c r="C27" s="68" t="s">
        <v>37</v>
      </c>
      <c r="D27" s="68" t="s">
        <v>88</v>
      </c>
      <c r="E27" s="69">
        <v>0.23400000000000001</v>
      </c>
    </row>
    <row r="28" spans="2:12" s="12" customFormat="1" x14ac:dyDescent="0.3"/>
    <row r="29" spans="2:12" s="12" customFormat="1" x14ac:dyDescent="0.3"/>
    <row r="30" spans="2:12" s="12" customFormat="1" x14ac:dyDescent="0.3"/>
    <row r="31" spans="2:12" s="12" customFormat="1" x14ac:dyDescent="0.3"/>
    <row r="32" spans="2:12" s="12" customFormat="1" x14ac:dyDescent="0.3"/>
    <row r="33" spans="2:5" s="12" customFormat="1" ht="17.25" thickBot="1" x14ac:dyDescent="0.35"/>
    <row r="34" spans="2:5" s="12" customFormat="1" ht="17.25" x14ac:dyDescent="0.3">
      <c r="B34" s="63" t="s">
        <v>14</v>
      </c>
      <c r="C34" s="119" t="s">
        <v>38</v>
      </c>
      <c r="D34" s="119" t="s">
        <v>28</v>
      </c>
      <c r="E34" s="124" t="s">
        <v>100</v>
      </c>
    </row>
    <row r="35" spans="2:5" s="12" customFormat="1" ht="17.25" x14ac:dyDescent="0.3">
      <c r="B35" s="64" t="s">
        <v>40</v>
      </c>
      <c r="C35" s="120"/>
      <c r="D35" s="120"/>
      <c r="E35" s="125"/>
    </row>
    <row r="36" spans="2:5" s="12" customFormat="1" ht="17.25" x14ac:dyDescent="0.3">
      <c r="B36" s="121" t="s">
        <v>25</v>
      </c>
      <c r="C36" s="118" t="s">
        <v>7</v>
      </c>
      <c r="D36" s="118" t="s">
        <v>70</v>
      </c>
      <c r="E36" s="70">
        <v>0.2608474576271187</v>
      </c>
    </row>
    <row r="37" spans="2:5" s="12" customFormat="1" ht="17.25" x14ac:dyDescent="0.3">
      <c r="B37" s="121"/>
      <c r="C37" s="118"/>
      <c r="D37" s="118"/>
      <c r="E37" s="70">
        <v>0.30203389830508476</v>
      </c>
    </row>
    <row r="38" spans="2:5" s="12" customFormat="1" ht="17.25" x14ac:dyDescent="0.3">
      <c r="B38" s="121" t="s">
        <v>11</v>
      </c>
      <c r="C38" s="62" t="s">
        <v>32</v>
      </c>
      <c r="D38" s="62" t="s">
        <v>21</v>
      </c>
      <c r="E38" s="70">
        <v>0.81</v>
      </c>
    </row>
    <row r="39" spans="2:5" s="12" customFormat="1" ht="17.25" x14ac:dyDescent="0.3">
      <c r="B39" s="121"/>
      <c r="C39" s="62" t="s">
        <v>44</v>
      </c>
      <c r="D39" s="62" t="s">
        <v>26</v>
      </c>
      <c r="E39" s="70">
        <v>4.4549999999999999E-2</v>
      </c>
    </row>
    <row r="40" spans="2:5" s="12" customFormat="1" ht="17.25" x14ac:dyDescent="0.3">
      <c r="B40" s="121" t="s">
        <v>19</v>
      </c>
      <c r="C40" s="62" t="s">
        <v>86</v>
      </c>
      <c r="D40" s="62" t="s">
        <v>87</v>
      </c>
      <c r="E40" s="70">
        <v>0.59697</v>
      </c>
    </row>
    <row r="41" spans="2:5" s="12" customFormat="1" ht="17.25" x14ac:dyDescent="0.3">
      <c r="B41" s="121"/>
      <c r="C41" s="62" t="s">
        <v>67</v>
      </c>
      <c r="D41" s="62" t="s">
        <v>66</v>
      </c>
      <c r="E41" s="70">
        <v>0.18000000000000002</v>
      </c>
    </row>
    <row r="42" spans="2:5" s="12" customFormat="1" ht="17.25" x14ac:dyDescent="0.3">
      <c r="B42" s="121"/>
      <c r="C42" s="62" t="s">
        <v>41</v>
      </c>
      <c r="D42" s="62" t="s">
        <v>90</v>
      </c>
      <c r="E42" s="70">
        <v>0.67500000000000004</v>
      </c>
    </row>
    <row r="43" spans="2:5" s="12" customFormat="1" ht="69" x14ac:dyDescent="0.3">
      <c r="B43" s="121"/>
      <c r="C43" s="62" t="s">
        <v>101</v>
      </c>
      <c r="D43" s="62" t="s">
        <v>73</v>
      </c>
      <c r="E43" s="71">
        <v>3.1546125000000003</v>
      </c>
    </row>
    <row r="44" spans="2:5" ht="17.25" x14ac:dyDescent="0.3">
      <c r="B44" s="121"/>
      <c r="C44" s="62" t="s">
        <v>63</v>
      </c>
      <c r="D44" s="62" t="s">
        <v>64</v>
      </c>
      <c r="E44" s="70">
        <v>0.1188</v>
      </c>
    </row>
    <row r="45" spans="2:5" x14ac:dyDescent="0.3">
      <c r="B45" s="121" t="s">
        <v>27</v>
      </c>
      <c r="C45" s="118" t="s">
        <v>31</v>
      </c>
      <c r="D45" s="118" t="s">
        <v>55</v>
      </c>
      <c r="E45" s="128">
        <v>0.58300932203389833</v>
      </c>
    </row>
    <row r="46" spans="2:5" x14ac:dyDescent="0.3">
      <c r="B46" s="121"/>
      <c r="C46" s="118"/>
      <c r="D46" s="118"/>
      <c r="E46" s="128"/>
    </row>
    <row r="47" spans="2:5" ht="34.5" x14ac:dyDescent="0.3">
      <c r="B47" s="121"/>
      <c r="C47" s="62" t="s">
        <v>47</v>
      </c>
      <c r="D47" s="62" t="s">
        <v>69</v>
      </c>
      <c r="E47" s="70">
        <v>0.71023728813559328</v>
      </c>
    </row>
    <row r="48" spans="2:5" ht="34.5" x14ac:dyDescent="0.3">
      <c r="B48" s="121" t="s">
        <v>58</v>
      </c>
      <c r="C48" s="62" t="s">
        <v>59</v>
      </c>
      <c r="D48" s="62" t="s">
        <v>74</v>
      </c>
      <c r="E48" s="70">
        <v>0.4210169491525424</v>
      </c>
    </row>
    <row r="49" spans="2:5" ht="17.25" x14ac:dyDescent="0.3">
      <c r="B49" s="121"/>
      <c r="C49" s="62" t="s">
        <v>68</v>
      </c>
      <c r="D49" s="62" t="s">
        <v>93</v>
      </c>
      <c r="E49" s="70">
        <v>0.72000000000000008</v>
      </c>
    </row>
    <row r="50" spans="2:5" ht="18" thickBot="1" x14ac:dyDescent="0.35">
      <c r="B50" s="67" t="s">
        <v>0</v>
      </c>
      <c r="C50" s="68" t="s">
        <v>37</v>
      </c>
      <c r="D50" s="68" t="s">
        <v>88</v>
      </c>
      <c r="E50" s="72">
        <v>0.23400000000000001</v>
      </c>
    </row>
  </sheetData>
  <mergeCells count="23">
    <mergeCell ref="E45:E46"/>
    <mergeCell ref="C2:C3"/>
    <mergeCell ref="D2:D3"/>
    <mergeCell ref="B4:B5"/>
    <mergeCell ref="B6:B9"/>
    <mergeCell ref="E2:E3"/>
    <mergeCell ref="E34:E35"/>
    <mergeCell ref="E16:E17"/>
    <mergeCell ref="D16:D17"/>
    <mergeCell ref="B18:B19"/>
    <mergeCell ref="C16:C17"/>
    <mergeCell ref="B48:B49"/>
    <mergeCell ref="B20:B23"/>
    <mergeCell ref="B45:B47"/>
    <mergeCell ref="C45:C46"/>
    <mergeCell ref="B40:B44"/>
    <mergeCell ref="D45:D46"/>
    <mergeCell ref="C34:C35"/>
    <mergeCell ref="D34:D35"/>
    <mergeCell ref="B36:B37"/>
    <mergeCell ref="C36:C37"/>
    <mergeCell ref="D36:D37"/>
    <mergeCell ref="B38:B39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Revision</vt:lpstr>
      <vt:lpstr>PowerBudget</vt:lpstr>
      <vt:lpstr>PowerBudget (2)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김태성</dc:creator>
  <cp:lastModifiedBy>hsoh</cp:lastModifiedBy>
  <cp:revision>4</cp:revision>
  <cp:lastPrinted>2020-01-14T12:41:59Z</cp:lastPrinted>
  <dcterms:created xsi:type="dcterms:W3CDTF">2017-06-22T00:37:19Z</dcterms:created>
  <dcterms:modified xsi:type="dcterms:W3CDTF">2020-01-21T07:29:21Z</dcterms:modified>
</cp:coreProperties>
</file>