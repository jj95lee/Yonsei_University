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진진\Desktop\"/>
    </mc:Choice>
  </mc:AlternateContent>
  <xr:revisionPtr revIDLastSave="0" documentId="13_ncr:1_{6B8FA100-2011-4759-AC1E-D15D99CBABEF}" xr6:coauthVersionLast="47" xr6:coauthVersionMax="47" xr10:uidLastSave="{00000000-0000-0000-0000-000000000000}"/>
  <bookViews>
    <workbookView xWindow="-120" yWindow="-120" windowWidth="29040" windowHeight="15840" tabRatio="884" xr2:uid="{3ABCB992-EA95-4778-AA70-E7986924C085}"/>
  </bookViews>
  <sheets>
    <sheet name="1. List of Available Commands" sheetId="1" r:id="rId1"/>
    <sheet name="2. Get Telemetry (0x10)" sheetId="3" r:id="rId2"/>
    <sheet name="3. Telemetry ADC Coefficient" sheetId="2" r:id="rId3"/>
    <sheet name="4. Power bus Breakdow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2" l="1"/>
  <c r="K43" i="2"/>
  <c r="K41" i="2"/>
  <c r="K39" i="2"/>
  <c r="J38" i="2"/>
  <c r="J3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9" i="2"/>
  <c r="J40" i="2"/>
  <c r="J41" i="2"/>
  <c r="J42" i="2"/>
  <c r="J43" i="2"/>
  <c r="J44" i="2"/>
  <c r="J45" i="2"/>
  <c r="J46" i="2"/>
  <c r="J7" i="2"/>
  <c r="J6" i="2"/>
  <c r="K37" i="2"/>
  <c r="J115" i="2"/>
  <c r="J114" i="2"/>
  <c r="J107" i="2"/>
  <c r="J106" i="2"/>
  <c r="J99" i="2"/>
  <c r="J98" i="2"/>
  <c r="J91" i="2"/>
  <c r="J90" i="2"/>
  <c r="J83" i="2"/>
  <c r="J82" i="2"/>
  <c r="J75" i="2"/>
  <c r="J74" i="2"/>
  <c r="J67" i="2"/>
  <c r="J66" i="2"/>
  <c r="J59" i="2"/>
  <c r="J58" i="2"/>
  <c r="J51" i="2"/>
  <c r="J50" i="2"/>
  <c r="J112" i="2"/>
  <c r="J113" i="2"/>
  <c r="J116" i="2"/>
  <c r="J117" i="2"/>
  <c r="J111" i="2"/>
  <c r="J104" i="2"/>
  <c r="J105" i="2"/>
  <c r="J108" i="2"/>
  <c r="J109" i="2"/>
  <c r="J103" i="2"/>
  <c r="J96" i="2"/>
  <c r="J97" i="2"/>
  <c r="J100" i="2"/>
  <c r="J101" i="2"/>
  <c r="J95" i="2"/>
  <c r="J88" i="2"/>
  <c r="J89" i="2"/>
  <c r="J92" i="2"/>
  <c r="J93" i="2"/>
  <c r="J87" i="2"/>
  <c r="J80" i="2"/>
  <c r="J81" i="2"/>
  <c r="J84" i="2"/>
  <c r="J85" i="2"/>
  <c r="J79" i="2"/>
  <c r="J72" i="2"/>
  <c r="J73" i="2"/>
  <c r="J76" i="2"/>
  <c r="J77" i="2"/>
  <c r="J71" i="2"/>
  <c r="J64" i="2"/>
  <c r="J65" i="2"/>
  <c r="J68" i="2"/>
  <c r="J69" i="2"/>
  <c r="J63" i="2"/>
  <c r="J56" i="2"/>
  <c r="J57" i="2"/>
  <c r="J60" i="2"/>
  <c r="J61" i="2"/>
  <c r="J55" i="2"/>
  <c r="J49" i="2"/>
  <c r="J52" i="2"/>
  <c r="J53" i="2"/>
  <c r="J48" i="2"/>
  <c r="J47" i="2"/>
  <c r="K15" i="2"/>
  <c r="K16" i="2"/>
  <c r="K13" i="2"/>
  <c r="K14" i="2"/>
  <c r="K4" i="2"/>
  <c r="K3" i="2"/>
  <c r="J4" i="2"/>
  <c r="J3" i="2"/>
</calcChain>
</file>

<file path=xl/sharedStrings.xml><?xml version="1.0" encoding="utf-8"?>
<sst xmlns="http://schemas.openxmlformats.org/spreadsheetml/2006/main" count="797" uniqueCount="514">
  <si>
    <t>Name</t>
    <phoneticPr fontId="1" type="noConversion"/>
  </si>
  <si>
    <t>Get Last Error</t>
    <phoneticPr fontId="1" type="noConversion"/>
  </si>
  <si>
    <t>Get Version</t>
    <phoneticPr fontId="1" type="noConversion"/>
  </si>
  <si>
    <t>Get Checksum</t>
    <phoneticPr fontId="1" type="noConversion"/>
  </si>
  <si>
    <t>Get Revision</t>
    <phoneticPr fontId="1" type="noConversion"/>
  </si>
  <si>
    <t>Get Telemetry</t>
    <phoneticPr fontId="1" type="noConversion"/>
  </si>
  <si>
    <t>Get Communications Watchdog Period</t>
    <phoneticPr fontId="1" type="noConversion"/>
  </si>
  <si>
    <t>Set Communications Watchdog Period</t>
    <phoneticPr fontId="1" type="noConversion"/>
  </si>
  <si>
    <t>Reset Communications Watchdog</t>
    <phoneticPr fontId="1" type="noConversion"/>
  </si>
  <si>
    <t>Get Number of Brown-out Resets</t>
    <phoneticPr fontId="1" type="noConversion"/>
  </si>
  <si>
    <t>Get Number of Manual Resets</t>
    <phoneticPr fontId="1" type="noConversion"/>
  </si>
  <si>
    <t>Get Number of Comms Watchdog Resets</t>
    <phoneticPr fontId="1" type="noConversion"/>
  </si>
  <si>
    <t>Switch On All PDMs</t>
    <phoneticPr fontId="1" type="noConversion"/>
  </si>
  <si>
    <t>Get Expected State of All PDMs</t>
    <phoneticPr fontId="1" type="noConversion"/>
  </si>
  <si>
    <t>Set All PDMs to Initial State</t>
    <phoneticPr fontId="1" type="noConversion"/>
  </si>
  <si>
    <t>Switch PDM-N "On"</t>
    <phoneticPr fontId="1" type="noConversion"/>
  </si>
  <si>
    <t>Switch PDM-N "Off"</t>
    <phoneticPr fontId="1" type="noConversion"/>
  </si>
  <si>
    <t>Set PDM-N's Initial State to "On"</t>
    <phoneticPr fontId="1" type="noConversion"/>
  </si>
  <si>
    <t>Set PDM-N's Initial State to "Off"</t>
    <phoneticPr fontId="1" type="noConversion"/>
  </si>
  <si>
    <t>Get PDM-N's Actual Status</t>
    <phoneticPr fontId="1" type="noConversion"/>
  </si>
  <si>
    <t>Set PDM-N's Timer Limit</t>
    <phoneticPr fontId="1" type="noConversion"/>
  </si>
  <si>
    <t>Get PDM-N's Timer Limit</t>
    <phoneticPr fontId="1" type="noConversion"/>
  </si>
  <si>
    <t>Get PDM-N's Current Timer Value</t>
    <phoneticPr fontId="1" type="noConversion"/>
  </si>
  <si>
    <t>PCM Reset</t>
    <phoneticPr fontId="1" type="noConversion"/>
  </si>
  <si>
    <t>Manual Reset</t>
    <phoneticPr fontId="1" type="noConversion"/>
  </si>
  <si>
    <t>Command</t>
    <phoneticPr fontId="1" type="noConversion"/>
  </si>
  <si>
    <t>0x01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</si>
  <si>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</si>
  <si>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</si>
  <si>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</si>
  <si>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</si>
  <si>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0x10</t>
    <phoneticPr fontId="1" type="noConversion"/>
  </si>
  <si>
    <t>0x20</t>
    <phoneticPr fontId="1" type="noConversion"/>
  </si>
  <si>
    <t>0x22</t>
    <phoneticPr fontId="1" type="noConversion"/>
  </si>
  <si>
    <t>0x31</t>
    <phoneticPr fontId="1" type="noConversion"/>
  </si>
  <si>
    <t>0x32</t>
    <phoneticPr fontId="1" type="noConversion"/>
  </si>
  <si>
    <t>0x33</t>
    <phoneticPr fontId="1" type="noConversion"/>
  </si>
  <si>
    <t>0x34</t>
    <phoneticPr fontId="1" type="noConversion"/>
  </si>
  <si>
    <t>0x40</t>
    <phoneticPr fontId="1" type="noConversion"/>
  </si>
  <si>
    <t>0x41</t>
    <phoneticPr fontId="1" type="noConversion"/>
  </si>
  <si>
    <t>0x42</t>
    <phoneticPr fontId="1" type="noConversion"/>
  </si>
  <si>
    <t>0x43</t>
    <phoneticPr fontId="1" type="noConversion"/>
  </si>
  <si>
    <t>0x44</t>
    <phoneticPr fontId="1" type="noConversion"/>
  </si>
  <si>
    <t>0x45</t>
    <phoneticPr fontId="1" type="noConversion"/>
  </si>
  <si>
    <t>0x50</t>
    <phoneticPr fontId="1" type="noConversion"/>
  </si>
  <si>
    <t>0x51</t>
    <phoneticPr fontId="1" type="noConversion"/>
  </si>
  <si>
    <t>0x52</t>
    <phoneticPr fontId="1" type="noConversion"/>
  </si>
  <si>
    <t>0x53</t>
    <phoneticPr fontId="1" type="noConversion"/>
  </si>
  <si>
    <t>0x54</t>
    <phoneticPr fontId="1" type="noConversion"/>
  </si>
  <si>
    <t>Get Number of Auto Software Resets</t>
    <phoneticPr fontId="1" type="noConversion"/>
  </si>
  <si>
    <t>Switch Off All PDMs</t>
    <phoneticPr fontId="1" type="noConversion"/>
  </si>
  <si>
    <t>Get Actual State of All PDM's</t>
    <phoneticPr fontId="1" type="noConversion"/>
  </si>
  <si>
    <t>Get Initial State of All PDMs</t>
    <phoneticPr fontId="1" type="noConversion"/>
  </si>
  <si>
    <t>0x60</t>
    <phoneticPr fontId="1" type="noConversion"/>
  </si>
  <si>
    <t>0x61</t>
    <phoneticPr fontId="1" type="noConversion"/>
  </si>
  <si>
    <t>0x62</t>
    <phoneticPr fontId="1" type="noConversion"/>
  </si>
  <si>
    <t>0x70</t>
    <phoneticPr fontId="1" type="noConversion"/>
  </si>
  <si>
    <t>0x80</t>
    <phoneticPr fontId="1" type="noConversion"/>
  </si>
  <si>
    <t>Board Status</t>
    <phoneticPr fontId="1" type="noConversion"/>
  </si>
  <si>
    <t>Data[0]</t>
    <phoneticPr fontId="1" type="noConversion"/>
  </si>
  <si>
    <t>0x00</t>
    <phoneticPr fontId="1" type="noConversion"/>
  </si>
  <si>
    <t>Data[1]</t>
    <phoneticPr fontId="1" type="noConversion"/>
  </si>
  <si>
    <t>NA</t>
  </si>
  <si>
    <t>NA</t>
    <phoneticPr fontId="1" type="noConversion"/>
  </si>
  <si>
    <t>N</t>
    <phoneticPr fontId="1" type="noConversion"/>
  </si>
  <si>
    <t>Limit</t>
    <phoneticPr fontId="1" type="noConversion"/>
  </si>
  <si>
    <t>Bytes Returned</t>
    <phoneticPr fontId="1" type="noConversion"/>
  </si>
  <si>
    <t>W/R Delay</t>
    <phoneticPr fontId="1" type="noConversion"/>
  </si>
  <si>
    <t>-</t>
    <phoneticPr fontId="1" type="noConversion"/>
  </si>
  <si>
    <t>IIDIODE_OUT</t>
    <phoneticPr fontId="1" type="noConversion"/>
  </si>
  <si>
    <t>VIDIODE_OUT</t>
    <phoneticPr fontId="1" type="noConversion"/>
  </si>
  <si>
    <t>VSW1</t>
    <phoneticPr fontId="1" type="noConversion"/>
  </si>
  <si>
    <t>ISW1</t>
    <phoneticPr fontId="1" type="noConversion"/>
  </si>
  <si>
    <t>VSW2</t>
    <phoneticPr fontId="1" type="noConversion"/>
  </si>
  <si>
    <t>ISW2</t>
    <phoneticPr fontId="1" type="noConversion"/>
  </si>
  <si>
    <t>VSW3</t>
    <phoneticPr fontId="1" type="noConversion"/>
  </si>
  <si>
    <t>ISW3</t>
    <phoneticPr fontId="1" type="noConversion"/>
  </si>
  <si>
    <t>VSW4</t>
    <phoneticPr fontId="1" type="noConversion"/>
  </si>
  <si>
    <t>ISW4</t>
    <phoneticPr fontId="1" type="noConversion"/>
  </si>
  <si>
    <t>VSW5</t>
    <phoneticPr fontId="1" type="noConversion"/>
  </si>
  <si>
    <t>ISW6</t>
    <phoneticPr fontId="1" type="noConversion"/>
  </si>
  <si>
    <t>ISW5</t>
    <phoneticPr fontId="1" type="noConversion"/>
  </si>
  <si>
    <t>VSW6</t>
    <phoneticPr fontId="1" type="noConversion"/>
  </si>
  <si>
    <t>VW7</t>
  </si>
  <si>
    <t>ISW7</t>
  </si>
  <si>
    <t>VSW8</t>
  </si>
  <si>
    <t>ISW8</t>
  </si>
  <si>
    <t>VSW9</t>
  </si>
  <si>
    <t>ISW9</t>
  </si>
  <si>
    <t>VSW10</t>
  </si>
  <si>
    <t>ISW10</t>
  </si>
  <si>
    <t>TBRD</t>
  </si>
  <si>
    <t>0xE284</t>
    <phoneticPr fontId="1" type="noConversion"/>
  </si>
  <si>
    <t>0xE280</t>
    <phoneticPr fontId="1" type="noConversion"/>
  </si>
  <si>
    <t>0xE410</t>
    <phoneticPr fontId="1" type="noConversion"/>
  </si>
  <si>
    <t>0xE414</t>
    <phoneticPr fontId="1" type="noConversion"/>
  </si>
  <si>
    <t>0xE420</t>
    <phoneticPr fontId="1" type="noConversion"/>
  </si>
  <si>
    <t>0xE424</t>
    <phoneticPr fontId="1" type="noConversion"/>
  </si>
  <si>
    <t>0xE430</t>
    <phoneticPr fontId="1" type="noConversion"/>
  </si>
  <si>
    <t>0xE434</t>
    <phoneticPr fontId="1" type="noConversion"/>
  </si>
  <si>
    <t>0xE440</t>
    <phoneticPr fontId="1" type="noConversion"/>
  </si>
  <si>
    <t>0xE444</t>
    <phoneticPr fontId="1" type="noConversion"/>
  </si>
  <si>
    <t>0xE450</t>
    <phoneticPr fontId="1" type="noConversion"/>
  </si>
  <si>
    <t>0xE454</t>
    <phoneticPr fontId="1" type="noConversion"/>
  </si>
  <si>
    <t>0xE460</t>
    <phoneticPr fontId="1" type="noConversion"/>
  </si>
  <si>
    <t>0xE464</t>
    <phoneticPr fontId="1" type="noConversion"/>
  </si>
  <si>
    <t>0xE470</t>
    <phoneticPr fontId="1" type="noConversion"/>
  </si>
  <si>
    <t>0xE474</t>
    <phoneticPr fontId="1" type="noConversion"/>
  </si>
  <si>
    <t>0xE480</t>
    <phoneticPr fontId="1" type="noConversion"/>
  </si>
  <si>
    <t>0xE484</t>
    <phoneticPr fontId="1" type="noConversion"/>
  </si>
  <si>
    <t>0xE490</t>
    <phoneticPr fontId="1" type="noConversion"/>
  </si>
  <si>
    <t>0xE494</t>
    <phoneticPr fontId="1" type="noConversion"/>
  </si>
  <si>
    <t>0xE4A0</t>
    <phoneticPr fontId="1" type="noConversion"/>
  </si>
  <si>
    <t>0xE4A4</t>
    <phoneticPr fontId="1" type="noConversion"/>
  </si>
  <si>
    <t>Describtion</t>
    <phoneticPr fontId="1" type="noConversion"/>
  </si>
  <si>
    <t>Uncailibrated Conversion Equation</t>
    <phoneticPr fontId="1" type="noConversion"/>
  </si>
  <si>
    <t>Units</t>
    <phoneticPr fontId="1" type="noConversion"/>
  </si>
  <si>
    <t>BCR output current</t>
    <phoneticPr fontId="1" type="noConversion"/>
  </si>
  <si>
    <t>BCR output voltage</t>
    <phoneticPr fontId="1" type="noConversion"/>
  </si>
  <si>
    <t>Output Voltage Switch 1</t>
    <phoneticPr fontId="1" type="noConversion"/>
  </si>
  <si>
    <t>0xE308</t>
    <phoneticPr fontId="1" type="noConversion"/>
  </si>
  <si>
    <t>Output Current Switch 1</t>
    <phoneticPr fontId="1" type="noConversion"/>
  </si>
  <si>
    <t>Output Voltage Switch 2</t>
    <phoneticPr fontId="1" type="noConversion"/>
  </si>
  <si>
    <t>Output Current Switch 2</t>
    <phoneticPr fontId="1" type="noConversion"/>
  </si>
  <si>
    <t>Output Voltage Switch 3</t>
    <phoneticPr fontId="1" type="noConversion"/>
  </si>
  <si>
    <t>Output Current Switch 3</t>
    <phoneticPr fontId="1" type="noConversion"/>
  </si>
  <si>
    <t>Output Voltage Switch 4</t>
    <phoneticPr fontId="1" type="noConversion"/>
  </si>
  <si>
    <t>Output Current Switch 4</t>
    <phoneticPr fontId="1" type="noConversion"/>
  </si>
  <si>
    <t>Output Voltage Switch 5</t>
    <phoneticPr fontId="1" type="noConversion"/>
  </si>
  <si>
    <t>Output Current Switch 5</t>
    <phoneticPr fontId="1" type="noConversion"/>
  </si>
  <si>
    <t>Output Voltage Switch 6</t>
    <phoneticPr fontId="1" type="noConversion"/>
  </si>
  <si>
    <t>Output Current Switch 6</t>
    <phoneticPr fontId="1" type="noConversion"/>
  </si>
  <si>
    <t>Output Voltage Switch 7</t>
    <phoneticPr fontId="1" type="noConversion"/>
  </si>
  <si>
    <t>Output Current Switch 7</t>
    <phoneticPr fontId="1" type="noConversion"/>
  </si>
  <si>
    <t>Output Voltage Switch 8</t>
    <phoneticPr fontId="1" type="noConversion"/>
  </si>
  <si>
    <t>Output Current Switch 8</t>
    <phoneticPr fontId="1" type="noConversion"/>
  </si>
  <si>
    <t>Output Voltage Switch 9</t>
    <phoneticPr fontId="1" type="noConversion"/>
  </si>
  <si>
    <t>Output Current Switch 9</t>
    <phoneticPr fontId="1" type="noConversion"/>
  </si>
  <si>
    <t>Output Voltage Switch 10</t>
    <phoneticPr fontId="1" type="noConversion"/>
  </si>
  <si>
    <t>Output Current Switch 10</t>
    <phoneticPr fontId="1" type="noConversion"/>
  </si>
  <si>
    <t>Motherboard Temperature</t>
    <phoneticPr fontId="1" type="noConversion"/>
  </si>
  <si>
    <t>0.014662757 x ADC Count</t>
    <phoneticPr fontId="1" type="noConversion"/>
  </si>
  <si>
    <t>0.008993157 x ADC Count</t>
    <phoneticPr fontId="1" type="noConversion"/>
  </si>
  <si>
    <t>0.001327547 x ADC Count</t>
    <phoneticPr fontId="1" type="noConversion"/>
  </si>
  <si>
    <t>A</t>
    <phoneticPr fontId="1" type="noConversion"/>
  </si>
  <si>
    <t>V</t>
    <phoneticPr fontId="1" type="noConversion"/>
  </si>
  <si>
    <t>˚C</t>
    <phoneticPr fontId="1" type="noConversion"/>
  </si>
  <si>
    <t>0.00681988679 x ADC Count</t>
    <phoneticPr fontId="1" type="noConversion"/>
  </si>
  <si>
    <t>0.005865 x ADC Count</t>
    <phoneticPr fontId="1" type="noConversion"/>
  </si>
  <si>
    <t>0.004311 x ADC Count</t>
    <phoneticPr fontId="1" type="noConversion"/>
  </si>
  <si>
    <t>0.01349 x ADC Count</t>
    <phoneticPr fontId="1" type="noConversion"/>
  </si>
  <si>
    <t>0.001328 x ADC Count</t>
    <phoneticPr fontId="1" type="noConversion"/>
  </si>
  <si>
    <t>0.001328 x ADC Count</t>
    <phoneticPr fontId="1" type="noConversion"/>
  </si>
  <si>
    <t>0.008993 x ADC Count</t>
    <phoneticPr fontId="1" type="noConversion"/>
  </si>
  <si>
    <t>0.006239 x ADC Count</t>
    <phoneticPr fontId="1" type="noConversion"/>
  </si>
  <si>
    <t>0.004311 x ADC Count</t>
    <phoneticPr fontId="1" type="noConversion"/>
  </si>
  <si>
    <t>Value</t>
    <phoneticPr fontId="1" type="noConversion"/>
  </si>
  <si>
    <t>Analog data</t>
    <phoneticPr fontId="1" type="noConversion"/>
  </si>
  <si>
    <t>VBCR1</t>
    <phoneticPr fontId="1" type="noConversion"/>
  </si>
  <si>
    <t>IBCR1A</t>
    <phoneticPr fontId="1" type="noConversion"/>
  </si>
  <si>
    <t>IBCR1B</t>
    <phoneticPr fontId="1" type="noConversion"/>
  </si>
  <si>
    <t>TBCR1A</t>
    <phoneticPr fontId="1" type="noConversion"/>
  </si>
  <si>
    <t>TBCR1B</t>
    <phoneticPr fontId="1" type="noConversion"/>
  </si>
  <si>
    <t>SDBCR1A</t>
    <phoneticPr fontId="1" type="noConversion"/>
  </si>
  <si>
    <t>SDBCR1B</t>
    <phoneticPr fontId="1" type="noConversion"/>
  </si>
  <si>
    <t>VBCR2</t>
    <phoneticPr fontId="1" type="noConversion"/>
  </si>
  <si>
    <t>IBCR2A</t>
    <phoneticPr fontId="1" type="noConversion"/>
  </si>
  <si>
    <t>IBCR2B</t>
    <phoneticPr fontId="1" type="noConversion"/>
  </si>
  <si>
    <t>TBCR2A</t>
    <phoneticPr fontId="1" type="noConversion"/>
  </si>
  <si>
    <t>TBCR2B</t>
    <phoneticPr fontId="1" type="noConversion"/>
  </si>
  <si>
    <t>SDBCR2A</t>
    <phoneticPr fontId="1" type="noConversion"/>
  </si>
  <si>
    <t>SDBCR2B</t>
    <phoneticPr fontId="1" type="noConversion"/>
  </si>
  <si>
    <t>IBCR3</t>
    <phoneticPr fontId="1" type="noConversion"/>
  </si>
  <si>
    <t>TBCR3</t>
    <phoneticPr fontId="1" type="noConversion"/>
  </si>
  <si>
    <t>TBCR3B</t>
    <phoneticPr fontId="1" type="noConversion"/>
  </si>
  <si>
    <t>SDBCR3A</t>
    <phoneticPr fontId="1" type="noConversion"/>
  </si>
  <si>
    <t>SDBCR3B</t>
    <phoneticPr fontId="1" type="noConversion"/>
  </si>
  <si>
    <t>0xE110</t>
    <phoneticPr fontId="1" type="noConversion"/>
  </si>
  <si>
    <t>0xE114</t>
    <phoneticPr fontId="1" type="noConversion"/>
  </si>
  <si>
    <t>0xE115</t>
    <phoneticPr fontId="1" type="noConversion"/>
  </si>
  <si>
    <t>0xE118</t>
    <phoneticPr fontId="1" type="noConversion"/>
  </si>
  <si>
    <t>0xE119</t>
    <phoneticPr fontId="1" type="noConversion"/>
  </si>
  <si>
    <t>0xE11C</t>
    <phoneticPr fontId="1" type="noConversion"/>
  </si>
  <si>
    <t>0xE11D</t>
    <phoneticPr fontId="1" type="noConversion"/>
  </si>
  <si>
    <t>0xE120</t>
    <phoneticPr fontId="1" type="noConversion"/>
  </si>
  <si>
    <t>0xE124</t>
    <phoneticPr fontId="1" type="noConversion"/>
  </si>
  <si>
    <t>0xE125</t>
    <phoneticPr fontId="1" type="noConversion"/>
  </si>
  <si>
    <t>0xE128</t>
    <phoneticPr fontId="1" type="noConversion"/>
  </si>
  <si>
    <t>0xE129</t>
    <phoneticPr fontId="1" type="noConversion"/>
  </si>
  <si>
    <t>0xE12C</t>
    <phoneticPr fontId="1" type="noConversion"/>
  </si>
  <si>
    <t>0xE12D</t>
    <phoneticPr fontId="1" type="noConversion"/>
  </si>
  <si>
    <t>0xE130</t>
    <phoneticPr fontId="1" type="noConversion"/>
  </si>
  <si>
    <t>0xE134</t>
    <phoneticPr fontId="1" type="noConversion"/>
  </si>
  <si>
    <t>0xE135</t>
    <phoneticPr fontId="1" type="noConversion"/>
  </si>
  <si>
    <t>0xE138</t>
    <phoneticPr fontId="1" type="noConversion"/>
  </si>
  <si>
    <t>0xE139</t>
    <phoneticPr fontId="1" type="noConversion"/>
  </si>
  <si>
    <t>0xE13C</t>
    <phoneticPr fontId="1" type="noConversion"/>
  </si>
  <si>
    <t>0xE13D</t>
    <phoneticPr fontId="1" type="noConversion"/>
  </si>
  <si>
    <t>Voltage feeding BCR1</t>
    <phoneticPr fontId="1" type="noConversion"/>
  </si>
  <si>
    <t>Current BCR1, Connector SA1A</t>
    <phoneticPr fontId="1" type="noConversion"/>
  </si>
  <si>
    <t>Current BCR1, Connector SA1B</t>
    <phoneticPr fontId="1" type="noConversion"/>
  </si>
  <si>
    <t>Array Temp, Connector SA1A</t>
    <phoneticPr fontId="1" type="noConversion"/>
  </si>
  <si>
    <t>Array Temp, Connector SA1B</t>
    <phoneticPr fontId="1" type="noConversion"/>
  </si>
  <si>
    <t>Sun Detector, Connector SA1A</t>
    <phoneticPr fontId="1" type="noConversion"/>
  </si>
  <si>
    <t>Sun Detector, Connector SA1B</t>
    <phoneticPr fontId="1" type="noConversion"/>
  </si>
  <si>
    <t>Voltage feeding BCR3</t>
    <phoneticPr fontId="1" type="noConversion"/>
  </si>
  <si>
    <t>Current BCR1, Connector SA3A</t>
    <phoneticPr fontId="1" type="noConversion"/>
  </si>
  <si>
    <t>Current BCR1, Connector SA2B</t>
    <phoneticPr fontId="1" type="noConversion"/>
  </si>
  <si>
    <t>Current BCR1, Connector SA2A</t>
    <phoneticPr fontId="1" type="noConversion"/>
  </si>
  <si>
    <t>Voltage feeding BCR2</t>
    <phoneticPr fontId="1" type="noConversion"/>
  </si>
  <si>
    <t>Array Temp, Connector SA2A</t>
    <phoneticPr fontId="1" type="noConversion"/>
  </si>
  <si>
    <t>Array Temp, Connector SA2B</t>
    <phoneticPr fontId="1" type="noConversion"/>
  </si>
  <si>
    <t>Sun Detector, Connector SA2A</t>
    <phoneticPr fontId="1" type="noConversion"/>
  </si>
  <si>
    <t>Sun Detector, Connector SA2B</t>
    <phoneticPr fontId="1" type="noConversion"/>
  </si>
  <si>
    <t>Current BCR1, Connector SA3B</t>
    <phoneticPr fontId="1" type="noConversion"/>
  </si>
  <si>
    <t>Array Temp, Connector SA3A</t>
    <phoneticPr fontId="1" type="noConversion"/>
  </si>
  <si>
    <t>Array Temp, Connector SA3B</t>
    <phoneticPr fontId="1" type="noConversion"/>
  </si>
  <si>
    <t>Sun Detector, Connector SA3A</t>
    <phoneticPr fontId="1" type="noConversion"/>
  </si>
  <si>
    <t>Sun Detector, Connector SA3B</t>
    <phoneticPr fontId="1" type="noConversion"/>
  </si>
  <si>
    <t>0.0322581 x ADC Count</t>
    <phoneticPr fontId="1" type="noConversion"/>
  </si>
  <si>
    <t>0.0009775 x ADC Count</t>
    <phoneticPr fontId="1" type="noConversion"/>
  </si>
  <si>
    <t>1.59725 x ADC Count</t>
    <phoneticPr fontId="1" type="noConversion"/>
  </si>
  <si>
    <t>(0.372434 x ADC Count)-273.15</t>
    <phoneticPr fontId="1" type="noConversion"/>
  </si>
  <si>
    <t>(0.4963 x ADC Count)-273.15</t>
    <phoneticPr fontId="1" type="noConversion"/>
  </si>
  <si>
    <t>(0.4963 x ADC Count)-273.15</t>
    <phoneticPr fontId="1" type="noConversion"/>
  </si>
  <si>
    <t>0.0099706 x ADC Count</t>
    <phoneticPr fontId="1" type="noConversion"/>
  </si>
  <si>
    <t>˚C</t>
  </si>
  <si>
    <t>W/m^2</t>
    <phoneticPr fontId="1" type="noConversion"/>
  </si>
  <si>
    <t>W/m^2</t>
    <phoneticPr fontId="1" type="noConversion"/>
  </si>
  <si>
    <t>VBCR4</t>
    <phoneticPr fontId="1" type="noConversion"/>
  </si>
  <si>
    <t>IBCR4A</t>
    <phoneticPr fontId="1" type="noConversion"/>
  </si>
  <si>
    <t>IBCR4B</t>
    <phoneticPr fontId="1" type="noConversion"/>
  </si>
  <si>
    <t>TBCR4A</t>
    <phoneticPr fontId="1" type="noConversion"/>
  </si>
  <si>
    <t>TBCR4B</t>
    <phoneticPr fontId="1" type="noConversion"/>
  </si>
  <si>
    <t>SDBCR4A</t>
    <phoneticPr fontId="1" type="noConversion"/>
  </si>
  <si>
    <t>SDBCR4B</t>
    <phoneticPr fontId="1" type="noConversion"/>
  </si>
  <si>
    <t>0xE140</t>
    <phoneticPr fontId="1" type="noConversion"/>
  </si>
  <si>
    <t>0xE144</t>
    <phoneticPr fontId="1" type="noConversion"/>
  </si>
  <si>
    <t>0xE145</t>
    <phoneticPr fontId="1" type="noConversion"/>
  </si>
  <si>
    <t>0xE148</t>
    <phoneticPr fontId="1" type="noConversion"/>
  </si>
  <si>
    <t>0xE149</t>
    <phoneticPr fontId="1" type="noConversion"/>
  </si>
  <si>
    <t>0xE14C</t>
    <phoneticPr fontId="1" type="noConversion"/>
  </si>
  <si>
    <t>0xE14D</t>
    <phoneticPr fontId="1" type="noConversion"/>
  </si>
  <si>
    <t>Voltage feeding BCR4</t>
    <phoneticPr fontId="1" type="noConversion"/>
  </si>
  <si>
    <t>Current BCR4, Connector SA4A</t>
  </si>
  <si>
    <t>Current BCR4, Connector SA4B</t>
  </si>
  <si>
    <t>Array Temp, Connector SA4A</t>
  </si>
  <si>
    <t>Array Temp, Connector SA4B</t>
  </si>
  <si>
    <t>Sun Detector, Connector SA4A</t>
  </si>
  <si>
    <t>Sun Detector, Connector SA4B</t>
  </si>
  <si>
    <t>VBCR5</t>
  </si>
  <si>
    <t>IBCR5A</t>
  </si>
  <si>
    <t>IBCR5B</t>
  </si>
  <si>
    <t>TBCR5A</t>
  </si>
  <si>
    <t>TBCR5B</t>
  </si>
  <si>
    <t>SDBCR5A</t>
  </si>
  <si>
    <t>SDBCR5B</t>
  </si>
  <si>
    <t>Voltage feeding BCR5</t>
  </si>
  <si>
    <t>Current BCR5, Connector SA5A</t>
  </si>
  <si>
    <t>Current BCR5, Connector SA5B</t>
  </si>
  <si>
    <t>Array Temp, Connector SA5A</t>
  </si>
  <si>
    <t>Array Temp, Connector SA5B</t>
  </si>
  <si>
    <t>Sun Detector, Connector SA5A</t>
  </si>
  <si>
    <t>Sun Detector, Connector SA5B</t>
  </si>
  <si>
    <t>0xE150</t>
    <phoneticPr fontId="1" type="noConversion"/>
  </si>
  <si>
    <t>0xE154</t>
    <phoneticPr fontId="1" type="noConversion"/>
  </si>
  <si>
    <t>0xE155</t>
    <phoneticPr fontId="1" type="noConversion"/>
  </si>
  <si>
    <t>0xE158</t>
    <phoneticPr fontId="1" type="noConversion"/>
  </si>
  <si>
    <t>0xE159</t>
    <phoneticPr fontId="1" type="noConversion"/>
  </si>
  <si>
    <t>0xE15C</t>
    <phoneticPr fontId="1" type="noConversion"/>
  </si>
  <si>
    <t>0xE15D</t>
    <phoneticPr fontId="1" type="noConversion"/>
  </si>
  <si>
    <t>0xE160</t>
  </si>
  <si>
    <t>0xE164</t>
  </si>
  <si>
    <t>0xE165</t>
  </si>
  <si>
    <t>0xE168</t>
  </si>
  <si>
    <t>0xE169</t>
  </si>
  <si>
    <t>0xE16C</t>
  </si>
  <si>
    <t>0xE16D</t>
  </si>
  <si>
    <t>VBCR6</t>
  </si>
  <si>
    <t>IBCR6A</t>
  </si>
  <si>
    <t>IBCR6B</t>
  </si>
  <si>
    <t>TBCR6A</t>
  </si>
  <si>
    <t>TBCR6B</t>
  </si>
  <si>
    <t>SDBCR6A</t>
  </si>
  <si>
    <t>SDBCR6B</t>
  </si>
  <si>
    <t>Voltage feeding BCR6</t>
  </si>
  <si>
    <t>Current BCR6, Connector SA6A</t>
  </si>
  <si>
    <t>Current BCR6, Connector SA6B</t>
  </si>
  <si>
    <t>Array Temp, Connector SA6A</t>
  </si>
  <si>
    <t>Array Temp, Connector SA6B</t>
  </si>
  <si>
    <t>Sun Detector, Connector SA6A</t>
  </si>
  <si>
    <t>Sun Detector, Connector SA6B</t>
  </si>
  <si>
    <t>VBCR7</t>
  </si>
  <si>
    <t>IBCR7A</t>
  </si>
  <si>
    <t>IBCR7B</t>
  </si>
  <si>
    <t>TBCR7A</t>
  </si>
  <si>
    <t>TBCR7B</t>
  </si>
  <si>
    <t>SDBCR7A</t>
  </si>
  <si>
    <t>SDBCR7B</t>
  </si>
  <si>
    <t>Voltage feeding BCR7</t>
  </si>
  <si>
    <t>Current BCR7, Connector SA7A</t>
  </si>
  <si>
    <t>Current BCR7, Connector SA7B</t>
  </si>
  <si>
    <t>Array Temp, Connector SA7A</t>
  </si>
  <si>
    <t>Array Temp, Connector SA7B</t>
  </si>
  <si>
    <t>Sun Detector, Connector SA7A</t>
  </si>
  <si>
    <t>Sun Detector, Connector SA7B</t>
  </si>
  <si>
    <t>0xE170</t>
  </si>
  <si>
    <t>0xE174</t>
  </si>
  <si>
    <t>0xE175</t>
  </si>
  <si>
    <t>0xE178</t>
  </si>
  <si>
    <t>0xE179</t>
  </si>
  <si>
    <t>0xE17C</t>
  </si>
  <si>
    <t>0xE17D</t>
  </si>
  <si>
    <t>0xE180</t>
  </si>
  <si>
    <t>0xE184</t>
  </si>
  <si>
    <t>0xE185</t>
  </si>
  <si>
    <t>0xE188</t>
  </si>
  <si>
    <t>0xE189</t>
  </si>
  <si>
    <t>0xE18C</t>
  </si>
  <si>
    <t>0xE18D</t>
  </si>
  <si>
    <t>0xE190</t>
  </si>
  <si>
    <t>0xE194</t>
  </si>
  <si>
    <t>0xE195</t>
  </si>
  <si>
    <t>0xE198</t>
  </si>
  <si>
    <t>0xE199</t>
  </si>
  <si>
    <t>0xE19C</t>
  </si>
  <si>
    <t>0xE19D</t>
  </si>
  <si>
    <t>VBCR8</t>
  </si>
  <si>
    <t>IBCR8A</t>
  </si>
  <si>
    <t>IBCR8B</t>
  </si>
  <si>
    <t>TBCR8A</t>
  </si>
  <si>
    <t>TBCR8B</t>
  </si>
  <si>
    <t>SDBCR8A</t>
  </si>
  <si>
    <t>SDBCR8B</t>
  </si>
  <si>
    <t>Voltage feeding BCR8</t>
  </si>
  <si>
    <t>Current BCR8, Connector SA8A</t>
  </si>
  <si>
    <t>Current BCR8, Connector SA8B</t>
  </si>
  <si>
    <t>Array Temp, Connector SA8A</t>
  </si>
  <si>
    <t>Array Temp, Connector SA8B</t>
  </si>
  <si>
    <t>Sun Detector, Connector SA8A</t>
  </si>
  <si>
    <t>Sun Detector, Connector SA8B</t>
  </si>
  <si>
    <t>VBCR9</t>
  </si>
  <si>
    <t>IBCR9A</t>
  </si>
  <si>
    <t>IBCR9B</t>
  </si>
  <si>
    <t>TBCR9A</t>
  </si>
  <si>
    <t>TBCR9B</t>
  </si>
  <si>
    <t>SDBCR9A</t>
  </si>
  <si>
    <t>SDBCR9B</t>
  </si>
  <si>
    <t>Voltage feeding BCR9</t>
  </si>
  <si>
    <t>Current BCR9, Connector SA9A</t>
  </si>
  <si>
    <t>Current BCR9, Connector SA9B</t>
  </si>
  <si>
    <t>Array Temp, Connector SA9A</t>
  </si>
  <si>
    <t>Array Temp, Connector SA9B</t>
  </si>
  <si>
    <t>Sun Detector, Connector SA9A</t>
  </si>
  <si>
    <t>Sun Detector, Connector SA9B</t>
  </si>
  <si>
    <t>TLM_TBRD_DB</t>
    <phoneticPr fontId="1" type="noConversion"/>
  </si>
  <si>
    <t>0xE388</t>
    <phoneticPr fontId="1" type="noConversion"/>
  </si>
  <si>
    <t>Daughterboard Temperature</t>
    <phoneticPr fontId="1" type="noConversion"/>
  </si>
  <si>
    <t>Coefficient</t>
    <phoneticPr fontId="1" type="noConversion"/>
  </si>
  <si>
    <t xml:space="preserve">VBCR3 </t>
    <phoneticPr fontId="1" type="noConversion"/>
  </si>
  <si>
    <t>0x21</t>
    <phoneticPr fontId="1" type="noConversion"/>
  </si>
  <si>
    <t>Nibble3</t>
    <phoneticPr fontId="1" type="noConversion"/>
  </si>
  <si>
    <t>Nibble2</t>
    <phoneticPr fontId="1" type="noConversion"/>
  </si>
  <si>
    <t>Nibble1</t>
    <phoneticPr fontId="1" type="noConversion"/>
  </si>
  <si>
    <t>Nibble0</t>
    <phoneticPr fontId="1" type="noConversion"/>
  </si>
  <si>
    <t>Family</t>
    <phoneticPr fontId="1" type="noConversion"/>
  </si>
  <si>
    <t>Code</t>
    <phoneticPr fontId="1" type="noConversion"/>
  </si>
  <si>
    <t>TLM Type</t>
    <phoneticPr fontId="1" type="noConversion"/>
  </si>
  <si>
    <t>Channel</t>
    <phoneticPr fontId="1" type="noConversion"/>
  </si>
  <si>
    <t>Attribute</t>
    <phoneticPr fontId="1" type="noConversion"/>
  </si>
  <si>
    <t>EPS</t>
    <phoneticPr fontId="1" type="noConversion"/>
  </si>
  <si>
    <t>E</t>
    <phoneticPr fontId="1" type="noConversion"/>
  </si>
  <si>
    <t>BCR</t>
    <phoneticPr fontId="1" type="noConversion"/>
  </si>
  <si>
    <t>Channel Number N</t>
    <phoneticPr fontId="1" type="noConversion"/>
  </si>
  <si>
    <t>1~9</t>
    <phoneticPr fontId="1" type="noConversion"/>
  </si>
  <si>
    <t>Voltage</t>
    <phoneticPr fontId="1" type="noConversion"/>
  </si>
  <si>
    <t>Current A</t>
    <phoneticPr fontId="1" type="noConversion"/>
  </si>
  <si>
    <t>Current B</t>
    <phoneticPr fontId="1" type="noConversion"/>
  </si>
  <si>
    <t>Array Temperature A</t>
    <phoneticPr fontId="1" type="noConversion"/>
  </si>
  <si>
    <t>Array Temperature B</t>
    <phoneticPr fontId="1" type="noConversion"/>
  </si>
  <si>
    <t>Sun Detector A</t>
    <phoneticPr fontId="1" type="noConversion"/>
  </si>
  <si>
    <t>C</t>
    <phoneticPr fontId="1" type="noConversion"/>
  </si>
  <si>
    <t>Sun Detector B</t>
    <phoneticPr fontId="1" type="noConversion"/>
  </si>
  <si>
    <t>D</t>
    <phoneticPr fontId="1" type="noConversion"/>
  </si>
  <si>
    <t>Main Power(PCM)</t>
    <phoneticPr fontId="1" type="noConversion"/>
  </si>
  <si>
    <t>3.3V</t>
    <phoneticPr fontId="1" type="noConversion"/>
  </si>
  <si>
    <t>5V</t>
    <phoneticPr fontId="1" type="noConversion"/>
  </si>
  <si>
    <t>Current Bus</t>
    <phoneticPr fontId="1" type="noConversion"/>
  </si>
  <si>
    <t>VBAT</t>
    <phoneticPr fontId="1" type="noConversion"/>
  </si>
  <si>
    <t>Current EPS</t>
    <phoneticPr fontId="1" type="noConversion"/>
  </si>
  <si>
    <t>12V</t>
    <phoneticPr fontId="1" type="noConversion"/>
  </si>
  <si>
    <t>DIODE</t>
    <phoneticPr fontId="1" type="noConversion"/>
  </si>
  <si>
    <t>Current</t>
    <phoneticPr fontId="1" type="noConversion"/>
  </si>
  <si>
    <t>Temperature</t>
    <phoneticPr fontId="1" type="noConversion"/>
  </si>
  <si>
    <t>PDM(Switch)</t>
    <phoneticPr fontId="1" type="noConversion"/>
  </si>
  <si>
    <t>Switch Number N</t>
    <phoneticPr fontId="1" type="noConversion"/>
  </si>
  <si>
    <t>Switch Number 10</t>
    <phoneticPr fontId="1" type="noConversion"/>
  </si>
  <si>
    <t>Mode</t>
    <phoneticPr fontId="1" type="noConversion"/>
  </si>
  <si>
    <t>&lt;1</t>
    <phoneticPr fontId="1" type="noConversion"/>
  </si>
  <si>
    <t>Get Heater Controller Status</t>
    <phoneticPr fontId="1" type="noConversion"/>
  </si>
  <si>
    <t>Set Heater Controller Status</t>
    <phoneticPr fontId="1" type="noConversion"/>
  </si>
  <si>
    <t>0x90</t>
    <phoneticPr fontId="1" type="noConversion"/>
  </si>
  <si>
    <t>NA</t>
    <phoneticPr fontId="1" type="noConversion"/>
  </si>
  <si>
    <t>0x00</t>
    <phoneticPr fontId="1" type="noConversion"/>
  </si>
  <si>
    <t>0x91</t>
    <phoneticPr fontId="1" type="noConversion"/>
  </si>
  <si>
    <t>-</t>
    <phoneticPr fontId="1" type="noConversion"/>
  </si>
  <si>
    <t>01-02453(PCDU)</t>
    <phoneticPr fontId="1" type="noConversion"/>
  </si>
  <si>
    <t>01-02686(Battery)</t>
    <phoneticPr fontId="1" type="noConversion"/>
  </si>
  <si>
    <t>TLM_IBAT</t>
    <phoneticPr fontId="1" type="noConversion"/>
  </si>
  <si>
    <t>Direction</t>
    <phoneticPr fontId="1" type="noConversion"/>
  </si>
  <si>
    <t>E</t>
    <phoneticPr fontId="1" type="noConversion"/>
  </si>
  <si>
    <t>TLM_IDIRBAT</t>
    <phoneticPr fontId="1" type="noConversion"/>
  </si>
  <si>
    <t>0x28E</t>
    <phoneticPr fontId="1" type="noConversion"/>
  </si>
  <si>
    <t>Battery Current Direction</t>
    <phoneticPr fontId="1" type="noConversion"/>
  </si>
  <si>
    <t>ADC &lt; 512 Charging; Else Discharging</t>
    <phoneticPr fontId="1" type="noConversion"/>
  </si>
  <si>
    <t>TLM_TBRD</t>
    <phoneticPr fontId="1" type="noConversion"/>
  </si>
  <si>
    <t>TLM_VBAT</t>
    <phoneticPr fontId="1" type="noConversion"/>
  </si>
  <si>
    <t>TLM_TBAT1</t>
    <phoneticPr fontId="1" type="noConversion"/>
  </si>
  <si>
    <t>TLM_TBAT2</t>
    <phoneticPr fontId="1" type="noConversion"/>
  </si>
  <si>
    <t>TLM_TBAT3</t>
    <phoneticPr fontId="1" type="noConversion"/>
  </si>
  <si>
    <t>TLM_TBAT4</t>
    <phoneticPr fontId="1" type="noConversion"/>
  </si>
  <si>
    <t>TLM_HBAT1</t>
    <phoneticPr fontId="1" type="noConversion"/>
  </si>
  <si>
    <t>TLM_HBAT4</t>
    <phoneticPr fontId="1" type="noConversion"/>
  </si>
  <si>
    <t>0xE398</t>
    <phoneticPr fontId="1" type="noConversion"/>
  </si>
  <si>
    <t>0xE39F</t>
    <phoneticPr fontId="1" type="noConversion"/>
  </si>
  <si>
    <t>0xE3A8</t>
    <phoneticPr fontId="1" type="noConversion"/>
  </si>
  <si>
    <t>oxE3AF</t>
    <phoneticPr fontId="1" type="noConversion"/>
  </si>
  <si>
    <t>0xE3B8</t>
    <phoneticPr fontId="1" type="noConversion"/>
  </si>
  <si>
    <t>0xE3BF</t>
    <phoneticPr fontId="1" type="noConversion"/>
  </si>
  <si>
    <t>0xE3C8</t>
    <phoneticPr fontId="1" type="noConversion"/>
  </si>
  <si>
    <t>0xE3CF</t>
    <phoneticPr fontId="1" type="noConversion"/>
  </si>
  <si>
    <t>Daughterboard 1 Temperature</t>
    <phoneticPr fontId="1" type="noConversion"/>
  </si>
  <si>
    <t>Daughterboard 2 Temperature</t>
    <phoneticPr fontId="1" type="noConversion"/>
  </si>
  <si>
    <t>Daughterboard 3 Temperature</t>
    <phoneticPr fontId="1" type="noConversion"/>
  </si>
  <si>
    <t>Daughterboard 4 Temperature</t>
    <phoneticPr fontId="1" type="noConversion"/>
  </si>
  <si>
    <t>Daughterboard 2 Heater Status</t>
    <phoneticPr fontId="1" type="noConversion"/>
  </si>
  <si>
    <t>Daughterboard 1 Heater Status</t>
    <phoneticPr fontId="1" type="noConversion"/>
  </si>
  <si>
    <t>Daughterboard 3 Heater Status</t>
    <phoneticPr fontId="1" type="noConversion"/>
  </si>
  <si>
    <t>Daughterboard 4 Heater Status</t>
    <phoneticPr fontId="1" type="noConversion"/>
  </si>
  <si>
    <t>(0.397600 x ADC Count)-238.57</t>
    <phoneticPr fontId="1" type="noConversion"/>
  </si>
  <si>
    <t>ADC &lt; 512 Heater Off; Else On.</t>
    <phoneticPr fontId="1" type="noConversion"/>
  </si>
  <si>
    <t>F</t>
    <phoneticPr fontId="1" type="noConversion"/>
  </si>
  <si>
    <t>Heater Status</t>
    <phoneticPr fontId="1" type="noConversion"/>
  </si>
  <si>
    <t>Daughterboard 1</t>
    <phoneticPr fontId="1" type="noConversion"/>
  </si>
  <si>
    <t>A</t>
  </si>
  <si>
    <t>A</t>
    <phoneticPr fontId="1" type="noConversion"/>
  </si>
  <si>
    <t>B</t>
    <phoneticPr fontId="1" type="noConversion"/>
  </si>
  <si>
    <t>C</t>
    <phoneticPr fontId="1" type="noConversion"/>
  </si>
  <si>
    <t>Daughterboard 2</t>
    <phoneticPr fontId="1" type="noConversion"/>
  </si>
  <si>
    <t>Daughterboard 3</t>
    <phoneticPr fontId="1" type="noConversion"/>
  </si>
  <si>
    <t>Daughterboard 4</t>
    <phoneticPr fontId="1" type="noConversion"/>
  </si>
  <si>
    <t>Daughterboard 5</t>
    <phoneticPr fontId="1" type="noConversion"/>
  </si>
  <si>
    <t>Daughterboard 6</t>
    <phoneticPr fontId="1" type="noConversion"/>
  </si>
  <si>
    <t>D</t>
    <phoneticPr fontId="1" type="noConversion"/>
  </si>
  <si>
    <t>Motherboard</t>
    <phoneticPr fontId="1" type="noConversion"/>
  </si>
  <si>
    <t>Daughterboard</t>
    <phoneticPr fontId="1" type="noConversion"/>
  </si>
  <si>
    <t>TLM_IPCM5V</t>
    <phoneticPr fontId="1" type="noConversion"/>
  </si>
  <si>
    <t>TLM_VPCM5V</t>
    <phoneticPr fontId="1" type="noConversion"/>
  </si>
  <si>
    <t>0.005865 x ADC Count</t>
  </si>
  <si>
    <t>0.004311 x ADC Count</t>
  </si>
  <si>
    <t>I3V3_DRW</t>
  </si>
  <si>
    <t>0xE205</t>
  </si>
  <si>
    <t>3V3 Current Draw of EPS</t>
  </si>
  <si>
    <t>0.001327547 x ADC Count</t>
    <phoneticPr fontId="1" type="noConversion"/>
  </si>
  <si>
    <t>I5V_DRW</t>
  </si>
  <si>
    <t>0xE215</t>
  </si>
  <si>
    <t>5V Current Draw of EPS</t>
  </si>
  <si>
    <t>IPCM12V</t>
    <phoneticPr fontId="1" type="noConversion"/>
  </si>
  <si>
    <t>0xE234</t>
    <phoneticPr fontId="1" type="noConversion"/>
  </si>
  <si>
    <t>Output Current of 12V Bus</t>
    <phoneticPr fontId="1" type="noConversion"/>
  </si>
  <si>
    <t>0.002066632361 x ADC Count</t>
    <phoneticPr fontId="1" type="noConversion"/>
  </si>
  <si>
    <t>V</t>
    <phoneticPr fontId="1" type="noConversion"/>
  </si>
  <si>
    <t>0.01349 x ADC Count</t>
    <phoneticPr fontId="1" type="noConversion"/>
  </si>
  <si>
    <t>Output Voltage of 12V Bus</t>
    <phoneticPr fontId="1" type="noConversion"/>
  </si>
  <si>
    <t>0xE230</t>
    <phoneticPr fontId="1" type="noConversion"/>
  </si>
  <si>
    <t>VPCM12V</t>
    <phoneticPr fontId="1" type="noConversion"/>
  </si>
  <si>
    <t>IPCMBATV</t>
    <phoneticPr fontId="1" type="noConversion"/>
  </si>
  <si>
    <t>0xE224</t>
    <phoneticPr fontId="1" type="noConversion"/>
  </si>
  <si>
    <t>Output Current of Battery Bus</t>
    <phoneticPr fontId="1" type="noConversion"/>
  </si>
  <si>
    <t>0.00681988679 x ADC Count</t>
    <phoneticPr fontId="1" type="noConversion"/>
  </si>
  <si>
    <t>0.008978 x ADC Count</t>
    <phoneticPr fontId="1" type="noConversion"/>
  </si>
  <si>
    <t>Output Voltage of Battery Bus</t>
    <phoneticPr fontId="1" type="noConversion"/>
  </si>
  <si>
    <t>0xE220</t>
    <phoneticPr fontId="1" type="noConversion"/>
  </si>
  <si>
    <t>VPCMBATV</t>
    <phoneticPr fontId="1" type="noConversion"/>
  </si>
  <si>
    <t>0xE214</t>
    <phoneticPr fontId="1" type="noConversion"/>
  </si>
  <si>
    <t>Output Current of 5V Bus</t>
    <phoneticPr fontId="1" type="noConversion"/>
  </si>
  <si>
    <t>OutPut Voltage of 5V Bus</t>
    <phoneticPr fontId="1" type="noConversion"/>
  </si>
  <si>
    <t>0xE210</t>
    <phoneticPr fontId="1" type="noConversion"/>
  </si>
  <si>
    <t>IPCM5V</t>
    <phoneticPr fontId="1" type="noConversion"/>
  </si>
  <si>
    <t>VPCM5V</t>
    <phoneticPr fontId="1" type="noConversion"/>
  </si>
  <si>
    <t>Output Current of 3.3V Bus</t>
    <phoneticPr fontId="1" type="noConversion"/>
  </si>
  <si>
    <t>0xE204</t>
    <phoneticPr fontId="1" type="noConversion"/>
  </si>
  <si>
    <t>TLM_IPCM3V3</t>
    <phoneticPr fontId="1" type="noConversion"/>
  </si>
  <si>
    <t>Output Voltage of 3.3V Bus</t>
    <phoneticPr fontId="1" type="noConversion"/>
  </si>
  <si>
    <t>0xE200</t>
    <phoneticPr fontId="1" type="noConversion"/>
  </si>
  <si>
    <t>TLM_VPCM3V3</t>
    <phoneticPr fontId="1" type="noConversion"/>
  </si>
  <si>
    <t>IPCM3V3</t>
    <phoneticPr fontId="1" type="noConversion"/>
  </si>
  <si>
    <t>VPCM3V3</t>
    <phoneticPr fontId="1" type="noConversion"/>
  </si>
  <si>
    <t>-</t>
    <phoneticPr fontId="1" type="noConversion"/>
  </si>
  <si>
    <t>0.014662757 x ADC Count</t>
    <phoneticPr fontId="1" type="noConversion"/>
  </si>
  <si>
    <t>0.008993157 x ADC Count</t>
    <phoneticPr fontId="1" type="noConversion"/>
  </si>
  <si>
    <t>(0.372434 x ADC Count)-273.15</t>
    <phoneticPr fontId="1" type="noConversion"/>
  </si>
  <si>
    <t>mA</t>
    <phoneticPr fontId="1" type="noConversion"/>
  </si>
  <si>
    <t>PCDU</t>
    <phoneticPr fontId="1" type="noConversion"/>
  </si>
  <si>
    <t>Battery</t>
    <phoneticPr fontId="1" type="noConversion"/>
  </si>
  <si>
    <t>˚C</t>
    <phoneticPr fontId="1" type="noConversion"/>
  </si>
  <si>
    <t>Sheet 3</t>
    <phoneticPr fontId="1" type="noConversion"/>
  </si>
  <si>
    <t>Power Bus</t>
    <phoneticPr fontId="1" type="noConversion"/>
  </si>
  <si>
    <t>Bit String</t>
    <phoneticPr fontId="1" type="noConversion"/>
  </si>
  <si>
    <t>Battery V</t>
    <phoneticPr fontId="1" type="noConversion"/>
  </si>
  <si>
    <t>0x02</t>
    <phoneticPr fontId="1" type="noConversion"/>
  </si>
  <si>
    <t>0x08</t>
    <phoneticPr fontId="1" type="noConversion"/>
  </si>
  <si>
    <t>Sheet 4</t>
  </si>
  <si>
    <t>Sheet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</si>
</sst>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thin">
        <color theme="6" tint="0.3999755851924192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6" tint="0.39997558519241921"/>
      </right>
      <top style="medium">
        <color indexed="64"/>
      </top>
      <bottom/>
      <diagonal/>
    </border>
    <border>
      <left style="medium">
        <color indexed="64"/>
      </left>
      <right style="thin">
        <color theme="6" tint="0.39997558519241921"/>
      </right>
      <top/>
      <bottom/>
      <diagonal/>
    </border>
    <border>
      <left style="medium">
        <color indexed="64"/>
      </left>
      <right style="thin">
        <color theme="6" tint="0.39997558519241921"/>
      </right>
      <top style="medium">
        <color indexed="64"/>
      </top>
      <bottom style="medium">
        <color indexed="64"/>
      </bottom>
      <diagonal/>
    </border>
    <border>
      <left style="thin">
        <color theme="6" tint="0.399975585192419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6" tint="0.39997558519241921"/>
      </right>
      <top/>
      <bottom style="medium">
        <color indexed="64"/>
      </bottom>
      <diagonal/>
    </border>
    <border>
      <left style="medium">
        <color indexed="64"/>
      </left>
      <right style="thin">
        <color theme="6" tint="0.39997558519241921"/>
      </right>
      <top/>
      <bottom style="thin">
        <color indexed="64"/>
      </bottom>
      <diagonal/>
    </border>
    <border>
      <left style="medium">
        <color indexed="64"/>
      </left>
      <right style="thin">
        <color theme="6" tint="0.39997558519241921"/>
      </right>
      <top style="thin">
        <color indexed="64"/>
      </top>
      <bottom/>
      <diagonal/>
    </border>
    <border>
      <left style="thin">
        <color theme="6" tint="0.39997558519241921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6" tint="0.3999755851924192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35" xfId="0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61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58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2" borderId="65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9" borderId="65" xfId="0" applyFill="1" applyBorder="1" applyAlignment="1">
      <alignment vertical="center"/>
    </xf>
    <xf numFmtId="0" fontId="0" fillId="3" borderId="66" xfId="0" applyFill="1" applyBorder="1" applyAlignment="1">
      <alignment horizontal="center" vertical="center"/>
    </xf>
    <xf numFmtId="0" fontId="0" fillId="9" borderId="6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68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0" fontId="0" fillId="3" borderId="6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8" borderId="73" xfId="0" applyFill="1" applyBorder="1" applyAlignment="1">
      <alignment horizontal="center" vertical="center"/>
    </xf>
    <xf numFmtId="0" fontId="0" fillId="10" borderId="5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10" borderId="5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5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9" borderId="6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9" borderId="6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EE6FB"/>
      <color rgb="FFFEC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5C93-05DC-4C83-9812-D6AC8B148A77}">
  <dimension ref="A1:H35"/>
  <sheetViews>
    <sheetView tabSelected="1" zoomScaleNormal="100" workbookViewId="0">
      <selection activeCell="L4" sqref="L4"/>
    </sheetView>
  </sheetViews>
  <sheetFormatPr defaultRowHeight="16.5" x14ac:dyDescent="0.3"/>
  <cols>
    <col min="1" max="1" width="39.5" bestFit="1" customWidth="1"/>
    <col min="2" max="2" width="10.375" style="1" bestFit="1" customWidth="1"/>
    <col min="4" max="4" width="11.625" customWidth="1"/>
    <col min="5" max="5" width="14.75" style="1" bestFit="1" customWidth="1"/>
    <col min="6" max="6" width="10.5" style="1" bestFit="1" customWidth="1"/>
    <col min="7" max="7" width="14.75" bestFit="1" customWidth="1"/>
    <col min="8" max="8" width="10.5" bestFit="1" customWidth="1"/>
  </cols>
  <sheetData>
    <row r="1" spans="1:8" ht="17.25" thickBot="1" x14ac:dyDescent="0.35">
      <c r="E1" s="59" t="s">
        <v>406</v>
      </c>
      <c r="F1" s="60"/>
      <c r="G1" s="181" t="s">
        <v>407</v>
      </c>
      <c r="H1" s="182"/>
    </row>
    <row r="2" spans="1:8" ht="17.25" thickBot="1" x14ac:dyDescent="0.35">
      <c r="A2" s="5" t="s">
        <v>0</v>
      </c>
      <c r="B2" s="51" t="s">
        <v>25</v>
      </c>
      <c r="C2" s="49" t="s">
        <v>61</v>
      </c>
      <c r="D2" s="50" t="s">
        <v>59</v>
      </c>
      <c r="E2" s="48" t="s">
        <v>66</v>
      </c>
      <c r="F2" s="6" t="s">
        <v>67</v>
      </c>
      <c r="G2" s="183" t="s">
        <v>66</v>
      </c>
      <c r="H2" s="184" t="s">
        <v>67</v>
      </c>
    </row>
    <row r="3" spans="1:8" x14ac:dyDescent="0.3">
      <c r="A3" s="2" t="s">
        <v>58</v>
      </c>
      <c r="B3" s="14" t="s">
        <v>26</v>
      </c>
      <c r="C3" s="30" t="s">
        <v>63</v>
      </c>
      <c r="D3" s="43" t="s">
        <v>60</v>
      </c>
      <c r="E3" s="41">
        <v>4</v>
      </c>
      <c r="F3" s="34">
        <v>2</v>
      </c>
      <c r="G3" s="41">
        <v>2</v>
      </c>
      <c r="H3" s="34" t="s">
        <v>398</v>
      </c>
    </row>
    <row r="4" spans="1:8" x14ac:dyDescent="0.3">
      <c r="A4" s="7" t="s">
        <v>1</v>
      </c>
      <c r="B4" s="39" t="s">
        <v>27</v>
      </c>
      <c r="C4" s="31" t="s">
        <v>63</v>
      </c>
      <c r="D4" s="44" t="s">
        <v>60</v>
      </c>
      <c r="E4" s="40">
        <v>4</v>
      </c>
      <c r="F4" s="28">
        <v>2</v>
      </c>
      <c r="G4" s="123">
        <v>2</v>
      </c>
      <c r="H4" s="128" t="s">
        <v>398</v>
      </c>
    </row>
    <row r="5" spans="1:8" x14ac:dyDescent="0.3">
      <c r="A5" s="2" t="s">
        <v>2</v>
      </c>
      <c r="B5" s="17" t="s">
        <v>28</v>
      </c>
      <c r="C5" s="32" t="s">
        <v>63</v>
      </c>
      <c r="D5" s="45" t="s">
        <v>60</v>
      </c>
      <c r="E5" s="42">
        <v>4</v>
      </c>
      <c r="F5" s="4">
        <v>2</v>
      </c>
      <c r="G5" s="42">
        <v>2</v>
      </c>
      <c r="H5" s="4" t="s">
        <v>398</v>
      </c>
    </row>
    <row r="6" spans="1:8" x14ac:dyDescent="0.3">
      <c r="A6" s="7" t="s">
        <v>3</v>
      </c>
      <c r="B6" s="39" t="s">
        <v>29</v>
      </c>
      <c r="C6" s="31" t="s">
        <v>63</v>
      </c>
      <c r="D6" s="44" t="s">
        <v>60</v>
      </c>
      <c r="E6" s="40">
        <v>4</v>
      </c>
      <c r="F6" s="28">
        <v>70</v>
      </c>
      <c r="G6" s="123">
        <v>2</v>
      </c>
      <c r="H6" s="128">
        <v>35</v>
      </c>
    </row>
    <row r="7" spans="1:8" x14ac:dyDescent="0.3">
      <c r="A7" s="2" t="s">
        <v>4</v>
      </c>
      <c r="B7" s="17" t="s">
        <v>30</v>
      </c>
      <c r="C7" s="33" t="s">
        <v>63</v>
      </c>
      <c r="D7" s="46" t="s">
        <v>60</v>
      </c>
      <c r="E7" s="42">
        <v>4</v>
      </c>
      <c r="F7" s="4">
        <v>2</v>
      </c>
      <c r="G7" s="42"/>
      <c r="H7" s="4"/>
    </row>
    <row r="8" spans="1:8" x14ac:dyDescent="0.3">
      <c r="A8" s="7" t="s">
        <v>5</v>
      </c>
      <c r="B8" s="39" t="s">
        <v>31</v>
      </c>
      <c r="C8" s="61" t="s">
        <v>506</v>
      </c>
      <c r="D8" s="62"/>
      <c r="E8" s="40">
        <v>2</v>
      </c>
      <c r="F8" s="28">
        <v>15</v>
      </c>
      <c r="G8" s="123">
        <v>2</v>
      </c>
      <c r="H8" s="128">
        <v>15</v>
      </c>
    </row>
    <row r="9" spans="1:8" x14ac:dyDescent="0.3">
      <c r="A9" s="2" t="s">
        <v>6</v>
      </c>
      <c r="B9" s="17" t="s">
        <v>32</v>
      </c>
      <c r="C9" s="35" t="s">
        <v>63</v>
      </c>
      <c r="D9" s="47" t="s">
        <v>60</v>
      </c>
      <c r="E9" s="42">
        <v>2</v>
      </c>
      <c r="F9" s="4">
        <v>1</v>
      </c>
      <c r="G9" s="42"/>
      <c r="H9" s="4"/>
    </row>
    <row r="10" spans="1:8" x14ac:dyDescent="0.3">
      <c r="A10" s="7" t="s">
        <v>7</v>
      </c>
      <c r="B10" s="39" t="s">
        <v>360</v>
      </c>
      <c r="C10" s="36" t="s">
        <v>62</v>
      </c>
      <c r="D10" s="29" t="s">
        <v>60</v>
      </c>
      <c r="E10" s="40">
        <v>0</v>
      </c>
      <c r="F10" s="28" t="s">
        <v>68</v>
      </c>
      <c r="G10" s="123"/>
      <c r="H10" s="128"/>
    </row>
    <row r="11" spans="1:8" x14ac:dyDescent="0.3">
      <c r="A11" s="2" t="s">
        <v>8</v>
      </c>
      <c r="B11" s="17" t="s">
        <v>33</v>
      </c>
      <c r="C11" s="37" t="s">
        <v>62</v>
      </c>
      <c r="D11" s="1" t="s">
        <v>60</v>
      </c>
      <c r="E11" s="42">
        <v>0</v>
      </c>
      <c r="F11" s="4" t="s">
        <v>68</v>
      </c>
      <c r="G11" s="42"/>
      <c r="H11" s="4"/>
    </row>
    <row r="12" spans="1:8" x14ac:dyDescent="0.3">
      <c r="A12" s="7" t="s">
        <v>9</v>
      </c>
      <c r="B12" s="39" t="s">
        <v>34</v>
      </c>
      <c r="C12" s="36" t="s">
        <v>62</v>
      </c>
      <c r="D12" s="29" t="s">
        <v>60</v>
      </c>
      <c r="E12" s="40">
        <v>4</v>
      </c>
      <c r="F12" s="28">
        <v>2</v>
      </c>
      <c r="G12" s="123">
        <v>2</v>
      </c>
      <c r="H12" s="128" t="s">
        <v>398</v>
      </c>
    </row>
    <row r="13" spans="1:8" x14ac:dyDescent="0.3">
      <c r="A13" s="2" t="s">
        <v>49</v>
      </c>
      <c r="B13" s="17" t="s">
        <v>35</v>
      </c>
      <c r="C13" s="37" t="s">
        <v>62</v>
      </c>
      <c r="D13" s="1" t="s">
        <v>60</v>
      </c>
      <c r="E13" s="42">
        <v>4</v>
      </c>
      <c r="F13" s="4">
        <v>2</v>
      </c>
      <c r="G13" s="42">
        <v>2</v>
      </c>
      <c r="H13" s="4" t="s">
        <v>398</v>
      </c>
    </row>
    <row r="14" spans="1:8" x14ac:dyDescent="0.3">
      <c r="A14" s="7" t="s">
        <v>10</v>
      </c>
      <c r="B14" s="39" t="s">
        <v>36</v>
      </c>
      <c r="C14" s="36" t="s">
        <v>62</v>
      </c>
      <c r="D14" s="29" t="s">
        <v>60</v>
      </c>
      <c r="E14" s="40">
        <v>4</v>
      </c>
      <c r="F14" s="28">
        <v>2</v>
      </c>
      <c r="G14" s="123">
        <v>2</v>
      </c>
      <c r="H14" s="128" t="s">
        <v>398</v>
      </c>
    </row>
    <row r="15" spans="1:8" x14ac:dyDescent="0.3">
      <c r="A15" s="2" t="s">
        <v>11</v>
      </c>
      <c r="B15" s="17" t="s">
        <v>37</v>
      </c>
      <c r="C15" s="37" t="s">
        <v>62</v>
      </c>
      <c r="D15" s="1" t="s">
        <v>60</v>
      </c>
      <c r="E15" s="42">
        <v>2</v>
      </c>
      <c r="F15" s="4">
        <v>1</v>
      </c>
      <c r="G15" s="42"/>
      <c r="H15" s="4"/>
    </row>
    <row r="16" spans="1:8" x14ac:dyDescent="0.3">
      <c r="A16" s="7" t="s">
        <v>12</v>
      </c>
      <c r="B16" s="39" t="s">
        <v>38</v>
      </c>
      <c r="C16" s="36" t="s">
        <v>62</v>
      </c>
      <c r="D16" s="29" t="s">
        <v>60</v>
      </c>
      <c r="E16" s="40">
        <v>0</v>
      </c>
      <c r="F16" s="28" t="s">
        <v>68</v>
      </c>
      <c r="G16" s="123"/>
      <c r="H16" s="128"/>
    </row>
    <row r="17" spans="1:8" x14ac:dyDescent="0.3">
      <c r="A17" s="2" t="s">
        <v>50</v>
      </c>
      <c r="B17" s="17" t="s">
        <v>39</v>
      </c>
      <c r="C17" s="37" t="s">
        <v>62</v>
      </c>
      <c r="D17" s="1" t="s">
        <v>60</v>
      </c>
      <c r="E17" s="42">
        <v>0</v>
      </c>
      <c r="F17" s="4" t="s">
        <v>68</v>
      </c>
      <c r="G17" s="42"/>
      <c r="H17" s="4"/>
    </row>
    <row r="18" spans="1:8" x14ac:dyDescent="0.3">
      <c r="A18" s="7" t="s">
        <v>51</v>
      </c>
      <c r="B18" s="39" t="s">
        <v>40</v>
      </c>
      <c r="C18" s="36" t="s">
        <v>62</v>
      </c>
      <c r="D18" s="29" t="s">
        <v>60</v>
      </c>
      <c r="E18" s="40">
        <v>4</v>
      </c>
      <c r="F18" s="28">
        <v>20</v>
      </c>
      <c r="G18" s="123"/>
      <c r="H18" s="128"/>
    </row>
    <row r="19" spans="1:8" x14ac:dyDescent="0.3">
      <c r="A19" s="2" t="s">
        <v>13</v>
      </c>
      <c r="B19" s="17" t="s">
        <v>41</v>
      </c>
      <c r="C19" s="37" t="s">
        <v>62</v>
      </c>
      <c r="D19" s="1" t="s">
        <v>60</v>
      </c>
      <c r="E19" s="42">
        <v>4</v>
      </c>
      <c r="F19" s="4">
        <v>1</v>
      </c>
      <c r="G19" s="42"/>
      <c r="H19" s="4"/>
    </row>
    <row r="20" spans="1:8" x14ac:dyDescent="0.3">
      <c r="A20" s="7" t="s">
        <v>52</v>
      </c>
      <c r="B20" s="39" t="s">
        <v>42</v>
      </c>
      <c r="C20" s="36" t="s">
        <v>62</v>
      </c>
      <c r="D20" s="29" t="s">
        <v>60</v>
      </c>
      <c r="E20" s="40">
        <v>4</v>
      </c>
      <c r="F20" s="28">
        <v>20</v>
      </c>
      <c r="G20" s="123"/>
      <c r="H20" s="128"/>
    </row>
    <row r="21" spans="1:8" x14ac:dyDescent="0.3">
      <c r="A21" s="2" t="s">
        <v>14</v>
      </c>
      <c r="B21" s="17" t="s">
        <v>43</v>
      </c>
      <c r="C21" s="37" t="s">
        <v>62</v>
      </c>
      <c r="D21" s="1" t="s">
        <v>60</v>
      </c>
      <c r="E21" s="42">
        <v>4</v>
      </c>
      <c r="F21" s="4">
        <v>20</v>
      </c>
      <c r="G21" s="42"/>
      <c r="H21" s="4"/>
    </row>
    <row r="22" spans="1:8" x14ac:dyDescent="0.3">
      <c r="A22" s="7" t="s">
        <v>15</v>
      </c>
      <c r="B22" s="39" t="s">
        <v>44</v>
      </c>
      <c r="C22" s="36" t="s">
        <v>62</v>
      </c>
      <c r="D22" s="29" t="s">
        <v>64</v>
      </c>
      <c r="E22" s="40">
        <v>0</v>
      </c>
      <c r="F22" s="28" t="s">
        <v>68</v>
      </c>
      <c r="G22" s="123"/>
      <c r="H22" s="128"/>
    </row>
    <row r="23" spans="1:8" x14ac:dyDescent="0.3">
      <c r="A23" s="2" t="s">
        <v>16</v>
      </c>
      <c r="B23" s="17" t="s">
        <v>45</v>
      </c>
      <c r="C23" s="37" t="s">
        <v>62</v>
      </c>
      <c r="D23" s="1" t="s">
        <v>64</v>
      </c>
      <c r="E23" s="42">
        <v>0</v>
      </c>
      <c r="F23" s="4" t="s">
        <v>68</v>
      </c>
      <c r="G23" s="42"/>
      <c r="H23" s="4"/>
    </row>
    <row r="24" spans="1:8" x14ac:dyDescent="0.3">
      <c r="A24" s="7" t="s">
        <v>17</v>
      </c>
      <c r="B24" s="39" t="s">
        <v>46</v>
      </c>
      <c r="C24" s="36" t="s">
        <v>62</v>
      </c>
      <c r="D24" s="29" t="s">
        <v>64</v>
      </c>
      <c r="E24" s="40">
        <v>0</v>
      </c>
      <c r="F24" s="28">
        <v>200</v>
      </c>
      <c r="G24" s="123"/>
      <c r="H24" s="128"/>
    </row>
    <row r="25" spans="1:8" x14ac:dyDescent="0.3">
      <c r="A25" s="2" t="s">
        <v>18</v>
      </c>
      <c r="B25" s="17" t="s">
        <v>47</v>
      </c>
      <c r="C25" s="37" t="s">
        <v>62</v>
      </c>
      <c r="D25" s="1" t="s">
        <v>64</v>
      </c>
      <c r="E25" s="42">
        <v>0</v>
      </c>
      <c r="F25" s="4">
        <v>200</v>
      </c>
      <c r="G25" s="42"/>
      <c r="H25" s="4"/>
    </row>
    <row r="26" spans="1:8" x14ac:dyDescent="0.3">
      <c r="A26" s="7" t="s">
        <v>19</v>
      </c>
      <c r="B26" s="39" t="s">
        <v>48</v>
      </c>
      <c r="C26" s="36" t="s">
        <v>63</v>
      </c>
      <c r="D26" s="29" t="s">
        <v>64</v>
      </c>
      <c r="E26" s="40">
        <v>2</v>
      </c>
      <c r="F26" s="28">
        <v>2</v>
      </c>
      <c r="G26" s="123"/>
      <c r="H26" s="128"/>
    </row>
    <row r="27" spans="1:8" x14ac:dyDescent="0.3">
      <c r="A27" s="2" t="s">
        <v>20</v>
      </c>
      <c r="B27" s="17" t="s">
        <v>53</v>
      </c>
      <c r="C27" s="17" t="s">
        <v>64</v>
      </c>
      <c r="D27" s="1" t="s">
        <v>65</v>
      </c>
      <c r="E27" s="42">
        <v>0</v>
      </c>
      <c r="F27" s="4">
        <v>150</v>
      </c>
      <c r="G27" s="42"/>
      <c r="H27" s="4"/>
    </row>
    <row r="28" spans="1:8" x14ac:dyDescent="0.3">
      <c r="A28" s="7" t="s">
        <v>21</v>
      </c>
      <c r="B28" s="39" t="s">
        <v>54</v>
      </c>
      <c r="C28" s="36" t="s">
        <v>62</v>
      </c>
      <c r="D28" s="29" t="s">
        <v>64</v>
      </c>
      <c r="E28" s="40">
        <v>0</v>
      </c>
      <c r="F28" s="28">
        <v>5</v>
      </c>
      <c r="G28" s="123"/>
      <c r="H28" s="128"/>
    </row>
    <row r="29" spans="1:8" x14ac:dyDescent="0.3">
      <c r="A29" s="2" t="s">
        <v>22</v>
      </c>
      <c r="B29" s="17" t="s">
        <v>55</v>
      </c>
      <c r="C29" s="37" t="s">
        <v>62</v>
      </c>
      <c r="D29" s="1" t="s">
        <v>64</v>
      </c>
      <c r="E29" s="42">
        <v>0</v>
      </c>
      <c r="F29" s="4">
        <v>1</v>
      </c>
      <c r="G29" s="42"/>
      <c r="H29" s="4"/>
    </row>
    <row r="30" spans="1:8" x14ac:dyDescent="0.3">
      <c r="A30" s="7" t="s">
        <v>23</v>
      </c>
      <c r="B30" s="39" t="s">
        <v>56</v>
      </c>
      <c r="C30" s="36" t="s">
        <v>62</v>
      </c>
      <c r="D30" s="29" t="s">
        <v>513</v>
      </c>
      <c r="E30" s="40">
        <v>0</v>
      </c>
      <c r="F30" s="28">
        <v>1</v>
      </c>
      <c r="G30" s="123"/>
      <c r="H30" s="128"/>
    </row>
    <row r="31" spans="1:8" x14ac:dyDescent="0.3">
      <c r="A31" s="2" t="s">
        <v>24</v>
      </c>
      <c r="B31" s="17" t="s">
        <v>57</v>
      </c>
      <c r="C31" s="38" t="s">
        <v>62</v>
      </c>
      <c r="D31" s="1" t="s">
        <v>60</v>
      </c>
      <c r="E31" s="42">
        <v>0</v>
      </c>
      <c r="F31" s="4" t="s">
        <v>68</v>
      </c>
      <c r="G31" s="42">
        <v>0</v>
      </c>
      <c r="H31" s="4" t="s">
        <v>405</v>
      </c>
    </row>
    <row r="32" spans="1:8" x14ac:dyDescent="0.3">
      <c r="A32" s="7" t="s">
        <v>23</v>
      </c>
      <c r="B32" s="39" t="s">
        <v>56</v>
      </c>
      <c r="C32" s="36" t="s">
        <v>62</v>
      </c>
      <c r="D32" s="29" t="s">
        <v>512</v>
      </c>
      <c r="E32" s="40">
        <v>0</v>
      </c>
      <c r="F32" s="28">
        <v>1</v>
      </c>
      <c r="G32" s="123"/>
      <c r="H32" s="128"/>
    </row>
    <row r="33" spans="1:8" x14ac:dyDescent="0.3">
      <c r="A33" s="2" t="s">
        <v>399</v>
      </c>
      <c r="B33" s="17" t="s">
        <v>401</v>
      </c>
      <c r="C33" s="38" t="s">
        <v>402</v>
      </c>
      <c r="D33" s="1" t="s">
        <v>403</v>
      </c>
      <c r="E33" s="42"/>
      <c r="F33" s="4"/>
      <c r="G33" s="42">
        <v>2</v>
      </c>
      <c r="H33" s="4" t="s">
        <v>398</v>
      </c>
    </row>
    <row r="34" spans="1:8" ht="17.25" thickBot="1" x14ac:dyDescent="0.35">
      <c r="A34" s="52" t="s">
        <v>400</v>
      </c>
      <c r="B34" s="53" t="s">
        <v>404</v>
      </c>
      <c r="C34" s="54" t="s">
        <v>402</v>
      </c>
      <c r="D34" s="55" t="s">
        <v>397</v>
      </c>
      <c r="E34" s="56"/>
      <c r="F34" s="57"/>
      <c r="G34" s="185">
        <v>2</v>
      </c>
      <c r="H34" s="186" t="s">
        <v>405</v>
      </c>
    </row>
    <row r="35" spans="1:8" x14ac:dyDescent="0.3">
      <c r="C35" s="58"/>
      <c r="D35" s="1"/>
      <c r="G35" s="1"/>
      <c r="H35" s="1"/>
    </row>
  </sheetData>
  <mergeCells count="3">
    <mergeCell ref="E1:F1"/>
    <mergeCell ref="C8:D8"/>
    <mergeCell ref="G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42DB-CC58-436B-B9B2-D665F7425B36}">
  <dimension ref="A1:H37"/>
  <sheetViews>
    <sheetView topLeftCell="A9" workbookViewId="0">
      <selection activeCell="L6" sqref="L6"/>
    </sheetView>
  </sheetViews>
  <sheetFormatPr defaultRowHeight="16.5" x14ac:dyDescent="0.3"/>
  <cols>
    <col min="1" max="1" width="17.875" customWidth="1"/>
    <col min="2" max="2" width="6" bestFit="1" customWidth="1"/>
    <col min="3" max="3" width="17.875" bestFit="1" customWidth="1"/>
    <col min="4" max="4" width="6" bestFit="1" customWidth="1"/>
    <col min="5" max="5" width="20.125" customWidth="1"/>
    <col min="6" max="6" width="6" bestFit="1" customWidth="1"/>
    <col min="7" max="7" width="20.125" bestFit="1" customWidth="1"/>
    <col min="8" max="8" width="6" bestFit="1" customWidth="1"/>
  </cols>
  <sheetData>
    <row r="1" spans="1:8" x14ac:dyDescent="0.3">
      <c r="A1" s="63" t="s">
        <v>61</v>
      </c>
      <c r="B1" s="64"/>
      <c r="C1" s="64"/>
      <c r="D1" s="65"/>
      <c r="E1" s="64" t="s">
        <v>59</v>
      </c>
      <c r="F1" s="64"/>
      <c r="G1" s="64"/>
      <c r="H1" s="65"/>
    </row>
    <row r="2" spans="1:8" x14ac:dyDescent="0.3">
      <c r="A2" s="66" t="s">
        <v>361</v>
      </c>
      <c r="B2" s="67"/>
      <c r="C2" s="68" t="s">
        <v>362</v>
      </c>
      <c r="D2" s="69"/>
      <c r="E2" s="66" t="s">
        <v>363</v>
      </c>
      <c r="F2" s="67"/>
      <c r="G2" s="68" t="s">
        <v>364</v>
      </c>
      <c r="H2" s="69"/>
    </row>
    <row r="3" spans="1:8" ht="17.25" thickBot="1" x14ac:dyDescent="0.35">
      <c r="A3" s="10" t="s">
        <v>365</v>
      </c>
      <c r="B3" s="11" t="s">
        <v>366</v>
      </c>
      <c r="C3" s="12" t="s">
        <v>367</v>
      </c>
      <c r="D3" s="13" t="s">
        <v>366</v>
      </c>
      <c r="E3" s="10" t="s">
        <v>368</v>
      </c>
      <c r="F3" s="11" t="s">
        <v>366</v>
      </c>
      <c r="G3" s="12" t="s">
        <v>369</v>
      </c>
      <c r="H3" s="13" t="s">
        <v>366</v>
      </c>
    </row>
    <row r="4" spans="1:8" x14ac:dyDescent="0.3">
      <c r="A4" s="73" t="s">
        <v>370</v>
      </c>
      <c r="B4" s="101" t="s">
        <v>371</v>
      </c>
      <c r="C4" s="83" t="s">
        <v>372</v>
      </c>
      <c r="D4" s="80">
        <v>1</v>
      </c>
      <c r="E4" s="73" t="s">
        <v>373</v>
      </c>
      <c r="F4" s="70" t="s">
        <v>374</v>
      </c>
      <c r="G4" s="15" t="s">
        <v>375</v>
      </c>
      <c r="H4" s="16">
        <v>0</v>
      </c>
    </row>
    <row r="5" spans="1:8" x14ac:dyDescent="0.3">
      <c r="A5" s="74"/>
      <c r="B5" s="102"/>
      <c r="C5" s="84"/>
      <c r="D5" s="81"/>
      <c r="E5" s="74"/>
      <c r="F5" s="71"/>
      <c r="G5" s="18" t="s">
        <v>376</v>
      </c>
      <c r="H5" s="19">
        <v>4</v>
      </c>
    </row>
    <row r="6" spans="1:8" x14ac:dyDescent="0.3">
      <c r="A6" s="74"/>
      <c r="B6" s="102"/>
      <c r="C6" s="84"/>
      <c r="D6" s="81"/>
      <c r="E6" s="74"/>
      <c r="F6" s="71"/>
      <c r="G6" s="18" t="s">
        <v>377</v>
      </c>
      <c r="H6" s="20">
        <v>5</v>
      </c>
    </row>
    <row r="7" spans="1:8" x14ac:dyDescent="0.3">
      <c r="A7" s="74"/>
      <c r="B7" s="102"/>
      <c r="C7" s="84"/>
      <c r="D7" s="81"/>
      <c r="E7" s="74"/>
      <c r="F7" s="71"/>
      <c r="G7" s="18" t="s">
        <v>378</v>
      </c>
      <c r="H7" s="20">
        <v>8</v>
      </c>
    </row>
    <row r="8" spans="1:8" x14ac:dyDescent="0.3">
      <c r="A8" s="74"/>
      <c r="B8" s="102"/>
      <c r="C8" s="84"/>
      <c r="D8" s="81"/>
      <c r="E8" s="74"/>
      <c r="F8" s="71"/>
      <c r="G8" s="18" t="s">
        <v>379</v>
      </c>
      <c r="H8" s="20">
        <v>9</v>
      </c>
    </row>
    <row r="9" spans="1:8" x14ac:dyDescent="0.3">
      <c r="A9" s="74"/>
      <c r="B9" s="102"/>
      <c r="C9" s="84"/>
      <c r="D9" s="81"/>
      <c r="E9" s="74"/>
      <c r="F9" s="71"/>
      <c r="G9" s="18" t="s">
        <v>380</v>
      </c>
      <c r="H9" s="20" t="s">
        <v>381</v>
      </c>
    </row>
    <row r="10" spans="1:8" ht="17.25" thickBot="1" x14ac:dyDescent="0.35">
      <c r="A10" s="74"/>
      <c r="B10" s="102"/>
      <c r="C10" s="92"/>
      <c r="D10" s="82"/>
      <c r="E10" s="75"/>
      <c r="F10" s="72"/>
      <c r="G10" s="21" t="s">
        <v>382</v>
      </c>
      <c r="H10" s="22" t="s">
        <v>383</v>
      </c>
    </row>
    <row r="11" spans="1:8" x14ac:dyDescent="0.3">
      <c r="A11" s="74"/>
      <c r="B11" s="102"/>
      <c r="C11" s="83" t="s">
        <v>384</v>
      </c>
      <c r="D11" s="80">
        <v>2</v>
      </c>
      <c r="E11" s="106" t="s">
        <v>385</v>
      </c>
      <c r="F11" s="70">
        <v>0</v>
      </c>
      <c r="G11" s="83" t="s">
        <v>375</v>
      </c>
      <c r="H11" s="80">
        <v>0</v>
      </c>
    </row>
    <row r="12" spans="1:8" x14ac:dyDescent="0.3">
      <c r="A12" s="74"/>
      <c r="B12" s="102"/>
      <c r="C12" s="84"/>
      <c r="D12" s="81"/>
      <c r="E12" s="107"/>
      <c r="F12" s="71"/>
      <c r="G12" s="84"/>
      <c r="H12" s="81"/>
    </row>
    <row r="13" spans="1:8" x14ac:dyDescent="0.3">
      <c r="A13" s="74"/>
      <c r="B13" s="102"/>
      <c r="C13" s="84"/>
      <c r="D13" s="81"/>
      <c r="E13" s="107"/>
      <c r="F13" s="78"/>
      <c r="G13" s="84"/>
      <c r="H13" s="81"/>
    </row>
    <row r="14" spans="1:8" x14ac:dyDescent="0.3">
      <c r="A14" s="74"/>
      <c r="B14" s="102"/>
      <c r="C14" s="84"/>
      <c r="D14" s="81"/>
      <c r="E14" s="107" t="s">
        <v>386</v>
      </c>
      <c r="F14" s="102">
        <v>1</v>
      </c>
      <c r="G14" s="84"/>
      <c r="H14" s="85"/>
    </row>
    <row r="15" spans="1:8" x14ac:dyDescent="0.3">
      <c r="A15" s="74"/>
      <c r="B15" s="102"/>
      <c r="C15" s="84"/>
      <c r="D15" s="81"/>
      <c r="E15" s="107"/>
      <c r="F15" s="102"/>
      <c r="G15" s="84" t="s">
        <v>387</v>
      </c>
      <c r="H15" s="81">
        <v>4</v>
      </c>
    </row>
    <row r="16" spans="1:8" x14ac:dyDescent="0.3">
      <c r="A16" s="74"/>
      <c r="B16" s="102"/>
      <c r="C16" s="84"/>
      <c r="D16" s="81"/>
      <c r="E16" s="107"/>
      <c r="F16" s="102"/>
      <c r="G16" s="84"/>
      <c r="H16" s="81"/>
    </row>
    <row r="17" spans="1:8" x14ac:dyDescent="0.3">
      <c r="A17" s="74"/>
      <c r="B17" s="102"/>
      <c r="C17" s="84"/>
      <c r="D17" s="81"/>
      <c r="E17" s="107" t="s">
        <v>388</v>
      </c>
      <c r="F17" s="86">
        <v>2</v>
      </c>
      <c r="G17" s="84"/>
      <c r="H17" s="81"/>
    </row>
    <row r="18" spans="1:8" x14ac:dyDescent="0.3">
      <c r="A18" s="74"/>
      <c r="B18" s="102"/>
      <c r="C18" s="84"/>
      <c r="D18" s="81"/>
      <c r="E18" s="107"/>
      <c r="F18" s="71"/>
      <c r="G18" s="84"/>
      <c r="H18" s="85"/>
    </row>
    <row r="19" spans="1:8" x14ac:dyDescent="0.3">
      <c r="A19" s="74"/>
      <c r="B19" s="102"/>
      <c r="C19" s="84"/>
      <c r="D19" s="81"/>
      <c r="E19" s="107"/>
      <c r="F19" s="71"/>
      <c r="G19" s="84" t="s">
        <v>389</v>
      </c>
      <c r="H19" s="76">
        <v>5</v>
      </c>
    </row>
    <row r="20" spans="1:8" x14ac:dyDescent="0.3">
      <c r="A20" s="74"/>
      <c r="B20" s="102"/>
      <c r="C20" s="84"/>
      <c r="D20" s="81"/>
      <c r="E20" s="107" t="s">
        <v>390</v>
      </c>
      <c r="F20" s="86">
        <v>3</v>
      </c>
      <c r="G20" s="84"/>
      <c r="H20" s="76"/>
    </row>
    <row r="21" spans="1:8" x14ac:dyDescent="0.3">
      <c r="A21" s="74"/>
      <c r="B21" s="102"/>
      <c r="C21" s="84"/>
      <c r="D21" s="81"/>
      <c r="E21" s="107"/>
      <c r="F21" s="71"/>
      <c r="G21" s="84"/>
      <c r="H21" s="76"/>
    </row>
    <row r="22" spans="1:8" x14ac:dyDescent="0.3">
      <c r="A22" s="74"/>
      <c r="B22" s="102"/>
      <c r="C22" s="84"/>
      <c r="D22" s="81"/>
      <c r="E22" s="108"/>
      <c r="F22" s="89"/>
      <c r="G22" s="87"/>
      <c r="H22" s="88"/>
    </row>
    <row r="23" spans="1:8" x14ac:dyDescent="0.3">
      <c r="A23" s="74"/>
      <c r="B23" s="102"/>
      <c r="C23" s="84"/>
      <c r="D23" s="81"/>
      <c r="E23" s="109" t="s">
        <v>391</v>
      </c>
      <c r="F23" s="103">
        <v>8</v>
      </c>
      <c r="G23" s="18" t="s">
        <v>375</v>
      </c>
      <c r="H23" s="19">
        <v>0</v>
      </c>
    </row>
    <row r="24" spans="1:8" x14ac:dyDescent="0.3">
      <c r="A24" s="74"/>
      <c r="B24" s="102"/>
      <c r="C24" s="84"/>
      <c r="D24" s="81"/>
      <c r="E24" s="107"/>
      <c r="F24" s="102"/>
      <c r="G24" s="18" t="s">
        <v>392</v>
      </c>
      <c r="H24" s="105">
        <v>4</v>
      </c>
    </row>
    <row r="25" spans="1:8" ht="17.25" thickBot="1" x14ac:dyDescent="0.35">
      <c r="A25" s="74"/>
      <c r="B25" s="102"/>
      <c r="C25" s="92"/>
      <c r="D25" s="82"/>
      <c r="E25" s="110"/>
      <c r="F25" s="104"/>
      <c r="G25" s="21" t="s">
        <v>409</v>
      </c>
      <c r="H25" s="23" t="s">
        <v>410</v>
      </c>
    </row>
    <row r="26" spans="1:8" x14ac:dyDescent="0.3">
      <c r="A26" s="74"/>
      <c r="B26" s="102"/>
      <c r="C26" s="111" t="s">
        <v>393</v>
      </c>
      <c r="D26" s="114">
        <v>3</v>
      </c>
      <c r="E26" s="41" t="s">
        <v>454</v>
      </c>
      <c r="F26" s="26">
        <v>0</v>
      </c>
      <c r="G26" s="83" t="s">
        <v>393</v>
      </c>
      <c r="H26" s="80">
        <v>8</v>
      </c>
    </row>
    <row r="27" spans="1:8" x14ac:dyDescent="0.3">
      <c r="A27" s="74"/>
      <c r="B27" s="102"/>
      <c r="C27" s="112"/>
      <c r="D27" s="90"/>
      <c r="E27" s="42" t="s">
        <v>455</v>
      </c>
      <c r="F27" s="25">
        <v>8</v>
      </c>
      <c r="G27" s="84"/>
      <c r="H27" s="81"/>
    </row>
    <row r="28" spans="1:8" x14ac:dyDescent="0.3">
      <c r="A28" s="74"/>
      <c r="B28" s="102"/>
      <c r="C28" s="112"/>
      <c r="D28" s="90"/>
      <c r="E28" s="42" t="s">
        <v>443</v>
      </c>
      <c r="F28" s="25">
        <v>9</v>
      </c>
      <c r="G28" s="84"/>
      <c r="H28" s="81"/>
    </row>
    <row r="29" spans="1:8" x14ac:dyDescent="0.3">
      <c r="A29" s="74"/>
      <c r="B29" s="102"/>
      <c r="C29" s="112"/>
      <c r="D29" s="90"/>
      <c r="E29" s="42" t="s">
        <v>448</v>
      </c>
      <c r="F29" s="118" t="s">
        <v>445</v>
      </c>
      <c r="G29" s="84"/>
      <c r="H29" s="85"/>
    </row>
    <row r="30" spans="1:8" x14ac:dyDescent="0.3">
      <c r="A30" s="74"/>
      <c r="B30" s="102"/>
      <c r="C30" s="112"/>
      <c r="D30" s="90"/>
      <c r="E30" s="42" t="s">
        <v>449</v>
      </c>
      <c r="F30" s="24" t="s">
        <v>446</v>
      </c>
      <c r="G30" s="115" t="s">
        <v>442</v>
      </c>
      <c r="H30" s="76" t="s">
        <v>441</v>
      </c>
    </row>
    <row r="31" spans="1:8" x14ac:dyDescent="0.3">
      <c r="A31" s="74"/>
      <c r="B31" s="102"/>
      <c r="C31" s="112"/>
      <c r="D31" s="90"/>
      <c r="E31" s="42" t="s">
        <v>450</v>
      </c>
      <c r="F31" s="25" t="s">
        <v>447</v>
      </c>
      <c r="G31" s="115"/>
      <c r="H31" s="76"/>
    </row>
    <row r="32" spans="1:8" x14ac:dyDescent="0.3">
      <c r="A32" s="74"/>
      <c r="B32" s="102"/>
      <c r="C32" s="112"/>
      <c r="D32" s="90"/>
      <c r="E32" s="42" t="s">
        <v>451</v>
      </c>
      <c r="F32" s="25" t="s">
        <v>453</v>
      </c>
      <c r="G32" s="115"/>
      <c r="H32" s="76"/>
    </row>
    <row r="33" spans="1:8" ht="17.25" thickBot="1" x14ac:dyDescent="0.35">
      <c r="A33" s="74"/>
      <c r="B33" s="102"/>
      <c r="C33" s="113"/>
      <c r="D33" s="91"/>
      <c r="E33" s="121" t="s">
        <v>452</v>
      </c>
      <c r="F33" s="119" t="s">
        <v>410</v>
      </c>
      <c r="G33" s="116"/>
      <c r="H33" s="77"/>
    </row>
    <row r="34" spans="1:8" x14ac:dyDescent="0.3">
      <c r="A34" s="74"/>
      <c r="B34" s="102"/>
      <c r="C34" s="83" t="s">
        <v>394</v>
      </c>
      <c r="D34" s="80">
        <v>4</v>
      </c>
      <c r="E34" s="106" t="s">
        <v>395</v>
      </c>
      <c r="F34" s="70" t="s">
        <v>374</v>
      </c>
      <c r="G34" s="83" t="s">
        <v>375</v>
      </c>
      <c r="H34" s="80">
        <v>0</v>
      </c>
    </row>
    <row r="35" spans="1:8" x14ac:dyDescent="0.3">
      <c r="A35" s="74"/>
      <c r="B35" s="102"/>
      <c r="C35" s="84"/>
      <c r="D35" s="81"/>
      <c r="E35" s="107"/>
      <c r="F35" s="78"/>
      <c r="G35" s="84"/>
      <c r="H35" s="85"/>
    </row>
    <row r="36" spans="1:8" x14ac:dyDescent="0.3">
      <c r="A36" s="74"/>
      <c r="B36" s="102"/>
      <c r="C36" s="84"/>
      <c r="D36" s="81"/>
      <c r="E36" s="107" t="s">
        <v>396</v>
      </c>
      <c r="F36" s="86" t="s">
        <v>144</v>
      </c>
      <c r="G36" s="84" t="s">
        <v>392</v>
      </c>
      <c r="H36" s="120">
        <v>4</v>
      </c>
    </row>
    <row r="37" spans="1:8" ht="17.25" thickBot="1" x14ac:dyDescent="0.35">
      <c r="A37" s="75"/>
      <c r="B37" s="104"/>
      <c r="C37" s="92"/>
      <c r="D37" s="82"/>
      <c r="E37" s="110"/>
      <c r="F37" s="72"/>
      <c r="G37" s="92"/>
      <c r="H37" s="82"/>
    </row>
  </sheetData>
  <mergeCells count="46">
    <mergeCell ref="A4:A37"/>
    <mergeCell ref="B4:B37"/>
    <mergeCell ref="H36:H37"/>
    <mergeCell ref="H34:H35"/>
    <mergeCell ref="G36:G37"/>
    <mergeCell ref="G34:G35"/>
    <mergeCell ref="F36:F37"/>
    <mergeCell ref="F34:F35"/>
    <mergeCell ref="E36:E37"/>
    <mergeCell ref="E34:E35"/>
    <mergeCell ref="D34:D37"/>
    <mergeCell ref="C34:C37"/>
    <mergeCell ref="D26:D33"/>
    <mergeCell ref="H30:H33"/>
    <mergeCell ref="G30:G33"/>
    <mergeCell ref="H26:H29"/>
    <mergeCell ref="G26:G29"/>
    <mergeCell ref="G11:G14"/>
    <mergeCell ref="H11:H14"/>
    <mergeCell ref="E14:E16"/>
    <mergeCell ref="F14:F16"/>
    <mergeCell ref="G15:G18"/>
    <mergeCell ref="H15:H18"/>
    <mergeCell ref="E17:E19"/>
    <mergeCell ref="F17:F19"/>
    <mergeCell ref="G19:G22"/>
    <mergeCell ref="H19:H22"/>
    <mergeCell ref="E20:E22"/>
    <mergeCell ref="F20:F22"/>
    <mergeCell ref="C4:C10"/>
    <mergeCell ref="D4:D10"/>
    <mergeCell ref="E4:E10"/>
    <mergeCell ref="E23:E25"/>
    <mergeCell ref="D11:D25"/>
    <mergeCell ref="C11:C25"/>
    <mergeCell ref="C26:C33"/>
    <mergeCell ref="F4:F10"/>
    <mergeCell ref="E11:E13"/>
    <mergeCell ref="F11:F13"/>
    <mergeCell ref="F23:F25"/>
    <mergeCell ref="A1:D1"/>
    <mergeCell ref="E1:H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96A2-336F-4DA1-8686-184079265C8F}">
  <dimension ref="A1:M124"/>
  <sheetViews>
    <sheetView zoomScale="85" zoomScaleNormal="85" workbookViewId="0">
      <selection activeCell="P13" sqref="P13"/>
    </sheetView>
  </sheetViews>
  <sheetFormatPr defaultRowHeight="16.5" x14ac:dyDescent="0.3"/>
  <cols>
    <col min="1" max="1" width="16.25" style="1" bestFit="1" customWidth="1"/>
    <col min="2" max="2" width="17.125" style="1" bestFit="1" customWidth="1"/>
    <col min="3" max="3" width="10.375" style="1" bestFit="1" customWidth="1"/>
    <col min="4" max="4" width="30.125" style="1" bestFit="1" customWidth="1"/>
    <col min="5" max="5" width="30.25" style="1" bestFit="1" customWidth="1"/>
    <col min="6" max="6" width="37.125" style="1" customWidth="1"/>
    <col min="7" max="8" width="13.375" style="1" bestFit="1" customWidth="1"/>
    <col min="9" max="9" width="12.25" style="177" bestFit="1" customWidth="1"/>
    <col min="10" max="10" width="8.625" style="1" bestFit="1" customWidth="1"/>
    <col min="11" max="11" width="8.625" bestFit="1" customWidth="1"/>
    <col min="12" max="12" width="8" style="1" bestFit="1" customWidth="1"/>
    <col min="13" max="13" width="7.375" style="1" bestFit="1" customWidth="1"/>
    <col min="14" max="16384" width="9" style="1"/>
  </cols>
  <sheetData>
    <row r="1" spans="1:13" ht="17.25" thickBot="1" x14ac:dyDescent="0.35">
      <c r="A1" s="159" t="s">
        <v>0</v>
      </c>
      <c r="B1" s="160"/>
      <c r="C1" s="126" t="s">
        <v>25</v>
      </c>
      <c r="D1" s="127" t="s">
        <v>114</v>
      </c>
      <c r="E1" s="159" t="s">
        <v>115</v>
      </c>
      <c r="F1" s="160"/>
      <c r="G1" s="163" t="s">
        <v>358</v>
      </c>
      <c r="H1" s="160"/>
      <c r="I1" s="179" t="s">
        <v>157</v>
      </c>
      <c r="J1" s="159" t="s">
        <v>156</v>
      </c>
      <c r="K1" s="160"/>
      <c r="L1" s="159" t="s">
        <v>116</v>
      </c>
      <c r="M1" s="160"/>
    </row>
    <row r="2" spans="1:13" ht="17.25" thickBot="1" x14ac:dyDescent="0.35">
      <c r="A2" s="137" t="s">
        <v>406</v>
      </c>
      <c r="B2" s="135" t="s">
        <v>407</v>
      </c>
      <c r="C2" s="125"/>
      <c r="D2" s="124"/>
      <c r="E2" s="157" t="s">
        <v>503</v>
      </c>
      <c r="F2" s="158" t="s">
        <v>504</v>
      </c>
      <c r="G2" s="139" t="s">
        <v>503</v>
      </c>
      <c r="H2" s="135" t="s">
        <v>504</v>
      </c>
      <c r="I2" s="180"/>
      <c r="J2" s="154" t="s">
        <v>503</v>
      </c>
      <c r="K2" s="155" t="s">
        <v>504</v>
      </c>
      <c r="L2" s="139" t="s">
        <v>503</v>
      </c>
      <c r="M2" s="135" t="s">
        <v>504</v>
      </c>
    </row>
    <row r="3" spans="1:13" x14ac:dyDescent="0.3">
      <c r="A3" s="187" t="s">
        <v>69</v>
      </c>
      <c r="B3" s="188" t="s">
        <v>408</v>
      </c>
      <c r="C3" s="189" t="s">
        <v>92</v>
      </c>
      <c r="D3" s="190" t="s">
        <v>117</v>
      </c>
      <c r="E3" s="191" t="s">
        <v>141</v>
      </c>
      <c r="F3" s="192" t="s">
        <v>499</v>
      </c>
      <c r="G3" s="187">
        <v>1.4662757E-2</v>
      </c>
      <c r="H3" s="188">
        <v>14.662756999999999</v>
      </c>
      <c r="I3" s="193"/>
      <c r="J3" s="187">
        <f>G3*I3</f>
        <v>0</v>
      </c>
      <c r="K3" s="188">
        <f>H3*I3</f>
        <v>0</v>
      </c>
      <c r="L3" s="187" t="s">
        <v>144</v>
      </c>
      <c r="M3" s="188" t="s">
        <v>502</v>
      </c>
    </row>
    <row r="4" spans="1:13" x14ac:dyDescent="0.3">
      <c r="A4" s="194" t="s">
        <v>70</v>
      </c>
      <c r="B4" s="195" t="s">
        <v>416</v>
      </c>
      <c r="C4" s="196" t="s">
        <v>93</v>
      </c>
      <c r="D4" s="197" t="s">
        <v>118</v>
      </c>
      <c r="E4" s="194" t="s">
        <v>142</v>
      </c>
      <c r="F4" s="195" t="s">
        <v>500</v>
      </c>
      <c r="G4" s="198">
        <v>8.9931569999999999E-3</v>
      </c>
      <c r="H4" s="195">
        <v>8.9931569999999999E-3</v>
      </c>
      <c r="I4" s="199"/>
      <c r="J4" s="198">
        <f>G4*I4</f>
        <v>0</v>
      </c>
      <c r="K4" s="195">
        <f t="shared" ref="K4:K16" si="0">H4*I4</f>
        <v>0</v>
      </c>
      <c r="L4" s="198" t="s">
        <v>145</v>
      </c>
      <c r="M4" s="195" t="s">
        <v>471</v>
      </c>
    </row>
    <row r="5" spans="1:13" x14ac:dyDescent="0.3">
      <c r="A5" s="140"/>
      <c r="B5" s="128" t="s">
        <v>411</v>
      </c>
      <c r="C5" s="122" t="s">
        <v>412</v>
      </c>
      <c r="D5" s="136" t="s">
        <v>413</v>
      </c>
      <c r="E5" s="134"/>
      <c r="F5" s="128" t="s">
        <v>414</v>
      </c>
      <c r="G5" s="138"/>
      <c r="H5" s="133"/>
      <c r="I5" s="169"/>
      <c r="J5" s="138"/>
      <c r="K5" s="133"/>
      <c r="L5" s="138"/>
      <c r="M5" s="128" t="s">
        <v>498</v>
      </c>
    </row>
    <row r="6" spans="1:13" x14ac:dyDescent="0.3">
      <c r="A6" s="132" t="s">
        <v>460</v>
      </c>
      <c r="B6" s="4"/>
      <c r="C6" s="3" t="s">
        <v>461</v>
      </c>
      <c r="D6" s="96" t="s">
        <v>462</v>
      </c>
      <c r="E6" s="132" t="s">
        <v>463</v>
      </c>
      <c r="F6" s="96"/>
      <c r="G6" s="132">
        <v>1.3275470000000001E-3</v>
      </c>
      <c r="H6" s="4"/>
      <c r="I6" s="168"/>
      <c r="J6" s="132">
        <f>G6*I6</f>
        <v>0</v>
      </c>
      <c r="K6" s="4"/>
      <c r="L6" s="132" t="s">
        <v>444</v>
      </c>
      <c r="M6" s="4"/>
    </row>
    <row r="7" spans="1:13" x14ac:dyDescent="0.3">
      <c r="A7" s="130" t="s">
        <v>464</v>
      </c>
      <c r="B7" s="28"/>
      <c r="C7" s="8" t="s">
        <v>465</v>
      </c>
      <c r="D7" s="97" t="s">
        <v>466</v>
      </c>
      <c r="E7" s="130" t="s">
        <v>463</v>
      </c>
      <c r="F7" s="97"/>
      <c r="G7" s="130">
        <v>1.3275470000000001E-3</v>
      </c>
      <c r="H7" s="28"/>
      <c r="I7" s="170"/>
      <c r="J7" s="130">
        <f>G7*I7</f>
        <v>0</v>
      </c>
      <c r="K7" s="28"/>
      <c r="L7" s="130" t="s">
        <v>445</v>
      </c>
      <c r="M7" s="28"/>
    </row>
    <row r="8" spans="1:13" x14ac:dyDescent="0.3">
      <c r="A8" s="132"/>
      <c r="B8" s="4"/>
      <c r="C8" s="3"/>
      <c r="D8" s="96"/>
      <c r="E8" s="79"/>
      <c r="F8" s="117"/>
      <c r="G8" s="79"/>
      <c r="H8" s="117"/>
      <c r="I8" s="168"/>
      <c r="J8" s="132">
        <f t="shared" ref="J8:J46" si="1">G8*I8</f>
        <v>0</v>
      </c>
      <c r="K8" s="4"/>
      <c r="L8" s="132"/>
      <c r="M8" s="4"/>
    </row>
    <row r="9" spans="1:13" x14ac:dyDescent="0.3">
      <c r="A9" s="130" t="s">
        <v>467</v>
      </c>
      <c r="B9" s="28"/>
      <c r="C9" s="8" t="s">
        <v>468</v>
      </c>
      <c r="D9" s="97" t="s">
        <v>469</v>
      </c>
      <c r="E9" s="130" t="s">
        <v>470</v>
      </c>
      <c r="F9" s="97"/>
      <c r="G9" s="130">
        <v>2.066632361E-3</v>
      </c>
      <c r="H9" s="28"/>
      <c r="I9" s="170"/>
      <c r="J9" s="130">
        <f t="shared" si="1"/>
        <v>0</v>
      </c>
      <c r="K9" s="28"/>
      <c r="L9" s="130" t="s">
        <v>445</v>
      </c>
      <c r="M9" s="28"/>
    </row>
    <row r="10" spans="1:13" x14ac:dyDescent="0.3">
      <c r="A10" s="132" t="s">
        <v>475</v>
      </c>
      <c r="B10" s="4"/>
      <c r="C10" s="3" t="s">
        <v>474</v>
      </c>
      <c r="D10" s="96" t="s">
        <v>473</v>
      </c>
      <c r="E10" s="132" t="s">
        <v>472</v>
      </c>
      <c r="F10" s="96"/>
      <c r="G10" s="132">
        <v>1.349E-2</v>
      </c>
      <c r="H10" s="4"/>
      <c r="I10" s="168"/>
      <c r="J10" s="132">
        <f t="shared" si="1"/>
        <v>0</v>
      </c>
      <c r="K10" s="4"/>
      <c r="L10" s="132" t="s">
        <v>471</v>
      </c>
      <c r="M10" s="4"/>
    </row>
    <row r="11" spans="1:13" x14ac:dyDescent="0.3">
      <c r="A11" s="130" t="s">
        <v>476</v>
      </c>
      <c r="B11" s="28"/>
      <c r="C11" s="8" t="s">
        <v>477</v>
      </c>
      <c r="D11" s="97" t="s">
        <v>478</v>
      </c>
      <c r="E11" s="130" t="s">
        <v>479</v>
      </c>
      <c r="F11" s="97"/>
      <c r="G11" s="130">
        <v>6.8198867900000001E-3</v>
      </c>
      <c r="H11" s="28"/>
      <c r="I11" s="170"/>
      <c r="J11" s="130">
        <f t="shared" si="1"/>
        <v>0</v>
      </c>
      <c r="K11" s="28"/>
      <c r="L11" s="130" t="s">
        <v>445</v>
      </c>
      <c r="M11" s="28"/>
    </row>
    <row r="12" spans="1:13" x14ac:dyDescent="0.3">
      <c r="A12" s="132" t="s">
        <v>483</v>
      </c>
      <c r="B12" s="4"/>
      <c r="C12" s="3" t="s">
        <v>482</v>
      </c>
      <c r="D12" s="96" t="s">
        <v>481</v>
      </c>
      <c r="E12" s="132" t="s">
        <v>480</v>
      </c>
      <c r="F12" s="96"/>
      <c r="G12" s="132">
        <v>8.9700000000000005E-3</v>
      </c>
      <c r="H12" s="4"/>
      <c r="I12" s="168"/>
      <c r="J12" s="132">
        <f t="shared" si="1"/>
        <v>0</v>
      </c>
      <c r="K12" s="4"/>
      <c r="L12" s="132" t="s">
        <v>471</v>
      </c>
      <c r="M12" s="4"/>
    </row>
    <row r="13" spans="1:13" x14ac:dyDescent="0.3">
      <c r="A13" s="200" t="s">
        <v>488</v>
      </c>
      <c r="B13" s="201" t="s">
        <v>456</v>
      </c>
      <c r="C13" s="202" t="s">
        <v>484</v>
      </c>
      <c r="D13" s="203" t="s">
        <v>485</v>
      </c>
      <c r="E13" s="200" t="s">
        <v>147</v>
      </c>
      <c r="F13" s="201" t="s">
        <v>143</v>
      </c>
      <c r="G13" s="200">
        <v>6.8198867900000001E-3</v>
      </c>
      <c r="H13" s="201">
        <v>1.327547</v>
      </c>
      <c r="I13" s="204"/>
      <c r="J13" s="200">
        <f t="shared" si="1"/>
        <v>0</v>
      </c>
      <c r="K13" s="201">
        <f t="shared" si="0"/>
        <v>0</v>
      </c>
      <c r="L13" s="200" t="s">
        <v>445</v>
      </c>
      <c r="M13" s="201" t="s">
        <v>502</v>
      </c>
    </row>
    <row r="14" spans="1:13" x14ac:dyDescent="0.3">
      <c r="A14" s="198" t="s">
        <v>489</v>
      </c>
      <c r="B14" s="195" t="s">
        <v>457</v>
      </c>
      <c r="C14" s="196" t="s">
        <v>487</v>
      </c>
      <c r="D14" s="197" t="s">
        <v>486</v>
      </c>
      <c r="E14" s="198" t="s">
        <v>458</v>
      </c>
      <c r="F14" s="197" t="s">
        <v>458</v>
      </c>
      <c r="G14" s="198">
        <v>5.8650000000000004E-3</v>
      </c>
      <c r="H14" s="195">
        <v>5.8650000000000004E-3</v>
      </c>
      <c r="I14" s="199"/>
      <c r="J14" s="198">
        <f t="shared" si="1"/>
        <v>0</v>
      </c>
      <c r="K14" s="195">
        <f t="shared" si="0"/>
        <v>0</v>
      </c>
      <c r="L14" s="198" t="s">
        <v>471</v>
      </c>
      <c r="M14" s="195" t="s">
        <v>471</v>
      </c>
    </row>
    <row r="15" spans="1:13" x14ac:dyDescent="0.3">
      <c r="A15" s="200" t="s">
        <v>496</v>
      </c>
      <c r="B15" s="201" t="s">
        <v>492</v>
      </c>
      <c r="C15" s="202" t="s">
        <v>491</v>
      </c>
      <c r="D15" s="203" t="s">
        <v>490</v>
      </c>
      <c r="E15" s="200" t="s">
        <v>147</v>
      </c>
      <c r="F15" s="201" t="s">
        <v>143</v>
      </c>
      <c r="G15" s="200">
        <v>6.8198867900000001E-3</v>
      </c>
      <c r="H15" s="201">
        <v>1.327547</v>
      </c>
      <c r="I15" s="204"/>
      <c r="J15" s="200">
        <f t="shared" si="1"/>
        <v>0</v>
      </c>
      <c r="K15" s="201">
        <f t="shared" si="0"/>
        <v>0</v>
      </c>
      <c r="L15" s="200" t="s">
        <v>445</v>
      </c>
      <c r="M15" s="201" t="s">
        <v>502</v>
      </c>
    </row>
    <row r="16" spans="1:13" x14ac:dyDescent="0.3">
      <c r="A16" s="198" t="s">
        <v>497</v>
      </c>
      <c r="B16" s="195" t="s">
        <v>495</v>
      </c>
      <c r="C16" s="196" t="s">
        <v>494</v>
      </c>
      <c r="D16" s="197" t="s">
        <v>493</v>
      </c>
      <c r="E16" s="198" t="s">
        <v>459</v>
      </c>
      <c r="F16" s="197" t="s">
        <v>459</v>
      </c>
      <c r="G16" s="198">
        <v>4.3109999999999997E-3</v>
      </c>
      <c r="H16" s="195">
        <v>4.3109999999999997E-3</v>
      </c>
      <c r="I16" s="199"/>
      <c r="J16" s="198">
        <f t="shared" si="1"/>
        <v>0</v>
      </c>
      <c r="K16" s="195">
        <f t="shared" si="0"/>
        <v>0</v>
      </c>
      <c r="L16" s="198" t="s">
        <v>471</v>
      </c>
      <c r="M16" s="195" t="s">
        <v>471</v>
      </c>
    </row>
    <row r="17" spans="1:13" x14ac:dyDescent="0.3">
      <c r="A17" s="130" t="s">
        <v>71</v>
      </c>
      <c r="B17" s="28"/>
      <c r="C17" s="8" t="s">
        <v>94</v>
      </c>
      <c r="D17" s="97" t="s">
        <v>119</v>
      </c>
      <c r="E17" s="130" t="s">
        <v>150</v>
      </c>
      <c r="F17" s="28"/>
      <c r="G17" s="93">
        <v>1.349E-2</v>
      </c>
      <c r="H17" s="156"/>
      <c r="I17" s="170"/>
      <c r="J17" s="130">
        <f t="shared" si="1"/>
        <v>0</v>
      </c>
      <c r="K17" s="28"/>
      <c r="L17" s="130" t="s">
        <v>145</v>
      </c>
      <c r="M17" s="28"/>
    </row>
    <row r="18" spans="1:13" x14ac:dyDescent="0.3">
      <c r="A18" s="132" t="s">
        <v>72</v>
      </c>
      <c r="B18" s="4"/>
      <c r="C18" s="3" t="s">
        <v>95</v>
      </c>
      <c r="D18" s="96" t="s">
        <v>121</v>
      </c>
      <c r="E18" s="132" t="s">
        <v>151</v>
      </c>
      <c r="F18" s="4"/>
      <c r="G18" s="132">
        <v>1.328E-3</v>
      </c>
      <c r="H18" s="4"/>
      <c r="I18" s="168"/>
      <c r="J18" s="132">
        <f t="shared" si="1"/>
        <v>0</v>
      </c>
      <c r="K18" s="4"/>
      <c r="L18" s="132" t="s">
        <v>144</v>
      </c>
      <c r="M18" s="4"/>
    </row>
    <row r="19" spans="1:13" x14ac:dyDescent="0.3">
      <c r="A19" s="130" t="s">
        <v>73</v>
      </c>
      <c r="B19" s="28"/>
      <c r="C19" s="8" t="s">
        <v>96</v>
      </c>
      <c r="D19" s="97" t="s">
        <v>122</v>
      </c>
      <c r="E19" s="130" t="s">
        <v>150</v>
      </c>
      <c r="F19" s="28"/>
      <c r="G19" s="130">
        <v>1.349E-2</v>
      </c>
      <c r="H19" s="28"/>
      <c r="I19" s="170"/>
      <c r="J19" s="130">
        <f t="shared" si="1"/>
        <v>0</v>
      </c>
      <c r="K19" s="28"/>
      <c r="L19" s="130" t="s">
        <v>145</v>
      </c>
      <c r="M19" s="28"/>
    </row>
    <row r="20" spans="1:13" x14ac:dyDescent="0.3">
      <c r="A20" s="132" t="s">
        <v>74</v>
      </c>
      <c r="B20" s="4"/>
      <c r="C20" s="3" t="s">
        <v>97</v>
      </c>
      <c r="D20" s="96" t="s">
        <v>123</v>
      </c>
      <c r="E20" s="132" t="s">
        <v>152</v>
      </c>
      <c r="F20" s="4"/>
      <c r="G20" s="132">
        <v>1.328E-3</v>
      </c>
      <c r="H20" s="4"/>
      <c r="I20" s="168"/>
      <c r="J20" s="132">
        <f t="shared" si="1"/>
        <v>0</v>
      </c>
      <c r="K20" s="4"/>
      <c r="L20" s="132" t="s">
        <v>144</v>
      </c>
      <c r="M20" s="4"/>
    </row>
    <row r="21" spans="1:13" x14ac:dyDescent="0.3">
      <c r="A21" s="130" t="s">
        <v>75</v>
      </c>
      <c r="B21" s="28"/>
      <c r="C21" s="8" t="s">
        <v>98</v>
      </c>
      <c r="D21" s="97" t="s">
        <v>124</v>
      </c>
      <c r="E21" s="130" t="s">
        <v>153</v>
      </c>
      <c r="F21" s="28"/>
      <c r="G21" s="130">
        <v>8.9929999999999993E-3</v>
      </c>
      <c r="H21" s="28"/>
      <c r="I21" s="170"/>
      <c r="J21" s="130">
        <f t="shared" si="1"/>
        <v>0</v>
      </c>
      <c r="K21" s="28"/>
      <c r="L21" s="130" t="s">
        <v>145</v>
      </c>
      <c r="M21" s="28"/>
    </row>
    <row r="22" spans="1:13" x14ac:dyDescent="0.3">
      <c r="A22" s="132" t="s">
        <v>76</v>
      </c>
      <c r="B22" s="4"/>
      <c r="C22" s="3" t="s">
        <v>99</v>
      </c>
      <c r="D22" s="96" t="s">
        <v>125</v>
      </c>
      <c r="E22" s="132" t="s">
        <v>154</v>
      </c>
      <c r="F22" s="4"/>
      <c r="G22" s="132">
        <v>6.2389999999999998E-3</v>
      </c>
      <c r="H22" s="4"/>
      <c r="I22" s="168"/>
      <c r="J22" s="132">
        <f t="shared" si="1"/>
        <v>0</v>
      </c>
      <c r="K22" s="4"/>
      <c r="L22" s="132" t="s">
        <v>144</v>
      </c>
      <c r="M22" s="4"/>
    </row>
    <row r="23" spans="1:13" x14ac:dyDescent="0.3">
      <c r="A23" s="130" t="s">
        <v>77</v>
      </c>
      <c r="B23" s="28"/>
      <c r="C23" s="8" t="s">
        <v>100</v>
      </c>
      <c r="D23" s="97" t="s">
        <v>126</v>
      </c>
      <c r="E23" s="130" t="s">
        <v>153</v>
      </c>
      <c r="F23" s="28"/>
      <c r="G23" s="130">
        <v>8.9929999999999993E-3</v>
      </c>
      <c r="H23" s="28"/>
      <c r="I23" s="170"/>
      <c r="J23" s="130">
        <f t="shared" si="1"/>
        <v>0</v>
      </c>
      <c r="K23" s="28"/>
      <c r="L23" s="130" t="s">
        <v>145</v>
      </c>
      <c r="M23" s="28"/>
    </row>
    <row r="24" spans="1:13" x14ac:dyDescent="0.3">
      <c r="A24" s="132" t="s">
        <v>78</v>
      </c>
      <c r="B24" s="4"/>
      <c r="C24" s="3" t="s">
        <v>101</v>
      </c>
      <c r="D24" s="96" t="s">
        <v>127</v>
      </c>
      <c r="E24" s="132" t="s">
        <v>154</v>
      </c>
      <c r="F24" s="4"/>
      <c r="G24" s="132">
        <v>6.2389999999999998E-3</v>
      </c>
      <c r="H24" s="4"/>
      <c r="I24" s="168"/>
      <c r="J24" s="132">
        <f t="shared" si="1"/>
        <v>0</v>
      </c>
      <c r="K24" s="4"/>
      <c r="L24" s="132" t="s">
        <v>144</v>
      </c>
      <c r="M24" s="4"/>
    </row>
    <row r="25" spans="1:13" x14ac:dyDescent="0.3">
      <c r="A25" s="130" t="s">
        <v>79</v>
      </c>
      <c r="B25" s="28"/>
      <c r="C25" s="8" t="s">
        <v>102</v>
      </c>
      <c r="D25" s="97" t="s">
        <v>128</v>
      </c>
      <c r="E25" s="130" t="s">
        <v>148</v>
      </c>
      <c r="F25" s="28"/>
      <c r="G25" s="130">
        <v>5.8650000000000004E-3</v>
      </c>
      <c r="H25" s="28"/>
      <c r="I25" s="170"/>
      <c r="J25" s="130">
        <f t="shared" si="1"/>
        <v>0</v>
      </c>
      <c r="K25" s="28"/>
      <c r="L25" s="130" t="s">
        <v>145</v>
      </c>
      <c r="M25" s="28"/>
    </row>
    <row r="26" spans="1:13" x14ac:dyDescent="0.3">
      <c r="A26" s="132" t="s">
        <v>81</v>
      </c>
      <c r="B26" s="4"/>
      <c r="C26" s="3" t="s">
        <v>103</v>
      </c>
      <c r="D26" s="96" t="s">
        <v>129</v>
      </c>
      <c r="E26" s="132" t="s">
        <v>152</v>
      </c>
      <c r="F26" s="4"/>
      <c r="G26" s="132">
        <v>1.328E-3</v>
      </c>
      <c r="H26" s="4"/>
      <c r="I26" s="168"/>
      <c r="J26" s="132">
        <f t="shared" si="1"/>
        <v>0</v>
      </c>
      <c r="K26" s="4"/>
      <c r="L26" s="132" t="s">
        <v>144</v>
      </c>
      <c r="M26" s="4"/>
    </row>
    <row r="27" spans="1:13" x14ac:dyDescent="0.3">
      <c r="A27" s="130" t="s">
        <v>82</v>
      </c>
      <c r="B27" s="28"/>
      <c r="C27" s="8" t="s">
        <v>104</v>
      </c>
      <c r="D27" s="97" t="s">
        <v>130</v>
      </c>
      <c r="E27" s="130" t="s">
        <v>148</v>
      </c>
      <c r="F27" s="28"/>
      <c r="G27" s="130">
        <v>5.8650000000000004E-3</v>
      </c>
      <c r="H27" s="28"/>
      <c r="I27" s="170"/>
      <c r="J27" s="130">
        <f t="shared" si="1"/>
        <v>0</v>
      </c>
      <c r="K27" s="28"/>
      <c r="L27" s="130" t="s">
        <v>145</v>
      </c>
      <c r="M27" s="28"/>
    </row>
    <row r="28" spans="1:13" x14ac:dyDescent="0.3">
      <c r="A28" s="132" t="s">
        <v>80</v>
      </c>
      <c r="B28" s="4"/>
      <c r="C28" s="3" t="s">
        <v>105</v>
      </c>
      <c r="D28" s="96" t="s">
        <v>131</v>
      </c>
      <c r="E28" s="132" t="s">
        <v>152</v>
      </c>
      <c r="F28" s="4"/>
      <c r="G28" s="132">
        <v>1.328E-3</v>
      </c>
      <c r="H28" s="4"/>
      <c r="I28" s="168"/>
      <c r="J28" s="132">
        <f t="shared" si="1"/>
        <v>0</v>
      </c>
      <c r="K28" s="4"/>
      <c r="L28" s="132" t="s">
        <v>144</v>
      </c>
      <c r="M28" s="4"/>
    </row>
    <row r="29" spans="1:13" x14ac:dyDescent="0.3">
      <c r="A29" s="130" t="s">
        <v>83</v>
      </c>
      <c r="B29" s="28"/>
      <c r="C29" s="8" t="s">
        <v>106</v>
      </c>
      <c r="D29" s="97" t="s">
        <v>132</v>
      </c>
      <c r="E29" s="130" t="s">
        <v>148</v>
      </c>
      <c r="F29" s="28"/>
      <c r="G29" s="130">
        <v>5.8650000000000004E-3</v>
      </c>
      <c r="H29" s="28"/>
      <c r="I29" s="170"/>
      <c r="J29" s="130">
        <f t="shared" si="1"/>
        <v>0</v>
      </c>
      <c r="K29" s="28"/>
      <c r="L29" s="130" t="s">
        <v>145</v>
      </c>
      <c r="M29" s="28"/>
    </row>
    <row r="30" spans="1:13" x14ac:dyDescent="0.3">
      <c r="A30" s="132" t="s">
        <v>84</v>
      </c>
      <c r="B30" s="4"/>
      <c r="C30" s="3" t="s">
        <v>107</v>
      </c>
      <c r="D30" s="96" t="s">
        <v>133</v>
      </c>
      <c r="E30" s="132" t="s">
        <v>152</v>
      </c>
      <c r="F30" s="4"/>
      <c r="G30" s="132">
        <v>1.328E-3</v>
      </c>
      <c r="H30" s="4"/>
      <c r="I30" s="168"/>
      <c r="J30" s="132">
        <f t="shared" si="1"/>
        <v>0</v>
      </c>
      <c r="K30" s="4"/>
      <c r="L30" s="132" t="s">
        <v>144</v>
      </c>
      <c r="M30" s="4"/>
    </row>
    <row r="31" spans="1:13" x14ac:dyDescent="0.3">
      <c r="A31" s="130" t="s">
        <v>85</v>
      </c>
      <c r="B31" s="28"/>
      <c r="C31" s="8" t="s">
        <v>108</v>
      </c>
      <c r="D31" s="97" t="s">
        <v>134</v>
      </c>
      <c r="E31" s="130" t="s">
        <v>149</v>
      </c>
      <c r="F31" s="28"/>
      <c r="G31" s="130">
        <v>4.3109999999999997E-3</v>
      </c>
      <c r="H31" s="28"/>
      <c r="I31" s="170"/>
      <c r="J31" s="130">
        <f t="shared" si="1"/>
        <v>0</v>
      </c>
      <c r="K31" s="28"/>
      <c r="L31" s="130" t="s">
        <v>145</v>
      </c>
      <c r="M31" s="28"/>
    </row>
    <row r="32" spans="1:13" x14ac:dyDescent="0.3">
      <c r="A32" s="132" t="s">
        <v>86</v>
      </c>
      <c r="B32" s="4"/>
      <c r="C32" s="3" t="s">
        <v>109</v>
      </c>
      <c r="D32" s="96" t="s">
        <v>135</v>
      </c>
      <c r="E32" s="132" t="s">
        <v>152</v>
      </c>
      <c r="F32" s="4"/>
      <c r="G32" s="132">
        <v>1.328E-3</v>
      </c>
      <c r="H32" s="4"/>
      <c r="I32" s="168"/>
      <c r="J32" s="132">
        <f t="shared" si="1"/>
        <v>0</v>
      </c>
      <c r="K32" s="4"/>
      <c r="L32" s="132" t="s">
        <v>144</v>
      </c>
      <c r="M32" s="4"/>
    </row>
    <row r="33" spans="1:13" x14ac:dyDescent="0.3">
      <c r="A33" s="130" t="s">
        <v>87</v>
      </c>
      <c r="B33" s="28"/>
      <c r="C33" s="8" t="s">
        <v>110</v>
      </c>
      <c r="D33" s="97" t="s">
        <v>136</v>
      </c>
      <c r="E33" s="130" t="s">
        <v>155</v>
      </c>
      <c r="F33" s="28"/>
      <c r="G33" s="130">
        <v>4.3109999999999997E-3</v>
      </c>
      <c r="H33" s="28"/>
      <c r="I33" s="170"/>
      <c r="J33" s="130">
        <f t="shared" si="1"/>
        <v>0</v>
      </c>
      <c r="K33" s="28"/>
      <c r="L33" s="130" t="s">
        <v>145</v>
      </c>
      <c r="M33" s="28"/>
    </row>
    <row r="34" spans="1:13" x14ac:dyDescent="0.3">
      <c r="A34" s="132" t="s">
        <v>88</v>
      </c>
      <c r="B34" s="4"/>
      <c r="C34" s="3" t="s">
        <v>111</v>
      </c>
      <c r="D34" s="96" t="s">
        <v>137</v>
      </c>
      <c r="E34" s="132" t="s">
        <v>151</v>
      </c>
      <c r="F34" s="4"/>
      <c r="G34" s="132">
        <v>1.328E-3</v>
      </c>
      <c r="H34" s="4"/>
      <c r="I34" s="168"/>
      <c r="J34" s="132">
        <f t="shared" si="1"/>
        <v>0</v>
      </c>
      <c r="K34" s="4"/>
      <c r="L34" s="132" t="s">
        <v>144</v>
      </c>
      <c r="M34" s="4"/>
    </row>
    <row r="35" spans="1:13" x14ac:dyDescent="0.3">
      <c r="A35" s="130" t="s">
        <v>89</v>
      </c>
      <c r="B35" s="28"/>
      <c r="C35" s="8" t="s">
        <v>112</v>
      </c>
      <c r="D35" s="97" t="s">
        <v>138</v>
      </c>
      <c r="E35" s="130" t="s">
        <v>155</v>
      </c>
      <c r="F35" s="28"/>
      <c r="G35" s="130">
        <v>4.3109999999999997E-3</v>
      </c>
      <c r="H35" s="28"/>
      <c r="I35" s="170"/>
      <c r="J35" s="130">
        <f t="shared" si="1"/>
        <v>0</v>
      </c>
      <c r="K35" s="28"/>
      <c r="L35" s="130" t="s">
        <v>145</v>
      </c>
      <c r="M35" s="28"/>
    </row>
    <row r="36" spans="1:13" x14ac:dyDescent="0.3">
      <c r="A36" s="132" t="s">
        <v>90</v>
      </c>
      <c r="B36" s="4"/>
      <c r="C36" s="3" t="s">
        <v>113</v>
      </c>
      <c r="D36" s="96" t="s">
        <v>139</v>
      </c>
      <c r="E36" s="27" t="s">
        <v>151</v>
      </c>
      <c r="F36" s="4"/>
      <c r="G36" s="132">
        <v>1.328E-3</v>
      </c>
      <c r="H36" s="4"/>
      <c r="I36" s="168"/>
      <c r="J36" s="132">
        <f t="shared" si="1"/>
        <v>0</v>
      </c>
      <c r="K36" s="4"/>
      <c r="L36" s="132" t="s">
        <v>144</v>
      </c>
      <c r="M36" s="4"/>
    </row>
    <row r="37" spans="1:13" x14ac:dyDescent="0.3">
      <c r="A37" s="200" t="s">
        <v>91</v>
      </c>
      <c r="B37" s="201" t="s">
        <v>415</v>
      </c>
      <c r="C37" s="202" t="s">
        <v>120</v>
      </c>
      <c r="D37" s="203" t="s">
        <v>140</v>
      </c>
      <c r="E37" s="200" t="s">
        <v>222</v>
      </c>
      <c r="F37" s="201" t="s">
        <v>501</v>
      </c>
      <c r="G37" s="205">
        <v>0.37243399999999999</v>
      </c>
      <c r="H37" s="206">
        <v>0.37243399999999999</v>
      </c>
      <c r="I37" s="204"/>
      <c r="J37" s="200">
        <f>G37*I37-273.15</f>
        <v>-273.14999999999998</v>
      </c>
      <c r="K37" s="201">
        <f>H37*I37-273.15</f>
        <v>-273.14999999999998</v>
      </c>
      <c r="L37" s="200" t="s">
        <v>146</v>
      </c>
      <c r="M37" s="201" t="s">
        <v>505</v>
      </c>
    </row>
    <row r="38" spans="1:13" x14ac:dyDescent="0.3">
      <c r="A38" s="148" t="s">
        <v>355</v>
      </c>
      <c r="B38" s="142"/>
      <c r="C38" s="99" t="s">
        <v>356</v>
      </c>
      <c r="D38" s="100" t="s">
        <v>357</v>
      </c>
      <c r="E38" s="148" t="s">
        <v>222</v>
      </c>
      <c r="F38" s="142"/>
      <c r="G38" s="141">
        <v>0.37243399999999999</v>
      </c>
      <c r="H38" s="142"/>
      <c r="I38" s="171"/>
      <c r="J38" s="132">
        <f>G38*I38-273.15</f>
        <v>-273.14999999999998</v>
      </c>
      <c r="K38" s="4"/>
      <c r="L38" s="148" t="s">
        <v>146</v>
      </c>
      <c r="M38" s="4"/>
    </row>
    <row r="39" spans="1:13" x14ac:dyDescent="0.3">
      <c r="A39" s="140"/>
      <c r="B39" s="128" t="s">
        <v>417</v>
      </c>
      <c r="C39" s="122" t="s">
        <v>423</v>
      </c>
      <c r="D39" s="136" t="s">
        <v>431</v>
      </c>
      <c r="E39" s="140"/>
      <c r="F39" s="128" t="s">
        <v>439</v>
      </c>
      <c r="G39" s="140"/>
      <c r="H39" s="128">
        <v>0.39760000000000001</v>
      </c>
      <c r="I39" s="169"/>
      <c r="J39" s="140">
        <f t="shared" si="1"/>
        <v>0</v>
      </c>
      <c r="K39" s="128">
        <f>H37*I37-238.57</f>
        <v>-238.57</v>
      </c>
      <c r="L39" s="140"/>
      <c r="M39" s="128" t="s">
        <v>505</v>
      </c>
    </row>
    <row r="40" spans="1:13" x14ac:dyDescent="0.3">
      <c r="A40" s="148"/>
      <c r="B40" s="142" t="s">
        <v>421</v>
      </c>
      <c r="C40" s="99" t="s">
        <v>424</v>
      </c>
      <c r="D40" s="100" t="s">
        <v>436</v>
      </c>
      <c r="E40" s="148"/>
      <c r="F40" s="142" t="s">
        <v>440</v>
      </c>
      <c r="G40" s="167"/>
      <c r="H40" s="161"/>
      <c r="I40" s="171"/>
      <c r="J40" s="132">
        <f t="shared" si="1"/>
        <v>0</v>
      </c>
      <c r="K40" s="129"/>
      <c r="L40" s="148"/>
      <c r="M40" s="4" t="s">
        <v>498</v>
      </c>
    </row>
    <row r="41" spans="1:13" x14ac:dyDescent="0.3">
      <c r="A41" s="140"/>
      <c r="B41" s="128" t="s">
        <v>418</v>
      </c>
      <c r="C41" s="122" t="s">
        <v>425</v>
      </c>
      <c r="D41" s="136" t="s">
        <v>432</v>
      </c>
      <c r="E41" s="140"/>
      <c r="F41" s="128" t="s">
        <v>439</v>
      </c>
      <c r="G41" s="140"/>
      <c r="H41" s="128">
        <v>0.39760000000000001</v>
      </c>
      <c r="I41" s="169"/>
      <c r="J41" s="140">
        <f t="shared" si="1"/>
        <v>0</v>
      </c>
      <c r="K41" s="128">
        <f>H37*I37-238.57</f>
        <v>-238.57</v>
      </c>
      <c r="L41" s="140"/>
      <c r="M41" s="128" t="s">
        <v>226</v>
      </c>
    </row>
    <row r="42" spans="1:13" s="143" customFormat="1" x14ac:dyDescent="0.3">
      <c r="A42" s="148"/>
      <c r="B42" s="142" t="s">
        <v>421</v>
      </c>
      <c r="C42" s="99" t="s">
        <v>426</v>
      </c>
      <c r="D42" s="100" t="s">
        <v>435</v>
      </c>
      <c r="E42" s="148"/>
      <c r="F42" s="142" t="s">
        <v>440</v>
      </c>
      <c r="G42" s="167"/>
      <c r="H42" s="161"/>
      <c r="I42" s="171"/>
      <c r="J42" s="132">
        <f t="shared" si="1"/>
        <v>0</v>
      </c>
      <c r="K42" s="129"/>
      <c r="L42" s="148"/>
      <c r="M42" s="142" t="s">
        <v>498</v>
      </c>
    </row>
    <row r="43" spans="1:13" x14ac:dyDescent="0.3">
      <c r="A43" s="140"/>
      <c r="B43" s="128" t="s">
        <v>419</v>
      </c>
      <c r="C43" s="122" t="s">
        <v>427</v>
      </c>
      <c r="D43" s="136" t="s">
        <v>433</v>
      </c>
      <c r="E43" s="140"/>
      <c r="F43" s="128" t="s">
        <v>439</v>
      </c>
      <c r="G43" s="140"/>
      <c r="H43" s="128">
        <v>0.39760000000000001</v>
      </c>
      <c r="I43" s="169"/>
      <c r="J43" s="140">
        <f t="shared" si="1"/>
        <v>0</v>
      </c>
      <c r="K43" s="128">
        <f>H37*I37-238.57</f>
        <v>-238.57</v>
      </c>
      <c r="L43" s="140"/>
      <c r="M43" s="128" t="s">
        <v>505</v>
      </c>
    </row>
    <row r="44" spans="1:13" s="143" customFormat="1" x14ac:dyDescent="0.3">
      <c r="A44" s="148"/>
      <c r="B44" s="142" t="s">
        <v>421</v>
      </c>
      <c r="C44" s="99" t="s">
        <v>428</v>
      </c>
      <c r="D44" s="100" t="s">
        <v>437</v>
      </c>
      <c r="E44" s="148"/>
      <c r="F44" s="142" t="s">
        <v>440</v>
      </c>
      <c r="G44" s="167"/>
      <c r="H44" s="161"/>
      <c r="I44" s="171"/>
      <c r="J44" s="132">
        <f t="shared" si="1"/>
        <v>0</v>
      </c>
      <c r="K44" s="129"/>
      <c r="L44" s="148"/>
      <c r="M44" s="142" t="s">
        <v>498</v>
      </c>
    </row>
    <row r="45" spans="1:13" x14ac:dyDescent="0.3">
      <c r="A45" s="140"/>
      <c r="B45" s="128" t="s">
        <v>420</v>
      </c>
      <c r="C45" s="122" t="s">
        <v>429</v>
      </c>
      <c r="D45" s="136" t="s">
        <v>434</v>
      </c>
      <c r="E45" s="140"/>
      <c r="F45" s="128" t="s">
        <v>439</v>
      </c>
      <c r="G45" s="140"/>
      <c r="H45" s="128">
        <v>0.39760000000000001</v>
      </c>
      <c r="I45" s="169"/>
      <c r="J45" s="140">
        <f t="shared" si="1"/>
        <v>0</v>
      </c>
      <c r="K45" s="128">
        <f>H37*I37-238.57</f>
        <v>-238.57</v>
      </c>
      <c r="L45" s="140"/>
      <c r="M45" s="128" t="s">
        <v>505</v>
      </c>
    </row>
    <row r="46" spans="1:13" s="143" customFormat="1" ht="17.25" thickBot="1" x14ac:dyDescent="0.35">
      <c r="A46" s="149"/>
      <c r="B46" s="145" t="s">
        <v>422</v>
      </c>
      <c r="C46" s="146" t="s">
        <v>430</v>
      </c>
      <c r="D46" s="147" t="s">
        <v>438</v>
      </c>
      <c r="E46" s="144"/>
      <c r="F46" s="145" t="s">
        <v>440</v>
      </c>
      <c r="G46" s="166"/>
      <c r="H46" s="162"/>
      <c r="I46" s="172"/>
      <c r="J46" s="178">
        <f t="shared" si="1"/>
        <v>0</v>
      </c>
      <c r="K46" s="162"/>
      <c r="L46" s="149"/>
      <c r="M46" s="145" t="s">
        <v>498</v>
      </c>
    </row>
    <row r="47" spans="1:13" x14ac:dyDescent="0.3">
      <c r="A47" s="131" t="s">
        <v>158</v>
      </c>
      <c r="B47" s="28"/>
      <c r="C47" s="28" t="s">
        <v>177</v>
      </c>
      <c r="D47" s="93" t="s">
        <v>198</v>
      </c>
      <c r="E47" s="131" t="s">
        <v>219</v>
      </c>
      <c r="F47" s="28"/>
      <c r="G47" s="131">
        <v>3.2258099999999998E-2</v>
      </c>
      <c r="H47" s="97"/>
      <c r="I47" s="173"/>
      <c r="J47" s="130">
        <f>G47*I47</f>
        <v>0</v>
      </c>
      <c r="K47" s="28"/>
      <c r="L47" s="130" t="s">
        <v>145</v>
      </c>
      <c r="M47" s="28"/>
    </row>
    <row r="48" spans="1:13" s="143" customFormat="1" x14ac:dyDescent="0.3">
      <c r="A48" s="132" t="s">
        <v>159</v>
      </c>
      <c r="B48" s="4"/>
      <c r="C48" s="4" t="s">
        <v>178</v>
      </c>
      <c r="D48" s="27" t="s">
        <v>199</v>
      </c>
      <c r="E48" s="132" t="s">
        <v>220</v>
      </c>
      <c r="F48" s="4"/>
      <c r="G48" s="132">
        <v>9.7750000000000007E-4</v>
      </c>
      <c r="H48" s="96"/>
      <c r="I48" s="174"/>
      <c r="J48" s="132">
        <f>G48*I48</f>
        <v>0</v>
      </c>
      <c r="K48" s="4"/>
      <c r="L48" s="132" t="s">
        <v>144</v>
      </c>
      <c r="M48" s="142"/>
    </row>
    <row r="49" spans="1:13" x14ac:dyDescent="0.3">
      <c r="A49" s="130" t="s">
        <v>160</v>
      </c>
      <c r="B49" s="28"/>
      <c r="C49" s="28" t="s">
        <v>179</v>
      </c>
      <c r="D49" s="93" t="s">
        <v>200</v>
      </c>
      <c r="E49" s="130" t="s">
        <v>220</v>
      </c>
      <c r="F49" s="28"/>
      <c r="G49" s="130">
        <v>9.7750000000000007E-4</v>
      </c>
      <c r="H49" s="97"/>
      <c r="I49" s="173"/>
      <c r="J49" s="130">
        <f t="shared" ref="J49:J53" si="2">G49*I49</f>
        <v>0</v>
      </c>
      <c r="K49" s="28"/>
      <c r="L49" s="130" t="s">
        <v>144</v>
      </c>
      <c r="M49" s="28"/>
    </row>
    <row r="50" spans="1:13" x14ac:dyDescent="0.3">
      <c r="A50" s="132" t="s">
        <v>161</v>
      </c>
      <c r="B50" s="4"/>
      <c r="C50" s="4" t="s">
        <v>180</v>
      </c>
      <c r="D50" s="27" t="s">
        <v>201</v>
      </c>
      <c r="E50" s="132" t="s">
        <v>223</v>
      </c>
      <c r="F50" s="4"/>
      <c r="G50" s="132">
        <v>0.49630000000000002</v>
      </c>
      <c r="H50" s="96"/>
      <c r="I50" s="174"/>
      <c r="J50" s="132">
        <f>G50*I50-273.15</f>
        <v>-273.14999999999998</v>
      </c>
      <c r="K50" s="4"/>
      <c r="L50" s="132" t="s">
        <v>226</v>
      </c>
      <c r="M50" s="4"/>
    </row>
    <row r="51" spans="1:13" x14ac:dyDescent="0.3">
      <c r="A51" s="130" t="s">
        <v>162</v>
      </c>
      <c r="B51" s="28"/>
      <c r="C51" s="28" t="s">
        <v>181</v>
      </c>
      <c r="D51" s="93" t="s">
        <v>202</v>
      </c>
      <c r="E51" s="130" t="s">
        <v>224</v>
      </c>
      <c r="F51" s="28"/>
      <c r="G51" s="130">
        <v>0.49630000000000002</v>
      </c>
      <c r="H51" s="97"/>
      <c r="I51" s="173"/>
      <c r="J51" s="130">
        <f>G51*I51-273.15</f>
        <v>-273.14999999999998</v>
      </c>
      <c r="K51" s="28"/>
      <c r="L51" s="130" t="s">
        <v>226</v>
      </c>
      <c r="M51" s="28"/>
    </row>
    <row r="52" spans="1:13" x14ac:dyDescent="0.3">
      <c r="A52" s="132" t="s">
        <v>163</v>
      </c>
      <c r="B52" s="4"/>
      <c r="C52" s="4" t="s">
        <v>182</v>
      </c>
      <c r="D52" s="27" t="s">
        <v>203</v>
      </c>
      <c r="E52" s="132" t="s">
        <v>221</v>
      </c>
      <c r="F52" s="4"/>
      <c r="G52" s="132">
        <v>1.5972500000000001</v>
      </c>
      <c r="H52" s="96"/>
      <c r="I52" s="174"/>
      <c r="J52" s="132">
        <f t="shared" si="2"/>
        <v>0</v>
      </c>
      <c r="K52" s="4"/>
      <c r="L52" s="132" t="s">
        <v>227</v>
      </c>
      <c r="M52" s="4"/>
    </row>
    <row r="53" spans="1:13" x14ac:dyDescent="0.3">
      <c r="A53" s="130" t="s">
        <v>164</v>
      </c>
      <c r="B53" s="28"/>
      <c r="C53" s="28" t="s">
        <v>183</v>
      </c>
      <c r="D53" s="93" t="s">
        <v>204</v>
      </c>
      <c r="E53" s="130" t="s">
        <v>221</v>
      </c>
      <c r="F53" s="28"/>
      <c r="G53" s="130">
        <v>1.5972500000000001</v>
      </c>
      <c r="H53" s="97"/>
      <c r="I53" s="173"/>
      <c r="J53" s="130">
        <f t="shared" si="2"/>
        <v>0</v>
      </c>
      <c r="K53" s="28"/>
      <c r="L53" s="130" t="s">
        <v>228</v>
      </c>
      <c r="M53" s="28"/>
    </row>
    <row r="54" spans="1:13" x14ac:dyDescent="0.3">
      <c r="A54" s="150"/>
      <c r="B54" s="95"/>
      <c r="C54" s="95"/>
      <c r="D54" s="94"/>
      <c r="E54" s="150"/>
      <c r="F54" s="95"/>
      <c r="G54" s="150"/>
      <c r="H54" s="98"/>
      <c r="I54" s="175"/>
      <c r="J54" s="150"/>
      <c r="K54" s="95"/>
      <c r="L54" s="150"/>
      <c r="M54" s="95"/>
    </row>
    <row r="55" spans="1:13" x14ac:dyDescent="0.3">
      <c r="A55" s="151" t="s">
        <v>165</v>
      </c>
      <c r="B55" s="28"/>
      <c r="C55" s="28" t="s">
        <v>184</v>
      </c>
      <c r="D55" s="93" t="s">
        <v>209</v>
      </c>
      <c r="E55" s="151" t="s">
        <v>219</v>
      </c>
      <c r="F55" s="28"/>
      <c r="G55" s="130">
        <v>3.2258099999999998E-2</v>
      </c>
      <c r="H55" s="97"/>
      <c r="I55" s="173"/>
      <c r="J55" s="130">
        <f>G55*I55</f>
        <v>0</v>
      </c>
      <c r="K55" s="28"/>
      <c r="L55" s="130" t="s">
        <v>145</v>
      </c>
      <c r="M55" s="28"/>
    </row>
    <row r="56" spans="1:13" x14ac:dyDescent="0.3">
      <c r="A56" s="132" t="s">
        <v>166</v>
      </c>
      <c r="B56" s="4"/>
      <c r="C56" s="4" t="s">
        <v>185</v>
      </c>
      <c r="D56" s="27" t="s">
        <v>208</v>
      </c>
      <c r="E56" s="132" t="s">
        <v>220</v>
      </c>
      <c r="F56" s="4"/>
      <c r="G56" s="132">
        <v>9.7750000000000007E-4</v>
      </c>
      <c r="H56" s="96"/>
      <c r="I56" s="174"/>
      <c r="J56" s="148">
        <f t="shared" ref="J56:J61" si="3">G56*I56</f>
        <v>0</v>
      </c>
      <c r="K56" s="4"/>
      <c r="L56" s="132" t="s">
        <v>144</v>
      </c>
      <c r="M56" s="4"/>
    </row>
    <row r="57" spans="1:13" x14ac:dyDescent="0.3">
      <c r="A57" s="130" t="s">
        <v>167</v>
      </c>
      <c r="B57" s="28"/>
      <c r="C57" s="28" t="s">
        <v>186</v>
      </c>
      <c r="D57" s="93" t="s">
        <v>207</v>
      </c>
      <c r="E57" s="130" t="s">
        <v>220</v>
      </c>
      <c r="F57" s="28"/>
      <c r="G57" s="130">
        <v>9.7750000000000007E-4</v>
      </c>
      <c r="H57" s="97"/>
      <c r="I57" s="173"/>
      <c r="J57" s="130">
        <f t="shared" si="3"/>
        <v>0</v>
      </c>
      <c r="K57" s="28"/>
      <c r="L57" s="130" t="s">
        <v>144</v>
      </c>
      <c r="M57" s="28"/>
    </row>
    <row r="58" spans="1:13" x14ac:dyDescent="0.3">
      <c r="A58" s="132" t="s">
        <v>168</v>
      </c>
      <c r="B58" s="4"/>
      <c r="C58" s="4" t="s">
        <v>187</v>
      </c>
      <c r="D58" s="27" t="s">
        <v>210</v>
      </c>
      <c r="E58" s="132" t="s">
        <v>223</v>
      </c>
      <c r="F58" s="4"/>
      <c r="G58" s="132">
        <v>0.49630000000000002</v>
      </c>
      <c r="H58" s="96"/>
      <c r="I58" s="174"/>
      <c r="J58" s="148">
        <f>G58*I58-273.15</f>
        <v>-273.14999999999998</v>
      </c>
      <c r="K58" s="4"/>
      <c r="L58" s="132" t="s">
        <v>226</v>
      </c>
      <c r="M58" s="4"/>
    </row>
    <row r="59" spans="1:13" x14ac:dyDescent="0.3">
      <c r="A59" s="130" t="s">
        <v>169</v>
      </c>
      <c r="B59" s="28"/>
      <c r="C59" s="28" t="s">
        <v>188</v>
      </c>
      <c r="D59" s="93" t="s">
        <v>211</v>
      </c>
      <c r="E59" s="130" t="s">
        <v>224</v>
      </c>
      <c r="F59" s="28"/>
      <c r="G59" s="130">
        <v>0.49630000000000002</v>
      </c>
      <c r="H59" s="97"/>
      <c r="I59" s="173"/>
      <c r="J59" s="130">
        <f>G59*I59-273.15</f>
        <v>-273.14999999999998</v>
      </c>
      <c r="K59" s="28"/>
      <c r="L59" s="130" t="s">
        <v>226</v>
      </c>
      <c r="M59" s="28"/>
    </row>
    <row r="60" spans="1:13" x14ac:dyDescent="0.3">
      <c r="A60" s="132" t="s">
        <v>170</v>
      </c>
      <c r="B60" s="4"/>
      <c r="C60" s="4" t="s">
        <v>189</v>
      </c>
      <c r="D60" s="27" t="s">
        <v>212</v>
      </c>
      <c r="E60" s="132" t="s">
        <v>221</v>
      </c>
      <c r="F60" s="4"/>
      <c r="G60" s="132">
        <v>1.5972500000000001</v>
      </c>
      <c r="H60" s="96"/>
      <c r="I60" s="174"/>
      <c r="J60" s="148">
        <f t="shared" si="3"/>
        <v>0</v>
      </c>
      <c r="K60" s="4"/>
      <c r="L60" s="132" t="s">
        <v>227</v>
      </c>
      <c r="M60" s="4"/>
    </row>
    <row r="61" spans="1:13" x14ac:dyDescent="0.3">
      <c r="A61" s="130" t="s">
        <v>171</v>
      </c>
      <c r="B61" s="28"/>
      <c r="C61" s="28" t="s">
        <v>190</v>
      </c>
      <c r="D61" s="93" t="s">
        <v>213</v>
      </c>
      <c r="E61" s="130" t="s">
        <v>221</v>
      </c>
      <c r="F61" s="28"/>
      <c r="G61" s="130">
        <v>1.5972500000000001</v>
      </c>
      <c r="H61" s="97"/>
      <c r="I61" s="173"/>
      <c r="J61" s="130">
        <f t="shared" si="3"/>
        <v>0</v>
      </c>
      <c r="K61" s="28"/>
      <c r="L61" s="130" t="s">
        <v>228</v>
      </c>
      <c r="M61" s="28"/>
    </row>
    <row r="62" spans="1:13" x14ac:dyDescent="0.3">
      <c r="A62" s="150"/>
      <c r="B62" s="95"/>
      <c r="C62" s="95"/>
      <c r="D62" s="94"/>
      <c r="E62" s="94"/>
      <c r="F62" s="95"/>
      <c r="G62" s="150"/>
      <c r="H62" s="98"/>
      <c r="I62" s="175"/>
      <c r="J62" s="150"/>
      <c r="K62" s="95"/>
      <c r="L62" s="150"/>
      <c r="M62" s="95"/>
    </row>
    <row r="63" spans="1:13" x14ac:dyDescent="0.3">
      <c r="A63" s="151" t="s">
        <v>359</v>
      </c>
      <c r="B63" s="28"/>
      <c r="C63" s="28" t="s">
        <v>191</v>
      </c>
      <c r="D63" s="93" t="s">
        <v>205</v>
      </c>
      <c r="E63" s="151" t="s">
        <v>225</v>
      </c>
      <c r="F63" s="28"/>
      <c r="G63" s="130">
        <v>9.9705999999999996E-3</v>
      </c>
      <c r="H63" s="97"/>
      <c r="I63" s="173"/>
      <c r="J63" s="130">
        <f>G63*I63</f>
        <v>0</v>
      </c>
      <c r="K63" s="28"/>
      <c r="L63" s="130" t="s">
        <v>145</v>
      </c>
      <c r="M63" s="28"/>
    </row>
    <row r="64" spans="1:13" x14ac:dyDescent="0.3">
      <c r="A64" s="132" t="s">
        <v>159</v>
      </c>
      <c r="B64" s="4"/>
      <c r="C64" s="4" t="s">
        <v>192</v>
      </c>
      <c r="D64" s="27" t="s">
        <v>206</v>
      </c>
      <c r="E64" s="132" t="s">
        <v>220</v>
      </c>
      <c r="F64" s="4"/>
      <c r="G64" s="132">
        <v>9.7750000000000007E-4</v>
      </c>
      <c r="H64" s="96"/>
      <c r="I64" s="174"/>
      <c r="J64" s="148">
        <f t="shared" ref="J64:J69" si="4">G64*I64</f>
        <v>0</v>
      </c>
      <c r="K64" s="4"/>
      <c r="L64" s="132" t="s">
        <v>144</v>
      </c>
      <c r="M64" s="4"/>
    </row>
    <row r="65" spans="1:13" x14ac:dyDescent="0.3">
      <c r="A65" s="130" t="s">
        <v>172</v>
      </c>
      <c r="B65" s="28"/>
      <c r="C65" s="28" t="s">
        <v>193</v>
      </c>
      <c r="D65" s="93" t="s">
        <v>214</v>
      </c>
      <c r="E65" s="130" t="s">
        <v>220</v>
      </c>
      <c r="F65" s="28"/>
      <c r="G65" s="130">
        <v>9.7750000000000007E-4</v>
      </c>
      <c r="H65" s="97"/>
      <c r="I65" s="173"/>
      <c r="J65" s="130">
        <f t="shared" si="4"/>
        <v>0</v>
      </c>
      <c r="K65" s="28"/>
      <c r="L65" s="130" t="s">
        <v>144</v>
      </c>
      <c r="M65" s="28"/>
    </row>
    <row r="66" spans="1:13" x14ac:dyDescent="0.3">
      <c r="A66" s="132" t="s">
        <v>173</v>
      </c>
      <c r="B66" s="4"/>
      <c r="C66" s="4" t="s">
        <v>194</v>
      </c>
      <c r="D66" s="27" t="s">
        <v>215</v>
      </c>
      <c r="E66" s="132" t="s">
        <v>223</v>
      </c>
      <c r="F66" s="4"/>
      <c r="G66" s="132">
        <v>0.49630000000000002</v>
      </c>
      <c r="H66" s="96"/>
      <c r="I66" s="174"/>
      <c r="J66" s="148">
        <f>G66*I66-273.15</f>
        <v>-273.14999999999998</v>
      </c>
      <c r="K66" s="4"/>
      <c r="L66" s="132" t="s">
        <v>226</v>
      </c>
      <c r="M66" s="4"/>
    </row>
    <row r="67" spans="1:13" x14ac:dyDescent="0.3">
      <c r="A67" s="130" t="s">
        <v>174</v>
      </c>
      <c r="B67" s="28"/>
      <c r="C67" s="28" t="s">
        <v>195</v>
      </c>
      <c r="D67" s="93" t="s">
        <v>216</v>
      </c>
      <c r="E67" s="130" t="s">
        <v>224</v>
      </c>
      <c r="F67" s="28"/>
      <c r="G67" s="130">
        <v>0.49630000000000002</v>
      </c>
      <c r="H67" s="97"/>
      <c r="I67" s="173"/>
      <c r="J67" s="130">
        <f>G67*I67-273.15</f>
        <v>-273.14999999999998</v>
      </c>
      <c r="K67" s="28"/>
      <c r="L67" s="130" t="s">
        <v>226</v>
      </c>
      <c r="M67" s="28"/>
    </row>
    <row r="68" spans="1:13" x14ac:dyDescent="0.3">
      <c r="A68" s="132" t="s">
        <v>175</v>
      </c>
      <c r="B68" s="4"/>
      <c r="C68" s="4" t="s">
        <v>196</v>
      </c>
      <c r="D68" s="27" t="s">
        <v>217</v>
      </c>
      <c r="E68" s="132" t="s">
        <v>221</v>
      </c>
      <c r="F68" s="4"/>
      <c r="G68" s="132">
        <v>1.5972500000000001</v>
      </c>
      <c r="H68" s="96"/>
      <c r="I68" s="174"/>
      <c r="J68" s="148">
        <f t="shared" si="4"/>
        <v>0</v>
      </c>
      <c r="K68" s="4"/>
      <c r="L68" s="132" t="s">
        <v>227</v>
      </c>
      <c r="M68" s="4"/>
    </row>
    <row r="69" spans="1:13" x14ac:dyDescent="0.3">
      <c r="A69" s="130" t="s">
        <v>176</v>
      </c>
      <c r="B69" s="28"/>
      <c r="C69" s="28" t="s">
        <v>197</v>
      </c>
      <c r="D69" s="93" t="s">
        <v>218</v>
      </c>
      <c r="E69" s="130" t="s">
        <v>221</v>
      </c>
      <c r="F69" s="28"/>
      <c r="G69" s="130">
        <v>1.5972500000000001</v>
      </c>
      <c r="H69" s="97"/>
      <c r="I69" s="173"/>
      <c r="J69" s="130">
        <f t="shared" si="4"/>
        <v>0</v>
      </c>
      <c r="K69" s="28"/>
      <c r="L69" s="130" t="s">
        <v>228</v>
      </c>
      <c r="M69" s="28"/>
    </row>
    <row r="70" spans="1:13" x14ac:dyDescent="0.3">
      <c r="A70" s="150"/>
      <c r="B70" s="95"/>
      <c r="C70" s="95"/>
      <c r="D70" s="94"/>
      <c r="E70" s="150"/>
      <c r="F70" s="95"/>
      <c r="G70" s="150"/>
      <c r="H70" s="98"/>
      <c r="I70" s="175"/>
      <c r="J70" s="150"/>
      <c r="K70" s="95"/>
      <c r="L70" s="150"/>
      <c r="M70" s="95"/>
    </row>
    <row r="71" spans="1:13" x14ac:dyDescent="0.3">
      <c r="A71" s="151" t="s">
        <v>229</v>
      </c>
      <c r="B71" s="28"/>
      <c r="C71" s="28" t="s">
        <v>236</v>
      </c>
      <c r="D71" s="93" t="s">
        <v>243</v>
      </c>
      <c r="E71" s="151" t="s">
        <v>219</v>
      </c>
      <c r="F71" s="28"/>
      <c r="G71" s="151">
        <v>3.2258099999999998E-2</v>
      </c>
      <c r="H71" s="97"/>
      <c r="I71" s="173"/>
      <c r="J71" s="130">
        <f>G71*I71</f>
        <v>0</v>
      </c>
      <c r="K71" s="28"/>
      <c r="L71" s="130" t="s">
        <v>145</v>
      </c>
      <c r="M71" s="28"/>
    </row>
    <row r="72" spans="1:13" x14ac:dyDescent="0.3">
      <c r="A72" s="132" t="s">
        <v>230</v>
      </c>
      <c r="B72" s="4"/>
      <c r="C72" s="4" t="s">
        <v>237</v>
      </c>
      <c r="D72" s="27" t="s">
        <v>244</v>
      </c>
      <c r="E72" s="132" t="s">
        <v>220</v>
      </c>
      <c r="F72" s="4"/>
      <c r="G72" s="132">
        <v>9.7750000000000007E-4</v>
      </c>
      <c r="H72" s="96"/>
      <c r="I72" s="174"/>
      <c r="J72" s="148">
        <f t="shared" ref="J72:J77" si="5">G72*I72</f>
        <v>0</v>
      </c>
      <c r="K72" s="4"/>
      <c r="L72" s="132" t="s">
        <v>144</v>
      </c>
      <c r="M72" s="4"/>
    </row>
    <row r="73" spans="1:13" x14ac:dyDescent="0.3">
      <c r="A73" s="130" t="s">
        <v>231</v>
      </c>
      <c r="B73" s="28"/>
      <c r="C73" s="28" t="s">
        <v>238</v>
      </c>
      <c r="D73" s="93" t="s">
        <v>245</v>
      </c>
      <c r="E73" s="130" t="s">
        <v>220</v>
      </c>
      <c r="F73" s="28"/>
      <c r="G73" s="130">
        <v>9.7750000000000007E-4</v>
      </c>
      <c r="H73" s="97"/>
      <c r="I73" s="173"/>
      <c r="J73" s="130">
        <f t="shared" si="5"/>
        <v>0</v>
      </c>
      <c r="K73" s="28"/>
      <c r="L73" s="130" t="s">
        <v>144</v>
      </c>
      <c r="M73" s="28"/>
    </row>
    <row r="74" spans="1:13" x14ac:dyDescent="0.3">
      <c r="A74" s="132" t="s">
        <v>232</v>
      </c>
      <c r="B74" s="4"/>
      <c r="C74" s="4" t="s">
        <v>239</v>
      </c>
      <c r="D74" s="27" t="s">
        <v>246</v>
      </c>
      <c r="E74" s="132" t="s">
        <v>223</v>
      </c>
      <c r="F74" s="4"/>
      <c r="G74" s="132">
        <v>0.49630000000000002</v>
      </c>
      <c r="H74" s="96"/>
      <c r="I74" s="174"/>
      <c r="J74" s="148">
        <f>G74*I74-273.15</f>
        <v>-273.14999999999998</v>
      </c>
      <c r="K74" s="4"/>
      <c r="L74" s="132" t="s">
        <v>226</v>
      </c>
      <c r="M74" s="4"/>
    </row>
    <row r="75" spans="1:13" x14ac:dyDescent="0.3">
      <c r="A75" s="130" t="s">
        <v>233</v>
      </c>
      <c r="B75" s="28"/>
      <c r="C75" s="28" t="s">
        <v>240</v>
      </c>
      <c r="D75" s="93" t="s">
        <v>247</v>
      </c>
      <c r="E75" s="130" t="s">
        <v>224</v>
      </c>
      <c r="F75" s="28"/>
      <c r="G75" s="130">
        <v>0.49630000000000002</v>
      </c>
      <c r="H75" s="97"/>
      <c r="I75" s="173"/>
      <c r="J75" s="130">
        <f>G75*I75-273.15</f>
        <v>-273.14999999999998</v>
      </c>
      <c r="K75" s="28"/>
      <c r="L75" s="130" t="s">
        <v>226</v>
      </c>
      <c r="M75" s="28"/>
    </row>
    <row r="76" spans="1:13" x14ac:dyDescent="0.3">
      <c r="A76" s="132" t="s">
        <v>234</v>
      </c>
      <c r="B76" s="4"/>
      <c r="C76" s="4" t="s">
        <v>241</v>
      </c>
      <c r="D76" s="27" t="s">
        <v>248</v>
      </c>
      <c r="E76" s="132" t="s">
        <v>221</v>
      </c>
      <c r="F76" s="4"/>
      <c r="G76" s="132">
        <v>1.5972500000000001</v>
      </c>
      <c r="H76" s="96"/>
      <c r="I76" s="174"/>
      <c r="J76" s="148">
        <f t="shared" si="5"/>
        <v>0</v>
      </c>
      <c r="K76" s="4"/>
      <c r="L76" s="132" t="s">
        <v>227</v>
      </c>
      <c r="M76" s="4"/>
    </row>
    <row r="77" spans="1:13" x14ac:dyDescent="0.3">
      <c r="A77" s="130" t="s">
        <v>235</v>
      </c>
      <c r="B77" s="28"/>
      <c r="C77" s="28" t="s">
        <v>242</v>
      </c>
      <c r="D77" s="93" t="s">
        <v>249</v>
      </c>
      <c r="E77" s="130" t="s">
        <v>221</v>
      </c>
      <c r="F77" s="28"/>
      <c r="G77" s="130">
        <v>1.5972500000000001</v>
      </c>
      <c r="H77" s="97"/>
      <c r="I77" s="173"/>
      <c r="J77" s="130">
        <f t="shared" si="5"/>
        <v>0</v>
      </c>
      <c r="K77" s="28"/>
      <c r="L77" s="130" t="s">
        <v>228</v>
      </c>
      <c r="M77" s="28"/>
    </row>
    <row r="78" spans="1:13" x14ac:dyDescent="0.3">
      <c r="A78" s="150"/>
      <c r="B78" s="95"/>
      <c r="C78" s="95"/>
      <c r="D78" s="94"/>
      <c r="E78" s="150"/>
      <c r="F78" s="95"/>
      <c r="G78" s="150"/>
      <c r="H78" s="98"/>
      <c r="I78" s="175"/>
      <c r="J78" s="150"/>
      <c r="K78" s="95"/>
      <c r="L78" s="150"/>
      <c r="M78" s="95"/>
    </row>
    <row r="79" spans="1:13" x14ac:dyDescent="0.3">
      <c r="A79" s="151" t="s">
        <v>250</v>
      </c>
      <c r="B79" s="28"/>
      <c r="C79" s="28" t="s">
        <v>264</v>
      </c>
      <c r="D79" s="93" t="s">
        <v>257</v>
      </c>
      <c r="E79" s="151" t="s">
        <v>219</v>
      </c>
      <c r="F79" s="28"/>
      <c r="G79" s="130">
        <v>3.2258099999999998E-2</v>
      </c>
      <c r="H79" s="97"/>
      <c r="I79" s="173"/>
      <c r="J79" s="130">
        <f>G79*I79</f>
        <v>0</v>
      </c>
      <c r="K79" s="28"/>
      <c r="L79" s="130" t="s">
        <v>145</v>
      </c>
      <c r="M79" s="28"/>
    </row>
    <row r="80" spans="1:13" x14ac:dyDescent="0.3">
      <c r="A80" s="132" t="s">
        <v>251</v>
      </c>
      <c r="B80" s="4"/>
      <c r="C80" s="4" t="s">
        <v>265</v>
      </c>
      <c r="D80" s="27" t="s">
        <v>258</v>
      </c>
      <c r="E80" s="132" t="s">
        <v>220</v>
      </c>
      <c r="F80" s="4"/>
      <c r="G80" s="132">
        <v>9.7750000000000007E-4</v>
      </c>
      <c r="H80" s="96"/>
      <c r="I80" s="174"/>
      <c r="J80" s="148">
        <f t="shared" ref="J80:J85" si="6">G80*I80</f>
        <v>0</v>
      </c>
      <c r="K80" s="4"/>
      <c r="L80" s="132" t="s">
        <v>144</v>
      </c>
      <c r="M80" s="4"/>
    </row>
    <row r="81" spans="1:13" x14ac:dyDescent="0.3">
      <c r="A81" s="130" t="s">
        <v>252</v>
      </c>
      <c r="B81" s="28"/>
      <c r="C81" s="28" t="s">
        <v>266</v>
      </c>
      <c r="D81" s="93" t="s">
        <v>259</v>
      </c>
      <c r="E81" s="130" t="s">
        <v>220</v>
      </c>
      <c r="F81" s="28"/>
      <c r="G81" s="130">
        <v>9.7750000000000007E-4</v>
      </c>
      <c r="H81" s="97"/>
      <c r="I81" s="173"/>
      <c r="J81" s="130">
        <f t="shared" si="6"/>
        <v>0</v>
      </c>
      <c r="K81" s="28"/>
      <c r="L81" s="130" t="s">
        <v>144</v>
      </c>
      <c r="M81" s="28"/>
    </row>
    <row r="82" spans="1:13" x14ac:dyDescent="0.3">
      <c r="A82" s="132" t="s">
        <v>253</v>
      </c>
      <c r="B82" s="4"/>
      <c r="C82" s="4" t="s">
        <v>267</v>
      </c>
      <c r="D82" s="27" t="s">
        <v>260</v>
      </c>
      <c r="E82" s="132" t="s">
        <v>223</v>
      </c>
      <c r="F82" s="4"/>
      <c r="G82" s="132">
        <v>0.49630000000000002</v>
      </c>
      <c r="H82" s="96"/>
      <c r="I82" s="174"/>
      <c r="J82" s="148">
        <f>G82*I82-273.15</f>
        <v>-273.14999999999998</v>
      </c>
      <c r="K82" s="4"/>
      <c r="L82" s="132" t="s">
        <v>226</v>
      </c>
      <c r="M82" s="4"/>
    </row>
    <row r="83" spans="1:13" x14ac:dyDescent="0.3">
      <c r="A83" s="130" t="s">
        <v>254</v>
      </c>
      <c r="B83" s="28"/>
      <c r="C83" s="28" t="s">
        <v>268</v>
      </c>
      <c r="D83" s="93" t="s">
        <v>261</v>
      </c>
      <c r="E83" s="130" t="s">
        <v>224</v>
      </c>
      <c r="F83" s="28"/>
      <c r="G83" s="130">
        <v>0.49630000000000002</v>
      </c>
      <c r="H83" s="97"/>
      <c r="I83" s="173"/>
      <c r="J83" s="130">
        <f>G83*I83-273.15</f>
        <v>-273.14999999999998</v>
      </c>
      <c r="K83" s="28"/>
      <c r="L83" s="130" t="s">
        <v>226</v>
      </c>
      <c r="M83" s="28"/>
    </row>
    <row r="84" spans="1:13" x14ac:dyDescent="0.3">
      <c r="A84" s="132" t="s">
        <v>255</v>
      </c>
      <c r="B84" s="4"/>
      <c r="C84" s="4" t="s">
        <v>269</v>
      </c>
      <c r="D84" s="27" t="s">
        <v>262</v>
      </c>
      <c r="E84" s="132" t="s">
        <v>221</v>
      </c>
      <c r="F84" s="4"/>
      <c r="G84" s="132">
        <v>1.5972500000000001</v>
      </c>
      <c r="H84" s="96"/>
      <c r="I84" s="174"/>
      <c r="J84" s="148">
        <f t="shared" si="6"/>
        <v>0</v>
      </c>
      <c r="K84" s="4"/>
      <c r="L84" s="132" t="s">
        <v>227</v>
      </c>
      <c r="M84" s="4"/>
    </row>
    <row r="85" spans="1:13" x14ac:dyDescent="0.3">
      <c r="A85" s="130" t="s">
        <v>256</v>
      </c>
      <c r="B85" s="28"/>
      <c r="C85" s="28" t="s">
        <v>270</v>
      </c>
      <c r="D85" s="93" t="s">
        <v>263</v>
      </c>
      <c r="E85" s="130" t="s">
        <v>221</v>
      </c>
      <c r="F85" s="28"/>
      <c r="G85" s="130">
        <v>1.5972500000000001</v>
      </c>
      <c r="H85" s="97"/>
      <c r="I85" s="173"/>
      <c r="J85" s="130">
        <f t="shared" si="6"/>
        <v>0</v>
      </c>
      <c r="K85" s="28"/>
      <c r="L85" s="130" t="s">
        <v>228</v>
      </c>
      <c r="M85" s="28"/>
    </row>
    <row r="86" spans="1:13" x14ac:dyDescent="0.3">
      <c r="A86" s="150"/>
      <c r="B86" s="95"/>
      <c r="C86" s="95"/>
      <c r="D86" s="94"/>
      <c r="E86" s="150"/>
      <c r="F86" s="95"/>
      <c r="G86" s="150"/>
      <c r="H86" s="98"/>
      <c r="I86" s="175"/>
      <c r="J86" s="150"/>
      <c r="K86" s="95"/>
      <c r="L86" s="150"/>
      <c r="M86" s="95"/>
    </row>
    <row r="87" spans="1:13" x14ac:dyDescent="0.3">
      <c r="A87" s="151" t="s">
        <v>278</v>
      </c>
      <c r="B87" s="153"/>
      <c r="C87" s="28" t="s">
        <v>271</v>
      </c>
      <c r="D87" s="93" t="s">
        <v>285</v>
      </c>
      <c r="E87" s="93" t="s">
        <v>219</v>
      </c>
      <c r="F87" s="152"/>
      <c r="G87" s="130">
        <v>3.2258099999999998E-2</v>
      </c>
      <c r="H87" s="97"/>
      <c r="I87" s="173"/>
      <c r="J87" s="130">
        <f>G87*I87</f>
        <v>0</v>
      </c>
      <c r="K87" s="28"/>
      <c r="L87" s="130" t="s">
        <v>145</v>
      </c>
      <c r="M87" s="28"/>
    </row>
    <row r="88" spans="1:13" x14ac:dyDescent="0.3">
      <c r="A88" s="132" t="s">
        <v>279</v>
      </c>
      <c r="B88" s="4"/>
      <c r="C88" s="4" t="s">
        <v>272</v>
      </c>
      <c r="D88" s="27" t="s">
        <v>286</v>
      </c>
      <c r="E88" s="132" t="s">
        <v>220</v>
      </c>
      <c r="F88" s="4"/>
      <c r="G88" s="132">
        <v>9.7750000000000007E-4</v>
      </c>
      <c r="H88" s="96"/>
      <c r="I88" s="174"/>
      <c r="J88" s="148">
        <f t="shared" ref="J88:J93" si="7">G88*I88</f>
        <v>0</v>
      </c>
      <c r="K88" s="4"/>
      <c r="L88" s="132" t="s">
        <v>144</v>
      </c>
      <c r="M88" s="4"/>
    </row>
    <row r="89" spans="1:13" x14ac:dyDescent="0.3">
      <c r="A89" s="130" t="s">
        <v>280</v>
      </c>
      <c r="B89" s="28"/>
      <c r="C89" s="28" t="s">
        <v>273</v>
      </c>
      <c r="D89" s="93" t="s">
        <v>287</v>
      </c>
      <c r="E89" s="130" t="s">
        <v>220</v>
      </c>
      <c r="F89" s="28"/>
      <c r="G89" s="130">
        <v>9.7750000000000007E-4</v>
      </c>
      <c r="H89" s="97"/>
      <c r="I89" s="173"/>
      <c r="J89" s="130">
        <f t="shared" si="7"/>
        <v>0</v>
      </c>
      <c r="K89" s="28"/>
      <c r="L89" s="130" t="s">
        <v>144</v>
      </c>
      <c r="M89" s="28"/>
    </row>
    <row r="90" spans="1:13" x14ac:dyDescent="0.3">
      <c r="A90" s="132" t="s">
        <v>281</v>
      </c>
      <c r="B90" s="4"/>
      <c r="C90" s="4" t="s">
        <v>274</v>
      </c>
      <c r="D90" s="27" t="s">
        <v>288</v>
      </c>
      <c r="E90" s="132" t="s">
        <v>223</v>
      </c>
      <c r="F90" s="4"/>
      <c r="G90" s="132">
        <v>0.49630000000000002</v>
      </c>
      <c r="H90" s="96"/>
      <c r="I90" s="174"/>
      <c r="J90" s="148">
        <f>G90*I90-273.15</f>
        <v>-273.14999999999998</v>
      </c>
      <c r="K90" s="4"/>
      <c r="L90" s="132" t="s">
        <v>226</v>
      </c>
      <c r="M90" s="4"/>
    </row>
    <row r="91" spans="1:13" x14ac:dyDescent="0.3">
      <c r="A91" s="130" t="s">
        <v>282</v>
      </c>
      <c r="B91" s="28"/>
      <c r="C91" s="28" t="s">
        <v>275</v>
      </c>
      <c r="D91" s="93" t="s">
        <v>289</v>
      </c>
      <c r="E91" s="130" t="s">
        <v>224</v>
      </c>
      <c r="F91" s="28"/>
      <c r="G91" s="130">
        <v>0.49630000000000002</v>
      </c>
      <c r="H91" s="97"/>
      <c r="I91" s="173"/>
      <c r="J91" s="130">
        <f>G91*I91-273.15</f>
        <v>-273.14999999999998</v>
      </c>
      <c r="K91" s="28"/>
      <c r="L91" s="130" t="s">
        <v>226</v>
      </c>
      <c r="M91" s="28"/>
    </row>
    <row r="92" spans="1:13" x14ac:dyDescent="0.3">
      <c r="A92" s="132" t="s">
        <v>283</v>
      </c>
      <c r="B92" s="4"/>
      <c r="C92" s="4" t="s">
        <v>276</v>
      </c>
      <c r="D92" s="27" t="s">
        <v>290</v>
      </c>
      <c r="E92" s="132" t="s">
        <v>221</v>
      </c>
      <c r="F92" s="4"/>
      <c r="G92" s="132">
        <v>1.5972500000000001</v>
      </c>
      <c r="H92" s="96"/>
      <c r="I92" s="174"/>
      <c r="J92" s="148">
        <f t="shared" si="7"/>
        <v>0</v>
      </c>
      <c r="K92" s="4"/>
      <c r="L92" s="132" t="s">
        <v>227</v>
      </c>
      <c r="M92" s="4"/>
    </row>
    <row r="93" spans="1:13" x14ac:dyDescent="0.3">
      <c r="A93" s="130" t="s">
        <v>284</v>
      </c>
      <c r="B93" s="28"/>
      <c r="C93" s="28" t="s">
        <v>277</v>
      </c>
      <c r="D93" s="93" t="s">
        <v>291</v>
      </c>
      <c r="E93" s="130" t="s">
        <v>221</v>
      </c>
      <c r="F93" s="28"/>
      <c r="G93" s="130">
        <v>1.5972500000000001</v>
      </c>
      <c r="H93" s="97"/>
      <c r="I93" s="173"/>
      <c r="J93" s="130">
        <f t="shared" si="7"/>
        <v>0</v>
      </c>
      <c r="K93" s="28"/>
      <c r="L93" s="130" t="s">
        <v>228</v>
      </c>
      <c r="M93" s="28"/>
    </row>
    <row r="94" spans="1:13" x14ac:dyDescent="0.3">
      <c r="A94" s="94"/>
      <c r="B94" s="95"/>
      <c r="C94" s="95"/>
      <c r="D94" s="94"/>
      <c r="E94" s="150"/>
      <c r="F94" s="95"/>
      <c r="G94" s="150"/>
      <c r="H94" s="98"/>
      <c r="I94" s="175"/>
      <c r="J94" s="150"/>
      <c r="K94" s="95"/>
      <c r="L94" s="150"/>
      <c r="M94" s="95"/>
    </row>
    <row r="95" spans="1:13" x14ac:dyDescent="0.3">
      <c r="A95" s="151" t="s">
        <v>292</v>
      </c>
      <c r="B95" s="28"/>
      <c r="C95" s="28" t="s">
        <v>306</v>
      </c>
      <c r="D95" s="93" t="s">
        <v>299</v>
      </c>
      <c r="E95" s="151" t="s">
        <v>219</v>
      </c>
      <c r="F95" s="28"/>
      <c r="G95" s="130">
        <v>3.2258099999999998E-2</v>
      </c>
      <c r="H95" s="97"/>
      <c r="I95" s="173"/>
      <c r="J95" s="130">
        <f>G95*I95</f>
        <v>0</v>
      </c>
      <c r="K95" s="28"/>
      <c r="L95" s="130" t="s">
        <v>145</v>
      </c>
      <c r="M95" s="28"/>
    </row>
    <row r="96" spans="1:13" x14ac:dyDescent="0.3">
      <c r="A96" s="132" t="s">
        <v>293</v>
      </c>
      <c r="B96" s="4"/>
      <c r="C96" s="4" t="s">
        <v>307</v>
      </c>
      <c r="D96" s="27" t="s">
        <v>300</v>
      </c>
      <c r="E96" s="132" t="s">
        <v>220</v>
      </c>
      <c r="F96" s="4"/>
      <c r="G96" s="132">
        <v>9.7750000000000007E-4</v>
      </c>
      <c r="H96" s="96"/>
      <c r="I96" s="174"/>
      <c r="J96" s="148">
        <f t="shared" ref="J96:J101" si="8">G96*I96</f>
        <v>0</v>
      </c>
      <c r="K96" s="4"/>
      <c r="L96" s="132" t="s">
        <v>144</v>
      </c>
      <c r="M96" s="4"/>
    </row>
    <row r="97" spans="1:13" x14ac:dyDescent="0.3">
      <c r="A97" s="130" t="s">
        <v>294</v>
      </c>
      <c r="B97" s="28"/>
      <c r="C97" s="28" t="s">
        <v>308</v>
      </c>
      <c r="D97" s="93" t="s">
        <v>301</v>
      </c>
      <c r="E97" s="130" t="s">
        <v>220</v>
      </c>
      <c r="F97" s="28"/>
      <c r="G97" s="130">
        <v>9.7750000000000007E-4</v>
      </c>
      <c r="H97" s="97"/>
      <c r="I97" s="173"/>
      <c r="J97" s="130">
        <f t="shared" si="8"/>
        <v>0</v>
      </c>
      <c r="K97" s="28"/>
      <c r="L97" s="130" t="s">
        <v>144</v>
      </c>
      <c r="M97" s="28"/>
    </row>
    <row r="98" spans="1:13" x14ac:dyDescent="0.3">
      <c r="A98" s="132" t="s">
        <v>295</v>
      </c>
      <c r="B98" s="4"/>
      <c r="C98" s="4" t="s">
        <v>309</v>
      </c>
      <c r="D98" s="27" t="s">
        <v>302</v>
      </c>
      <c r="E98" s="132" t="s">
        <v>223</v>
      </c>
      <c r="F98" s="4"/>
      <c r="G98" s="132">
        <v>0.49630000000000002</v>
      </c>
      <c r="H98" s="96"/>
      <c r="I98" s="174"/>
      <c r="J98" s="148">
        <f>G98*I98-273.15</f>
        <v>-273.14999999999998</v>
      </c>
      <c r="K98" s="4"/>
      <c r="L98" s="132" t="s">
        <v>226</v>
      </c>
      <c r="M98" s="4"/>
    </row>
    <row r="99" spans="1:13" x14ac:dyDescent="0.3">
      <c r="A99" s="130" t="s">
        <v>296</v>
      </c>
      <c r="B99" s="28"/>
      <c r="C99" s="28" t="s">
        <v>310</v>
      </c>
      <c r="D99" s="93" t="s">
        <v>303</v>
      </c>
      <c r="E99" s="130" t="s">
        <v>224</v>
      </c>
      <c r="F99" s="28"/>
      <c r="G99" s="130">
        <v>0.49630000000000002</v>
      </c>
      <c r="H99" s="97"/>
      <c r="I99" s="173"/>
      <c r="J99" s="130">
        <f>G99*I99-273.15</f>
        <v>-273.14999999999998</v>
      </c>
      <c r="K99" s="28"/>
      <c r="L99" s="130" t="s">
        <v>226</v>
      </c>
      <c r="M99" s="28"/>
    </row>
    <row r="100" spans="1:13" x14ac:dyDescent="0.3">
      <c r="A100" s="132" t="s">
        <v>297</v>
      </c>
      <c r="B100" s="4"/>
      <c r="C100" s="4" t="s">
        <v>311</v>
      </c>
      <c r="D100" s="27" t="s">
        <v>304</v>
      </c>
      <c r="E100" s="132" t="s">
        <v>221</v>
      </c>
      <c r="F100" s="4"/>
      <c r="G100" s="132">
        <v>1.5972500000000001</v>
      </c>
      <c r="H100" s="96"/>
      <c r="I100" s="174"/>
      <c r="J100" s="148">
        <f t="shared" si="8"/>
        <v>0</v>
      </c>
      <c r="K100" s="4"/>
      <c r="L100" s="132" t="s">
        <v>227</v>
      </c>
      <c r="M100" s="4"/>
    </row>
    <row r="101" spans="1:13" x14ac:dyDescent="0.3">
      <c r="A101" s="130" t="s">
        <v>298</v>
      </c>
      <c r="B101" s="28"/>
      <c r="C101" s="28" t="s">
        <v>312</v>
      </c>
      <c r="D101" s="93" t="s">
        <v>305</v>
      </c>
      <c r="E101" s="130" t="s">
        <v>221</v>
      </c>
      <c r="F101" s="28"/>
      <c r="G101" s="130">
        <v>1.5972500000000001</v>
      </c>
      <c r="H101" s="97"/>
      <c r="I101" s="173"/>
      <c r="J101" s="130">
        <f t="shared" si="8"/>
        <v>0</v>
      </c>
      <c r="K101" s="28"/>
      <c r="L101" s="130" t="s">
        <v>228</v>
      </c>
      <c r="M101" s="28"/>
    </row>
    <row r="102" spans="1:13" x14ac:dyDescent="0.3">
      <c r="A102" s="94"/>
      <c r="B102" s="95"/>
      <c r="C102" s="95"/>
      <c r="D102" s="94"/>
      <c r="E102" s="150"/>
      <c r="F102" s="95"/>
      <c r="G102" s="150"/>
      <c r="H102" s="98"/>
      <c r="I102" s="175"/>
      <c r="J102" s="150"/>
      <c r="K102" s="95"/>
      <c r="L102" s="150"/>
      <c r="M102" s="95"/>
    </row>
    <row r="103" spans="1:13" x14ac:dyDescent="0.3">
      <c r="A103" s="151" t="s">
        <v>327</v>
      </c>
      <c r="B103" s="28"/>
      <c r="C103" s="28" t="s">
        <v>313</v>
      </c>
      <c r="D103" s="93" t="s">
        <v>334</v>
      </c>
      <c r="E103" s="151" t="s">
        <v>219</v>
      </c>
      <c r="F103" s="28"/>
      <c r="G103" s="130">
        <v>3.2258099999999998E-2</v>
      </c>
      <c r="H103" s="97"/>
      <c r="I103" s="173"/>
      <c r="J103" s="130">
        <f>G103*I103</f>
        <v>0</v>
      </c>
      <c r="K103" s="28"/>
      <c r="L103" s="130" t="s">
        <v>145</v>
      </c>
      <c r="M103" s="28"/>
    </row>
    <row r="104" spans="1:13" x14ac:dyDescent="0.3">
      <c r="A104" s="132" t="s">
        <v>328</v>
      </c>
      <c r="B104" s="4"/>
      <c r="C104" s="4" t="s">
        <v>314</v>
      </c>
      <c r="D104" s="27" t="s">
        <v>335</v>
      </c>
      <c r="E104" s="132" t="s">
        <v>220</v>
      </c>
      <c r="F104" s="4"/>
      <c r="G104" s="132">
        <v>9.7750000000000007E-4</v>
      </c>
      <c r="H104" s="96"/>
      <c r="I104" s="174"/>
      <c r="J104" s="148">
        <f t="shared" ref="J104:J109" si="9">G104*I104</f>
        <v>0</v>
      </c>
      <c r="K104" s="4"/>
      <c r="L104" s="132" t="s">
        <v>144</v>
      </c>
      <c r="M104" s="4"/>
    </row>
    <row r="105" spans="1:13" x14ac:dyDescent="0.3">
      <c r="A105" s="130" t="s">
        <v>329</v>
      </c>
      <c r="B105" s="28"/>
      <c r="C105" s="28" t="s">
        <v>315</v>
      </c>
      <c r="D105" s="93" t="s">
        <v>336</v>
      </c>
      <c r="E105" s="130" t="s">
        <v>220</v>
      </c>
      <c r="F105" s="28"/>
      <c r="G105" s="130">
        <v>9.7750000000000007E-4</v>
      </c>
      <c r="H105" s="97"/>
      <c r="I105" s="173"/>
      <c r="J105" s="130">
        <f t="shared" si="9"/>
        <v>0</v>
      </c>
      <c r="K105" s="28"/>
      <c r="L105" s="130" t="s">
        <v>144</v>
      </c>
      <c r="M105" s="28"/>
    </row>
    <row r="106" spans="1:13" x14ac:dyDescent="0.3">
      <c r="A106" s="132" t="s">
        <v>330</v>
      </c>
      <c r="B106" s="4"/>
      <c r="C106" s="4" t="s">
        <v>316</v>
      </c>
      <c r="D106" s="27" t="s">
        <v>337</v>
      </c>
      <c r="E106" s="132" t="s">
        <v>223</v>
      </c>
      <c r="F106" s="4"/>
      <c r="G106" s="132">
        <v>0.49630000000000002</v>
      </c>
      <c r="H106" s="96"/>
      <c r="I106" s="174"/>
      <c r="J106" s="148">
        <f>G106*I106-273.15</f>
        <v>-273.14999999999998</v>
      </c>
      <c r="K106" s="4"/>
      <c r="L106" s="132" t="s">
        <v>226</v>
      </c>
      <c r="M106" s="4"/>
    </row>
    <row r="107" spans="1:13" x14ac:dyDescent="0.3">
      <c r="A107" s="130" t="s">
        <v>331</v>
      </c>
      <c r="B107" s="28"/>
      <c r="C107" s="28" t="s">
        <v>317</v>
      </c>
      <c r="D107" s="93" t="s">
        <v>338</v>
      </c>
      <c r="E107" s="130" t="s">
        <v>224</v>
      </c>
      <c r="F107" s="28"/>
      <c r="G107" s="130">
        <v>0.49630000000000002</v>
      </c>
      <c r="H107" s="97"/>
      <c r="I107" s="173"/>
      <c r="J107" s="130">
        <f>G107*I107-273.15</f>
        <v>-273.14999999999998</v>
      </c>
      <c r="K107" s="28"/>
      <c r="L107" s="130" t="s">
        <v>226</v>
      </c>
      <c r="M107" s="28"/>
    </row>
    <row r="108" spans="1:13" x14ac:dyDescent="0.3">
      <c r="A108" s="132" t="s">
        <v>332</v>
      </c>
      <c r="B108" s="4"/>
      <c r="C108" s="4" t="s">
        <v>318</v>
      </c>
      <c r="D108" s="27" t="s">
        <v>339</v>
      </c>
      <c r="E108" s="132" t="s">
        <v>221</v>
      </c>
      <c r="F108" s="4"/>
      <c r="G108" s="132">
        <v>1.5972500000000001</v>
      </c>
      <c r="H108" s="96"/>
      <c r="I108" s="174"/>
      <c r="J108" s="148">
        <f t="shared" si="9"/>
        <v>0</v>
      </c>
      <c r="K108" s="4"/>
      <c r="L108" s="132" t="s">
        <v>227</v>
      </c>
      <c r="M108" s="4"/>
    </row>
    <row r="109" spans="1:13" x14ac:dyDescent="0.3">
      <c r="A109" s="130" t="s">
        <v>333</v>
      </c>
      <c r="B109" s="28"/>
      <c r="C109" s="28" t="s">
        <v>319</v>
      </c>
      <c r="D109" s="93" t="s">
        <v>340</v>
      </c>
      <c r="E109" s="130" t="s">
        <v>221</v>
      </c>
      <c r="F109" s="28"/>
      <c r="G109" s="130">
        <v>1.5972500000000001</v>
      </c>
      <c r="H109" s="97"/>
      <c r="I109" s="173"/>
      <c r="J109" s="130">
        <f t="shared" si="9"/>
        <v>0</v>
      </c>
      <c r="K109" s="28"/>
      <c r="L109" s="130" t="s">
        <v>228</v>
      </c>
      <c r="M109" s="28"/>
    </row>
    <row r="110" spans="1:13" x14ac:dyDescent="0.3">
      <c r="A110" s="150"/>
      <c r="B110" s="95"/>
      <c r="C110" s="95"/>
      <c r="D110" s="94"/>
      <c r="E110" s="150"/>
      <c r="F110" s="95"/>
      <c r="G110" s="150"/>
      <c r="H110" s="98"/>
      <c r="I110" s="175"/>
      <c r="J110" s="150"/>
      <c r="K110" s="95"/>
      <c r="L110" s="150"/>
      <c r="M110" s="95"/>
    </row>
    <row r="111" spans="1:13" x14ac:dyDescent="0.3">
      <c r="A111" s="93" t="s">
        <v>341</v>
      </c>
      <c r="B111" s="28"/>
      <c r="C111" s="28" t="s">
        <v>320</v>
      </c>
      <c r="D111" s="93" t="s">
        <v>348</v>
      </c>
      <c r="E111" s="130" t="s">
        <v>219</v>
      </c>
      <c r="F111" s="28"/>
      <c r="G111" s="130">
        <v>3.2258099999999998E-2</v>
      </c>
      <c r="H111" s="97"/>
      <c r="I111" s="173"/>
      <c r="J111" s="130">
        <f>G1111*I111</f>
        <v>0</v>
      </c>
      <c r="K111" s="28"/>
      <c r="L111" s="130" t="s">
        <v>145</v>
      </c>
      <c r="M111" s="28"/>
    </row>
    <row r="112" spans="1:13" x14ac:dyDescent="0.3">
      <c r="A112" s="132" t="s">
        <v>342</v>
      </c>
      <c r="B112" s="4"/>
      <c r="C112" s="4" t="s">
        <v>321</v>
      </c>
      <c r="D112" s="27" t="s">
        <v>349</v>
      </c>
      <c r="E112" s="132" t="s">
        <v>220</v>
      </c>
      <c r="F112" s="4"/>
      <c r="G112" s="132">
        <v>9.7750000000000007E-4</v>
      </c>
      <c r="H112" s="96"/>
      <c r="I112" s="174"/>
      <c r="J112" s="148">
        <f t="shared" ref="J112:J117" si="10">G1112*I112</f>
        <v>0</v>
      </c>
      <c r="K112" s="4"/>
      <c r="L112" s="132" t="s">
        <v>144</v>
      </c>
      <c r="M112" s="4"/>
    </row>
    <row r="113" spans="1:13" x14ac:dyDescent="0.3">
      <c r="A113" s="130" t="s">
        <v>343</v>
      </c>
      <c r="B113" s="28"/>
      <c r="C113" s="28" t="s">
        <v>322</v>
      </c>
      <c r="D113" s="93" t="s">
        <v>350</v>
      </c>
      <c r="E113" s="130" t="s">
        <v>220</v>
      </c>
      <c r="F113" s="28"/>
      <c r="G113" s="130">
        <v>9.7750000000000007E-4</v>
      </c>
      <c r="H113" s="97"/>
      <c r="I113" s="173"/>
      <c r="J113" s="130">
        <f t="shared" si="10"/>
        <v>0</v>
      </c>
      <c r="K113" s="28"/>
      <c r="L113" s="130" t="s">
        <v>144</v>
      </c>
      <c r="M113" s="28"/>
    </row>
    <row r="114" spans="1:13" x14ac:dyDescent="0.3">
      <c r="A114" s="132" t="s">
        <v>344</v>
      </c>
      <c r="B114" s="4"/>
      <c r="C114" s="4" t="s">
        <v>323</v>
      </c>
      <c r="D114" s="27" t="s">
        <v>351</v>
      </c>
      <c r="E114" s="132" t="s">
        <v>223</v>
      </c>
      <c r="F114" s="4"/>
      <c r="G114" s="132">
        <v>0.49630000000000002</v>
      </c>
      <c r="H114" s="96"/>
      <c r="I114" s="174"/>
      <c r="J114" s="148">
        <f>G1114*I114-273.15</f>
        <v>-273.14999999999998</v>
      </c>
      <c r="K114" s="4"/>
      <c r="L114" s="132" t="s">
        <v>226</v>
      </c>
      <c r="M114" s="4"/>
    </row>
    <row r="115" spans="1:13" x14ac:dyDescent="0.3">
      <c r="A115" s="130" t="s">
        <v>345</v>
      </c>
      <c r="B115" s="28"/>
      <c r="C115" s="28" t="s">
        <v>324</v>
      </c>
      <c r="D115" s="93" t="s">
        <v>352</v>
      </c>
      <c r="E115" s="130" t="s">
        <v>224</v>
      </c>
      <c r="F115" s="28"/>
      <c r="G115" s="130">
        <v>0.49630000000000002</v>
      </c>
      <c r="H115" s="97"/>
      <c r="I115" s="173"/>
      <c r="J115" s="130">
        <f>G1115*I115-273.15</f>
        <v>-273.14999999999998</v>
      </c>
      <c r="K115" s="28"/>
      <c r="L115" s="130" t="s">
        <v>226</v>
      </c>
      <c r="M115" s="28"/>
    </row>
    <row r="116" spans="1:13" x14ac:dyDescent="0.3">
      <c r="A116" s="132" t="s">
        <v>346</v>
      </c>
      <c r="B116" s="4"/>
      <c r="C116" s="4" t="s">
        <v>325</v>
      </c>
      <c r="D116" s="27" t="s">
        <v>353</v>
      </c>
      <c r="E116" s="132" t="s">
        <v>221</v>
      </c>
      <c r="F116" s="4"/>
      <c r="G116" s="132">
        <v>1.5972500000000001</v>
      </c>
      <c r="H116" s="96"/>
      <c r="I116" s="174"/>
      <c r="J116" s="148">
        <f t="shared" si="10"/>
        <v>0</v>
      </c>
      <c r="K116" s="4"/>
      <c r="L116" s="132" t="s">
        <v>227</v>
      </c>
      <c r="M116" s="4"/>
    </row>
    <row r="117" spans="1:13" ht="17.25" thickBot="1" x14ac:dyDescent="0.35">
      <c r="A117" s="164" t="s">
        <v>347</v>
      </c>
      <c r="B117" s="57"/>
      <c r="C117" s="57" t="s">
        <v>326</v>
      </c>
      <c r="D117" s="165" t="s">
        <v>354</v>
      </c>
      <c r="E117" s="164" t="s">
        <v>221</v>
      </c>
      <c r="F117" s="57"/>
      <c r="G117" s="164">
        <v>1.5972500000000001</v>
      </c>
      <c r="H117" s="55"/>
      <c r="I117" s="176"/>
      <c r="J117" s="164">
        <f t="shared" si="10"/>
        <v>0</v>
      </c>
      <c r="K117" s="57"/>
      <c r="L117" s="164" t="s">
        <v>228</v>
      </c>
      <c r="M117" s="57"/>
    </row>
    <row r="118" spans="1:13" x14ac:dyDescent="0.3">
      <c r="A118" s="27"/>
      <c r="B118" s="96"/>
      <c r="C118" s="96"/>
      <c r="D118" s="96"/>
      <c r="E118" s="96"/>
      <c r="F118" s="96"/>
      <c r="G118" s="96"/>
      <c r="H118" s="96"/>
      <c r="I118" s="168"/>
      <c r="J118" s="96"/>
      <c r="K118" s="1"/>
      <c r="L118" s="96"/>
    </row>
    <row r="119" spans="1:13" x14ac:dyDescent="0.3">
      <c r="A119" s="96"/>
      <c r="B119" s="96"/>
      <c r="C119" s="96"/>
      <c r="D119" s="96"/>
      <c r="E119" s="96"/>
      <c r="F119" s="96"/>
      <c r="G119" s="96"/>
      <c r="H119" s="96"/>
      <c r="I119" s="168"/>
      <c r="J119" s="96"/>
      <c r="K119" s="1"/>
      <c r="L119" s="96"/>
    </row>
    <row r="120" spans="1:13" x14ac:dyDescent="0.3">
      <c r="K120" s="1"/>
    </row>
    <row r="121" spans="1:13" x14ac:dyDescent="0.3">
      <c r="K121" s="1"/>
    </row>
    <row r="122" spans="1:13" x14ac:dyDescent="0.3">
      <c r="K122" s="1"/>
    </row>
    <row r="123" spans="1:13" x14ac:dyDescent="0.3">
      <c r="K123" s="1"/>
    </row>
    <row r="124" spans="1:13" x14ac:dyDescent="0.3">
      <c r="K124" s="1"/>
    </row>
  </sheetData>
  <mergeCells count="10">
    <mergeCell ref="E1:F1"/>
    <mergeCell ref="L1:M1"/>
    <mergeCell ref="J1:K1"/>
    <mergeCell ref="G8:H8"/>
    <mergeCell ref="G1:H1"/>
    <mergeCell ref="E8:F8"/>
    <mergeCell ref="A1:B1"/>
    <mergeCell ref="I1:I2"/>
    <mergeCell ref="D1:D2"/>
    <mergeCell ref="C1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3BA2-9116-40C6-9F0A-E3909E15EBC5}">
  <dimension ref="A1:B5"/>
  <sheetViews>
    <sheetView workbookViewId="0">
      <selection activeCell="C31" sqref="C31"/>
    </sheetView>
  </sheetViews>
  <sheetFormatPr defaultRowHeight="16.5" x14ac:dyDescent="0.3"/>
  <cols>
    <col min="1" max="1" width="10.375" bestFit="1" customWidth="1"/>
    <col min="2" max="2" width="9.375" bestFit="1" customWidth="1"/>
  </cols>
  <sheetData>
    <row r="1" spans="1:2" ht="17.25" thickBot="1" x14ac:dyDescent="0.35">
      <c r="A1" s="5" t="s">
        <v>507</v>
      </c>
      <c r="B1" s="6" t="s">
        <v>508</v>
      </c>
    </row>
    <row r="2" spans="1:2" x14ac:dyDescent="0.3">
      <c r="A2" s="3" t="s">
        <v>509</v>
      </c>
      <c r="B2" s="34" t="s">
        <v>26</v>
      </c>
    </row>
    <row r="3" spans="1:2" x14ac:dyDescent="0.3">
      <c r="A3" s="8" t="s">
        <v>386</v>
      </c>
      <c r="B3" s="28" t="s">
        <v>510</v>
      </c>
    </row>
    <row r="4" spans="1:2" x14ac:dyDescent="0.3">
      <c r="A4" s="3" t="s">
        <v>385</v>
      </c>
      <c r="B4" s="4" t="s">
        <v>28</v>
      </c>
    </row>
    <row r="5" spans="1:2" ht="17.25" thickBot="1" x14ac:dyDescent="0.35">
      <c r="A5" s="9" t="s">
        <v>390</v>
      </c>
      <c r="B5" s="57" t="s">
        <v>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List of Available Commands</vt:lpstr>
      <vt:lpstr>2. Get Telemetry (0x10)</vt:lpstr>
      <vt:lpstr>3. Telemetry ADC Coefficient</vt:lpstr>
      <vt:lpstr>4. Power bus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2023-01-18T07:03:10Z</dcterms:created>
  <dcterms:modified xsi:type="dcterms:W3CDTF">2023-02-06T05:50:34Z</dcterms:modified>
</cp:coreProperties>
</file>