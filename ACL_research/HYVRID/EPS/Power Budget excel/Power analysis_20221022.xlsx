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대학원\HYVRID\Power Budget excel\"/>
    </mc:Choice>
  </mc:AlternateContent>
  <xr:revisionPtr revIDLastSave="0" documentId="8_{B346095E-BB39-464F-BDD4-DA1F84EA20CD}" xr6:coauthVersionLast="47" xr6:coauthVersionMax="47" xr10:uidLastSave="{00000000-0000-0000-0000-000000000000}"/>
  <bookViews>
    <workbookView xWindow="-120" yWindow="-120" windowWidth="29040" windowHeight="15840" tabRatio="861" activeTab="4" xr2:uid="{00000000-000D-0000-FFFF-FFFF00000000}"/>
  </bookViews>
  <sheets>
    <sheet name="Detumbling" sheetId="9" r:id="rId1"/>
    <sheet name="① 2주기(Mission&amp;UHF)" sheetId="11" r:id="rId2"/>
    <sheet name="② 8주기(S-band)" sheetId="13" r:id="rId3"/>
    <sheet name="③ 2주기(S-band)" sheetId="14" r:id="rId4"/>
    <sheet name="④ 그 외" sheetId="15" r:id="rId5"/>
    <sheet name="commissioning" sheetId="18" r:id="rId6"/>
    <sheet name="parameter" sheetId="6" r:id="rId7"/>
    <sheet name="Sheet1" sheetId="7" r:id="rId8"/>
    <sheet name="Sheet2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15" l="1"/>
  <c r="U13" i="15"/>
  <c r="P16" i="15"/>
  <c r="N16" i="15"/>
  <c r="O16" i="15"/>
  <c r="T26" i="18"/>
  <c r="T36" i="18"/>
  <c r="T33" i="18"/>
  <c r="T19" i="18"/>
  <c r="T15" i="18"/>
  <c r="T11" i="18"/>
  <c r="T10" i="18"/>
  <c r="T16" i="18"/>
  <c r="T13" i="18"/>
  <c r="T37" i="18"/>
  <c r="M37" i="18"/>
  <c r="L37" i="18"/>
  <c r="K37" i="18"/>
  <c r="M36" i="18"/>
  <c r="T35" i="18"/>
  <c r="L35" i="18"/>
  <c r="T34" i="18"/>
  <c r="L34" i="18"/>
  <c r="M33" i="18"/>
  <c r="L33" i="18"/>
  <c r="T32" i="18"/>
  <c r="L32" i="18"/>
  <c r="T31" i="18"/>
  <c r="L31" i="18"/>
  <c r="T30" i="18"/>
  <c r="R28" i="18"/>
  <c r="T28" i="18" s="1"/>
  <c r="P28" i="18"/>
  <c r="O28" i="18"/>
  <c r="N28" i="18"/>
  <c r="P27" i="18"/>
  <c r="O27" i="18"/>
  <c r="T27" i="18" s="1"/>
  <c r="N27" i="18"/>
  <c r="O26" i="18"/>
  <c r="O25" i="18"/>
  <c r="O24" i="18"/>
  <c r="T24" i="18" s="1"/>
  <c r="L23" i="18"/>
  <c r="O23" i="18" s="1"/>
  <c r="T23" i="18" s="1"/>
  <c r="T22" i="18"/>
  <c r="L22" i="18"/>
  <c r="T21" i="18"/>
  <c r="L21" i="18"/>
  <c r="O20" i="18"/>
  <c r="T20" i="18" s="1"/>
  <c r="P19" i="18"/>
  <c r="M19" i="18"/>
  <c r="L19" i="18"/>
  <c r="O19" i="18" s="1"/>
  <c r="M16" i="18"/>
  <c r="L16" i="18"/>
  <c r="K16" i="18"/>
  <c r="O15" i="18"/>
  <c r="T14" i="18"/>
  <c r="L14" i="18"/>
  <c r="R12" i="18"/>
  <c r="M13" i="18"/>
  <c r="L13" i="18"/>
  <c r="L12" i="18"/>
  <c r="M11" i="18"/>
  <c r="L11" i="18"/>
  <c r="M10" i="18"/>
  <c r="L10" i="18"/>
  <c r="T9" i="18"/>
  <c r="L9" i="18"/>
  <c r="O8" i="18"/>
  <c r="T8" i="18" s="1"/>
  <c r="X7" i="18"/>
  <c r="T7" i="18"/>
  <c r="X6" i="18"/>
  <c r="T39" i="18" s="1"/>
  <c r="T6" i="18"/>
  <c r="T5" i="18"/>
  <c r="X3" i="18"/>
  <c r="T4" i="18" s="1"/>
  <c r="R4" i="18" l="1"/>
  <c r="T38" i="18"/>
  <c r="T40" i="18" s="1"/>
  <c r="T44" i="18" s="1"/>
  <c r="T41" i="18" l="1"/>
  <c r="T43" i="18" s="1"/>
  <c r="T42" i="18"/>
  <c r="W15" i="15" l="1"/>
  <c r="W13" i="15"/>
  <c r="V39" i="14"/>
  <c r="X37" i="14"/>
  <c r="W37" i="14"/>
  <c r="V37" i="14"/>
  <c r="Y37" i="14" s="1"/>
  <c r="X36" i="14"/>
  <c r="W36" i="14"/>
  <c r="V36" i="14"/>
  <c r="Y36" i="14" s="1"/>
  <c r="X35" i="14"/>
  <c r="W35" i="14"/>
  <c r="V35" i="14"/>
  <c r="Y35" i="14" s="1"/>
  <c r="Y34" i="14"/>
  <c r="X34" i="14"/>
  <c r="W34" i="14"/>
  <c r="V34" i="14"/>
  <c r="X33" i="14"/>
  <c r="W33" i="14"/>
  <c r="V33" i="14"/>
  <c r="Y33" i="14" s="1"/>
  <c r="X32" i="14"/>
  <c r="W32" i="14"/>
  <c r="V32" i="14"/>
  <c r="Y32" i="14" s="1"/>
  <c r="X31" i="14"/>
  <c r="W31" i="14"/>
  <c r="V31" i="14"/>
  <c r="Y31" i="14" s="1"/>
  <c r="Y30" i="14"/>
  <c r="X30" i="14"/>
  <c r="W30" i="14"/>
  <c r="V30" i="14"/>
  <c r="X28" i="14"/>
  <c r="W28" i="14"/>
  <c r="V28" i="14"/>
  <c r="Y28" i="14" s="1"/>
  <c r="X27" i="14"/>
  <c r="W27" i="14"/>
  <c r="V27" i="14"/>
  <c r="Y27" i="14" s="1"/>
  <c r="X26" i="14"/>
  <c r="W26" i="14"/>
  <c r="V26" i="14"/>
  <c r="Y26" i="14" s="1"/>
  <c r="Y25" i="14"/>
  <c r="X25" i="14"/>
  <c r="W25" i="14"/>
  <c r="V25" i="14"/>
  <c r="X24" i="14"/>
  <c r="W24" i="14"/>
  <c r="V24" i="14"/>
  <c r="Y24" i="14" s="1"/>
  <c r="X23" i="14"/>
  <c r="W23" i="14"/>
  <c r="V23" i="14"/>
  <c r="Y23" i="14" s="1"/>
  <c r="X22" i="14"/>
  <c r="W22" i="14"/>
  <c r="V22" i="14"/>
  <c r="Y22" i="14" s="1"/>
  <c r="Y21" i="14"/>
  <c r="X21" i="14"/>
  <c r="W21" i="14"/>
  <c r="V21" i="14"/>
  <c r="X20" i="14"/>
  <c r="W20" i="14"/>
  <c r="V20" i="14"/>
  <c r="Y20" i="14" s="1"/>
  <c r="X19" i="14"/>
  <c r="W19" i="14"/>
  <c r="V19" i="14"/>
  <c r="Y19" i="14" s="1"/>
  <c r="X16" i="14"/>
  <c r="W16" i="14"/>
  <c r="V16" i="14"/>
  <c r="Y16" i="14" s="1"/>
  <c r="Y14" i="14"/>
  <c r="X14" i="14"/>
  <c r="W14" i="14"/>
  <c r="V14" i="14"/>
  <c r="X13" i="14"/>
  <c r="W13" i="14"/>
  <c r="V13" i="14"/>
  <c r="Y13" i="14" s="1"/>
  <c r="X12" i="14"/>
  <c r="W12" i="14"/>
  <c r="V12" i="14"/>
  <c r="Y12" i="14" s="1"/>
  <c r="X11" i="14"/>
  <c r="W11" i="14"/>
  <c r="V11" i="14"/>
  <c r="Y11" i="14" s="1"/>
  <c r="Y10" i="14"/>
  <c r="X10" i="14"/>
  <c r="W10" i="14"/>
  <c r="V10" i="14"/>
  <c r="X9" i="14"/>
  <c r="W9" i="14"/>
  <c r="V9" i="14"/>
  <c r="Y9" i="14" s="1"/>
  <c r="X8" i="14"/>
  <c r="W8" i="14"/>
  <c r="V8" i="14"/>
  <c r="Y8" i="14" s="1"/>
  <c r="X7" i="14"/>
  <c r="W7" i="14"/>
  <c r="V7" i="14"/>
  <c r="Y7" i="14" s="1"/>
  <c r="Y6" i="14"/>
  <c r="X6" i="14"/>
  <c r="W6" i="14"/>
  <c r="V6" i="14"/>
  <c r="X5" i="14"/>
  <c r="X38" i="14" s="1"/>
  <c r="X40" i="14" s="1"/>
  <c r="X44" i="14" s="1"/>
  <c r="W5" i="14"/>
  <c r="W38" i="14" s="1"/>
  <c r="W40" i="14" s="1"/>
  <c r="W44" i="14" s="1"/>
  <c r="V5" i="14"/>
  <c r="V38" i="14" s="1"/>
  <c r="V40" i="14" s="1"/>
  <c r="Y40" i="14" s="1"/>
  <c r="V39" i="13"/>
  <c r="X37" i="13"/>
  <c r="W37" i="13"/>
  <c r="V37" i="13"/>
  <c r="Y37" i="13" s="1"/>
  <c r="X36" i="13"/>
  <c r="W36" i="13"/>
  <c r="V36" i="13"/>
  <c r="Y36" i="13" s="1"/>
  <c r="X35" i="13"/>
  <c r="W35" i="13"/>
  <c r="V35" i="13"/>
  <c r="Y35" i="13" s="1"/>
  <c r="X34" i="13"/>
  <c r="W34" i="13"/>
  <c r="V34" i="13"/>
  <c r="Y34" i="13" s="1"/>
  <c r="X33" i="13"/>
  <c r="W33" i="13"/>
  <c r="V33" i="13"/>
  <c r="Y33" i="13" s="1"/>
  <c r="X32" i="13"/>
  <c r="W32" i="13"/>
  <c r="V32" i="13"/>
  <c r="Y32" i="13" s="1"/>
  <c r="X31" i="13"/>
  <c r="W31" i="13"/>
  <c r="V31" i="13"/>
  <c r="Y31" i="13" s="1"/>
  <c r="X30" i="13"/>
  <c r="W30" i="13"/>
  <c r="V30" i="13"/>
  <c r="Y30" i="13" s="1"/>
  <c r="X28" i="13"/>
  <c r="W28" i="13"/>
  <c r="V28" i="13"/>
  <c r="Y28" i="13" s="1"/>
  <c r="X27" i="13"/>
  <c r="W27" i="13"/>
  <c r="V27" i="13"/>
  <c r="Y27" i="13" s="1"/>
  <c r="X26" i="13"/>
  <c r="W26" i="13"/>
  <c r="V26" i="13"/>
  <c r="Y26" i="13" s="1"/>
  <c r="X25" i="13"/>
  <c r="W25" i="13"/>
  <c r="V25" i="13"/>
  <c r="Y25" i="13" s="1"/>
  <c r="X24" i="13"/>
  <c r="W24" i="13"/>
  <c r="V24" i="13"/>
  <c r="Y24" i="13" s="1"/>
  <c r="X23" i="13"/>
  <c r="W23" i="13"/>
  <c r="V23" i="13"/>
  <c r="Y23" i="13" s="1"/>
  <c r="X22" i="13"/>
  <c r="W22" i="13"/>
  <c r="V22" i="13"/>
  <c r="Y22" i="13" s="1"/>
  <c r="X21" i="13"/>
  <c r="W21" i="13"/>
  <c r="V21" i="13"/>
  <c r="Y21" i="13" s="1"/>
  <c r="X20" i="13"/>
  <c r="W20" i="13"/>
  <c r="V20" i="13"/>
  <c r="Y20" i="13" s="1"/>
  <c r="X19" i="13"/>
  <c r="W19" i="13"/>
  <c r="V19" i="13"/>
  <c r="Y19" i="13" s="1"/>
  <c r="X16" i="13"/>
  <c r="W16" i="13"/>
  <c r="V16" i="13"/>
  <c r="Y16" i="13" s="1"/>
  <c r="X14" i="13"/>
  <c r="W14" i="13"/>
  <c r="V14" i="13"/>
  <c r="Y14" i="13" s="1"/>
  <c r="X13" i="13"/>
  <c r="W13" i="13"/>
  <c r="V13" i="13"/>
  <c r="Y13" i="13" s="1"/>
  <c r="X12" i="13"/>
  <c r="W12" i="13"/>
  <c r="V12" i="13"/>
  <c r="Y12" i="13" s="1"/>
  <c r="X11" i="13"/>
  <c r="W11" i="13"/>
  <c r="V11" i="13"/>
  <c r="Y11" i="13" s="1"/>
  <c r="X10" i="13"/>
  <c r="W10" i="13"/>
  <c r="V10" i="13"/>
  <c r="Y10" i="13" s="1"/>
  <c r="X9" i="13"/>
  <c r="W9" i="13"/>
  <c r="V9" i="13"/>
  <c r="Y9" i="13" s="1"/>
  <c r="X8" i="13"/>
  <c r="W8" i="13"/>
  <c r="V8" i="13"/>
  <c r="Y8" i="13" s="1"/>
  <c r="X7" i="13"/>
  <c r="W7" i="13"/>
  <c r="V7" i="13"/>
  <c r="Y7" i="13" s="1"/>
  <c r="X6" i="13"/>
  <c r="W6" i="13"/>
  <c r="V6" i="13"/>
  <c r="Y6" i="13" s="1"/>
  <c r="X5" i="13"/>
  <c r="X38" i="13" s="1"/>
  <c r="X40" i="13" s="1"/>
  <c r="X44" i="13" s="1"/>
  <c r="W5" i="13"/>
  <c r="W38" i="13" s="1"/>
  <c r="W40" i="13" s="1"/>
  <c r="W44" i="13" s="1"/>
  <c r="V5" i="13"/>
  <c r="V38" i="13" s="1"/>
  <c r="V40" i="13" s="1"/>
  <c r="Y40" i="13" s="1"/>
  <c r="V40" i="11"/>
  <c r="V37" i="11"/>
  <c r="V36" i="11"/>
  <c r="Y36" i="11" s="1"/>
  <c r="V35" i="11"/>
  <c r="V34" i="11"/>
  <c r="Y34" i="11" s="1"/>
  <c r="V33" i="11"/>
  <c r="Y33" i="11" s="1"/>
  <c r="V32" i="11"/>
  <c r="Y32" i="11" s="1"/>
  <c r="V31" i="11"/>
  <c r="Y31" i="11" s="1"/>
  <c r="V30" i="11"/>
  <c r="V28" i="11"/>
  <c r="Y28" i="11" s="1"/>
  <c r="V27" i="11"/>
  <c r="Y27" i="11" s="1"/>
  <c r="V26" i="11"/>
  <c r="Y26" i="11" s="1"/>
  <c r="V25" i="11"/>
  <c r="Y25" i="11" s="1"/>
  <c r="V24" i="11"/>
  <c r="Y24" i="11" s="1"/>
  <c r="V23" i="11"/>
  <c r="Y23" i="11" s="1"/>
  <c r="V22" i="11"/>
  <c r="Y22" i="11" s="1"/>
  <c r="V21" i="11"/>
  <c r="Y21" i="11" s="1"/>
  <c r="V20" i="11"/>
  <c r="Y20" i="11" s="1"/>
  <c r="V19" i="11"/>
  <c r="V16" i="11"/>
  <c r="V14" i="11"/>
  <c r="V13" i="11"/>
  <c r="Y13" i="11" s="1"/>
  <c r="V12" i="11"/>
  <c r="V11" i="11"/>
  <c r="V10" i="11"/>
  <c r="V9" i="11"/>
  <c r="V8" i="11"/>
  <c r="V7" i="11"/>
  <c r="V6" i="11"/>
  <c r="V5" i="11"/>
  <c r="Y37" i="11"/>
  <c r="Y35" i="11"/>
  <c r="Y30" i="11"/>
  <c r="Y7" i="11"/>
  <c r="W40" i="11"/>
  <c r="X40" i="11"/>
  <c r="V39" i="11"/>
  <c r="Y6" i="11"/>
  <c r="Y8" i="11"/>
  <c r="Y9" i="11"/>
  <c r="Y10" i="11"/>
  <c r="Y11" i="11"/>
  <c r="Y12" i="11"/>
  <c r="Y14" i="11"/>
  <c r="Y16" i="11"/>
  <c r="Y19" i="11"/>
  <c r="V44" i="14" l="1"/>
  <c r="Y44" i="14" s="1"/>
  <c r="Y39" i="14"/>
  <c r="Y5" i="14"/>
  <c r="Y38" i="14" s="1"/>
  <c r="V44" i="13"/>
  <c r="Y44" i="13" s="1"/>
  <c r="Y39" i="13"/>
  <c r="Y5" i="13"/>
  <c r="Y38" i="13" s="1"/>
  <c r="V42" i="14" l="1"/>
  <c r="Y42" i="14" s="1"/>
  <c r="V41" i="14"/>
  <c r="V42" i="13"/>
  <c r="Y42" i="13" s="1"/>
  <c r="V41" i="13"/>
  <c r="V43" i="14" l="1"/>
  <c r="Y43" i="14" s="1"/>
  <c r="Y41" i="14"/>
  <c r="V43" i="13"/>
  <c r="Y43" i="13" s="1"/>
  <c r="Y41" i="13"/>
  <c r="X37" i="11" l="1"/>
  <c r="X36" i="11"/>
  <c r="X35" i="11"/>
  <c r="X34" i="11"/>
  <c r="X33" i="11"/>
  <c r="X32" i="11"/>
  <c r="X31" i="11"/>
  <c r="X30" i="11"/>
  <c r="X28" i="11"/>
  <c r="X27" i="11"/>
  <c r="X26" i="11"/>
  <c r="X25" i="11"/>
  <c r="X24" i="11"/>
  <c r="X23" i="11"/>
  <c r="X22" i="11"/>
  <c r="X21" i="11"/>
  <c r="X20" i="11"/>
  <c r="X19" i="11"/>
  <c r="X16" i="11"/>
  <c r="X14" i="11"/>
  <c r="X13" i="11"/>
  <c r="X12" i="11"/>
  <c r="X11" i="11"/>
  <c r="X10" i="11"/>
  <c r="X9" i="11"/>
  <c r="X8" i="11"/>
  <c r="X7" i="11"/>
  <c r="X6" i="11"/>
  <c r="Y5" i="11"/>
  <c r="X5" i="11"/>
  <c r="W37" i="11"/>
  <c r="W36" i="11"/>
  <c r="W35" i="11"/>
  <c r="W34" i="11"/>
  <c r="W33" i="11"/>
  <c r="W32" i="11"/>
  <c r="W31" i="11"/>
  <c r="W30" i="11"/>
  <c r="W28" i="11"/>
  <c r="W27" i="11"/>
  <c r="W26" i="11"/>
  <c r="W25" i="11"/>
  <c r="W24" i="11"/>
  <c r="W23" i="11"/>
  <c r="W22" i="11"/>
  <c r="W21" i="11"/>
  <c r="W20" i="11"/>
  <c r="W19" i="11"/>
  <c r="W16" i="11"/>
  <c r="W14" i="11"/>
  <c r="W13" i="11"/>
  <c r="W12" i="11"/>
  <c r="W11" i="11"/>
  <c r="W10" i="11"/>
  <c r="W9" i="11"/>
  <c r="W8" i="11"/>
  <c r="W7" i="11"/>
  <c r="W6" i="11"/>
  <c r="W5" i="11"/>
  <c r="T28" i="14" l="1"/>
  <c r="S28" i="14"/>
  <c r="R28" i="14"/>
  <c r="T13" i="14"/>
  <c r="S13" i="14"/>
  <c r="R13" i="14"/>
  <c r="T12" i="14"/>
  <c r="S12" i="14"/>
  <c r="R12" i="14"/>
  <c r="T28" i="13"/>
  <c r="S28" i="13"/>
  <c r="R28" i="13"/>
  <c r="T13" i="13"/>
  <c r="T12" i="13" s="1"/>
  <c r="S13" i="13"/>
  <c r="S12" i="13" s="1"/>
  <c r="R13" i="13"/>
  <c r="R12" i="13" s="1"/>
  <c r="R4" i="13"/>
  <c r="S4" i="13"/>
  <c r="T4" i="13"/>
  <c r="V4" i="13"/>
  <c r="W4" i="13"/>
  <c r="X4" i="13"/>
  <c r="Y4" i="13"/>
  <c r="X38" i="11"/>
  <c r="W38" i="11"/>
  <c r="T12" i="11"/>
  <c r="S12" i="11"/>
  <c r="R12" i="11"/>
  <c r="R13" i="11"/>
  <c r="S13" i="11"/>
  <c r="T13" i="11"/>
  <c r="M37" i="15"/>
  <c r="L37" i="15"/>
  <c r="K37" i="15"/>
  <c r="M36" i="15"/>
  <c r="L35" i="15"/>
  <c r="L34" i="15"/>
  <c r="M33" i="15"/>
  <c r="L33" i="15"/>
  <c r="L32" i="15"/>
  <c r="L31" i="15"/>
  <c r="P28" i="15"/>
  <c r="O28" i="15"/>
  <c r="N28" i="15"/>
  <c r="P27" i="15"/>
  <c r="O27" i="15"/>
  <c r="N27" i="15"/>
  <c r="O26" i="15"/>
  <c r="O25" i="15"/>
  <c r="O24" i="15"/>
  <c r="L23" i="15"/>
  <c r="O23" i="15" s="1"/>
  <c r="L22" i="15"/>
  <c r="L21" i="15"/>
  <c r="O20" i="15"/>
  <c r="M19" i="15"/>
  <c r="P19" i="15" s="1"/>
  <c r="L19" i="15"/>
  <c r="O19" i="15" s="1"/>
  <c r="M16" i="15"/>
  <c r="L16" i="15"/>
  <c r="K16" i="15"/>
  <c r="O15" i="15"/>
  <c r="L14" i="15"/>
  <c r="M13" i="15"/>
  <c r="L13" i="15"/>
  <c r="L12" i="15"/>
  <c r="M11" i="15"/>
  <c r="L11" i="15"/>
  <c r="M10" i="15"/>
  <c r="L10" i="15"/>
  <c r="L9" i="15"/>
  <c r="O8" i="15"/>
  <c r="M37" i="14"/>
  <c r="L37" i="14"/>
  <c r="K37" i="14"/>
  <c r="M36" i="14"/>
  <c r="L35" i="14"/>
  <c r="L34" i="14"/>
  <c r="M33" i="14"/>
  <c r="L33" i="14"/>
  <c r="L32" i="14"/>
  <c r="L31" i="14"/>
  <c r="P28" i="14"/>
  <c r="O28" i="14"/>
  <c r="N28" i="14"/>
  <c r="P27" i="14"/>
  <c r="O27" i="14"/>
  <c r="N27" i="14"/>
  <c r="O26" i="14"/>
  <c r="O25" i="14"/>
  <c r="O24" i="14"/>
  <c r="L23" i="14"/>
  <c r="O23" i="14" s="1"/>
  <c r="L22" i="14"/>
  <c r="L21" i="14"/>
  <c r="O20" i="14"/>
  <c r="M19" i="14"/>
  <c r="P19" i="14" s="1"/>
  <c r="L19" i="14"/>
  <c r="O19" i="14" s="1"/>
  <c r="M16" i="14"/>
  <c r="L16" i="14"/>
  <c r="K16" i="14"/>
  <c r="O15" i="14"/>
  <c r="L14" i="14"/>
  <c r="M13" i="14"/>
  <c r="L13" i="14"/>
  <c r="L12" i="14"/>
  <c r="M11" i="14"/>
  <c r="L11" i="14"/>
  <c r="M10" i="14"/>
  <c r="L10" i="14"/>
  <c r="L9" i="14"/>
  <c r="O8" i="14"/>
  <c r="M37" i="13"/>
  <c r="L37" i="13"/>
  <c r="K37" i="13"/>
  <c r="M36" i="13"/>
  <c r="L35" i="13"/>
  <c r="L34" i="13"/>
  <c r="M33" i="13"/>
  <c r="L33" i="13"/>
  <c r="L32" i="13"/>
  <c r="L31" i="13"/>
  <c r="P28" i="13"/>
  <c r="O28" i="13"/>
  <c r="N28" i="13"/>
  <c r="P27" i="13"/>
  <c r="O27" i="13"/>
  <c r="N27" i="13"/>
  <c r="O26" i="13"/>
  <c r="O25" i="13"/>
  <c r="O24" i="13"/>
  <c r="L23" i="13"/>
  <c r="O23" i="13" s="1"/>
  <c r="L22" i="13"/>
  <c r="L21" i="13"/>
  <c r="O20" i="13"/>
  <c r="M19" i="13"/>
  <c r="P19" i="13" s="1"/>
  <c r="L19" i="13"/>
  <c r="O19" i="13" s="1"/>
  <c r="M16" i="13"/>
  <c r="L16" i="13"/>
  <c r="K16" i="13"/>
  <c r="O15" i="13"/>
  <c r="L14" i="13"/>
  <c r="M13" i="13"/>
  <c r="L13" i="13"/>
  <c r="L12" i="13"/>
  <c r="M11" i="13"/>
  <c r="L11" i="13"/>
  <c r="M10" i="13"/>
  <c r="L10" i="13"/>
  <c r="L9" i="13"/>
  <c r="O8" i="13"/>
  <c r="M37" i="9"/>
  <c r="L37" i="9"/>
  <c r="K37" i="9"/>
  <c r="M36" i="9"/>
  <c r="L35" i="9"/>
  <c r="L34" i="9"/>
  <c r="M33" i="9"/>
  <c r="L33" i="9"/>
  <c r="L32" i="9"/>
  <c r="L31" i="9"/>
  <c r="P28" i="9"/>
  <c r="O28" i="9"/>
  <c r="N28" i="9"/>
  <c r="P27" i="9"/>
  <c r="O27" i="9"/>
  <c r="T27" i="9" s="1"/>
  <c r="N27" i="9"/>
  <c r="O26" i="9"/>
  <c r="O25" i="9"/>
  <c r="O24" i="9"/>
  <c r="L23" i="9"/>
  <c r="O23" i="9" s="1"/>
  <c r="T23" i="9" s="1"/>
  <c r="L22" i="9"/>
  <c r="L21" i="9"/>
  <c r="O20" i="9"/>
  <c r="M19" i="9"/>
  <c r="P19" i="9" s="1"/>
  <c r="L19" i="9"/>
  <c r="O19" i="9" s="1"/>
  <c r="T19" i="9" s="1"/>
  <c r="M16" i="9"/>
  <c r="L16" i="9"/>
  <c r="K16" i="9"/>
  <c r="O15" i="9"/>
  <c r="L14" i="9"/>
  <c r="M13" i="9"/>
  <c r="L13" i="9"/>
  <c r="L12" i="9"/>
  <c r="M11" i="9"/>
  <c r="L11" i="9"/>
  <c r="M10" i="9"/>
  <c r="L10" i="9"/>
  <c r="L9" i="9"/>
  <c r="O8" i="9"/>
  <c r="M37" i="11"/>
  <c r="L37" i="11"/>
  <c r="K37" i="11"/>
  <c r="M36" i="11"/>
  <c r="L35" i="11"/>
  <c r="L34" i="11"/>
  <c r="M33" i="11"/>
  <c r="L33" i="11"/>
  <c r="L32" i="11"/>
  <c r="L31" i="11"/>
  <c r="P28" i="11"/>
  <c r="O28" i="11"/>
  <c r="N28" i="11"/>
  <c r="P27" i="11"/>
  <c r="O27" i="11"/>
  <c r="N27" i="11"/>
  <c r="O26" i="11"/>
  <c r="O25" i="11"/>
  <c r="O24" i="11"/>
  <c r="L23" i="11"/>
  <c r="O23" i="11" s="1"/>
  <c r="L22" i="11"/>
  <c r="L21" i="11"/>
  <c r="O20" i="11"/>
  <c r="M19" i="11"/>
  <c r="P19" i="11" s="1"/>
  <c r="L19" i="11"/>
  <c r="O19" i="11" s="1"/>
  <c r="M16" i="11"/>
  <c r="L16" i="11"/>
  <c r="K16" i="11"/>
  <c r="O15" i="11"/>
  <c r="L14" i="11"/>
  <c r="M13" i="11"/>
  <c r="L13" i="11"/>
  <c r="L12" i="11"/>
  <c r="M11" i="11"/>
  <c r="L11" i="11"/>
  <c r="M10" i="11"/>
  <c r="L10" i="11"/>
  <c r="L9" i="11"/>
  <c r="O8" i="11"/>
  <c r="R13" i="9"/>
  <c r="R12" i="9" s="1"/>
  <c r="T12" i="9" s="1"/>
  <c r="T9" i="9"/>
  <c r="Y4" i="14"/>
  <c r="X4" i="14"/>
  <c r="W4" i="14"/>
  <c r="V4" i="14"/>
  <c r="Y4" i="11"/>
  <c r="X4" i="11"/>
  <c r="W4" i="11"/>
  <c r="V4" i="11"/>
  <c r="T4" i="9"/>
  <c r="R4" i="9"/>
  <c r="T39" i="9"/>
  <c r="R28" i="15"/>
  <c r="S28" i="15"/>
  <c r="AA7" i="15"/>
  <c r="S4" i="15" s="1"/>
  <c r="AA6" i="15"/>
  <c r="R4" i="15" s="1"/>
  <c r="U39" i="15" s="1"/>
  <c r="AA3" i="15"/>
  <c r="R4" i="14"/>
  <c r="S4" i="14"/>
  <c r="T4" i="14"/>
  <c r="AC7" i="14"/>
  <c r="AC6" i="14"/>
  <c r="AC3" i="14"/>
  <c r="AC7" i="13"/>
  <c r="AC6" i="13"/>
  <c r="AC3" i="13"/>
  <c r="Y39" i="11"/>
  <c r="T16" i="9"/>
  <c r="T28" i="11"/>
  <c r="R4" i="11"/>
  <c r="T4" i="11"/>
  <c r="S4" i="11"/>
  <c r="S28" i="11"/>
  <c r="R28" i="11"/>
  <c r="AC7" i="11"/>
  <c r="AC6" i="11"/>
  <c r="AC3" i="11"/>
  <c r="T32" i="9"/>
  <c r="T33" i="9"/>
  <c r="R28" i="9"/>
  <c r="T30" i="9"/>
  <c r="T6" i="9"/>
  <c r="T8" i="9"/>
  <c r="T10" i="9"/>
  <c r="T11" i="9"/>
  <c r="T14" i="9"/>
  <c r="T7" i="9"/>
  <c r="T31" i="9"/>
  <c r="T24" i="9"/>
  <c r="T5" i="9"/>
  <c r="T22" i="9"/>
  <c r="T21" i="9"/>
  <c r="T20" i="9"/>
  <c r="T37" i="9"/>
  <c r="X7" i="9"/>
  <c r="T36" i="9"/>
  <c r="X6" i="9"/>
  <c r="T35" i="9"/>
  <c r="T34" i="9"/>
  <c r="X3" i="9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P74" i="8"/>
  <c r="P76" i="8" s="1"/>
  <c r="O74" i="8"/>
  <c r="O76" i="8" s="1"/>
  <c r="N74" i="8"/>
  <c r="N76" i="8" s="1"/>
  <c r="M74" i="8"/>
  <c r="M76" i="8" s="1"/>
  <c r="L74" i="8"/>
  <c r="L76" i="8" s="1"/>
  <c r="K74" i="8"/>
  <c r="K76" i="8" s="1"/>
  <c r="J74" i="8"/>
  <c r="I74" i="8"/>
  <c r="I76" i="8" s="1"/>
  <c r="H74" i="8"/>
  <c r="H76" i="8" s="1"/>
  <c r="G74" i="8"/>
  <c r="G76" i="8" s="1"/>
  <c r="F74" i="8"/>
  <c r="E74" i="8"/>
  <c r="E76" i="8" s="1"/>
  <c r="D74" i="8"/>
  <c r="D76" i="8" s="1"/>
  <c r="C74" i="8"/>
  <c r="C76" i="8" s="1"/>
  <c r="B74" i="8"/>
  <c r="P73" i="8"/>
  <c r="M73" i="8"/>
  <c r="L73" i="8"/>
  <c r="I73" i="8"/>
  <c r="H73" i="8"/>
  <c r="E73" i="8"/>
  <c r="D73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P71" i="8"/>
  <c r="O71" i="8"/>
  <c r="N71" i="8"/>
  <c r="N73" i="8" s="1"/>
  <c r="M71" i="8"/>
  <c r="L71" i="8"/>
  <c r="K71" i="8"/>
  <c r="J71" i="8"/>
  <c r="J73" i="8" s="1"/>
  <c r="I71" i="8"/>
  <c r="H71" i="8"/>
  <c r="G71" i="8"/>
  <c r="F71" i="8"/>
  <c r="F73" i="8" s="1"/>
  <c r="E71" i="8"/>
  <c r="D71" i="8"/>
  <c r="C71" i="8"/>
  <c r="B71" i="8"/>
  <c r="B73" i="8" s="1"/>
  <c r="N70" i="8"/>
  <c r="M70" i="8"/>
  <c r="J70" i="8"/>
  <c r="I70" i="8"/>
  <c r="F70" i="8"/>
  <c r="E70" i="8"/>
  <c r="B70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P68" i="8"/>
  <c r="O68" i="8"/>
  <c r="O70" i="8" s="1"/>
  <c r="N68" i="8"/>
  <c r="M68" i="8"/>
  <c r="L68" i="8"/>
  <c r="K68" i="8"/>
  <c r="K70" i="8" s="1"/>
  <c r="J68" i="8"/>
  <c r="I68" i="8"/>
  <c r="H68" i="8"/>
  <c r="G68" i="8"/>
  <c r="G70" i="8" s="1"/>
  <c r="F68" i="8"/>
  <c r="E68" i="8"/>
  <c r="D68" i="8"/>
  <c r="C68" i="8"/>
  <c r="C70" i="8" s="1"/>
  <c r="B68" i="8"/>
  <c r="O67" i="8"/>
  <c r="N67" i="8"/>
  <c r="K67" i="8"/>
  <c r="J67" i="8"/>
  <c r="G67" i="8"/>
  <c r="F67" i="8"/>
  <c r="C67" i="8"/>
  <c r="B67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P65" i="8"/>
  <c r="P67" i="8" s="1"/>
  <c r="O65" i="8"/>
  <c r="N65" i="8"/>
  <c r="M65" i="8"/>
  <c r="L65" i="8"/>
  <c r="L67" i="8" s="1"/>
  <c r="K65" i="8"/>
  <c r="J65" i="8"/>
  <c r="I65" i="8"/>
  <c r="H65" i="8"/>
  <c r="H67" i="8" s="1"/>
  <c r="G65" i="8"/>
  <c r="F65" i="8"/>
  <c r="E65" i="8"/>
  <c r="D65" i="8"/>
  <c r="D67" i="8" s="1"/>
  <c r="C65" i="8"/>
  <c r="B65" i="8"/>
  <c r="P64" i="8"/>
  <c r="O64" i="8"/>
  <c r="L64" i="8"/>
  <c r="K64" i="8"/>
  <c r="H64" i="8"/>
  <c r="G64" i="8"/>
  <c r="D64" i="8"/>
  <c r="C64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P62" i="8"/>
  <c r="O62" i="8"/>
  <c r="N62" i="8"/>
  <c r="N64" i="8" s="1"/>
  <c r="M62" i="8"/>
  <c r="M64" i="8" s="1"/>
  <c r="L62" i="8"/>
  <c r="K62" i="8"/>
  <c r="J62" i="8"/>
  <c r="J64" i="8" s="1"/>
  <c r="I62" i="8"/>
  <c r="I64" i="8" s="1"/>
  <c r="H62" i="8"/>
  <c r="G62" i="8"/>
  <c r="F62" i="8"/>
  <c r="F64" i="8" s="1"/>
  <c r="E62" i="8"/>
  <c r="E64" i="8" s="1"/>
  <c r="D62" i="8"/>
  <c r="C62" i="8"/>
  <c r="B62" i="8"/>
  <c r="B64" i="8" s="1"/>
  <c r="P61" i="8"/>
  <c r="M61" i="8"/>
  <c r="L61" i="8"/>
  <c r="I61" i="8"/>
  <c r="H61" i="8"/>
  <c r="E61" i="8"/>
  <c r="D61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P59" i="8"/>
  <c r="O59" i="8"/>
  <c r="O61" i="8" s="1"/>
  <c r="N59" i="8"/>
  <c r="N61" i="8" s="1"/>
  <c r="M59" i="8"/>
  <c r="L59" i="8"/>
  <c r="K59" i="8"/>
  <c r="K61" i="8" s="1"/>
  <c r="J59" i="8"/>
  <c r="J61" i="8" s="1"/>
  <c r="I59" i="8"/>
  <c r="H59" i="8"/>
  <c r="G59" i="8"/>
  <c r="G61" i="8" s="1"/>
  <c r="F59" i="8"/>
  <c r="F61" i="8" s="1"/>
  <c r="E59" i="8"/>
  <c r="D59" i="8"/>
  <c r="C59" i="8"/>
  <c r="C61" i="8" s="1"/>
  <c r="B59" i="8"/>
  <c r="B61" i="8" s="1"/>
  <c r="N58" i="8"/>
  <c r="M58" i="8"/>
  <c r="J58" i="8"/>
  <c r="I58" i="8"/>
  <c r="F58" i="8"/>
  <c r="E58" i="8"/>
  <c r="B58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P56" i="8"/>
  <c r="P58" i="8" s="1"/>
  <c r="O56" i="8"/>
  <c r="O58" i="8" s="1"/>
  <c r="N56" i="8"/>
  <c r="M56" i="8"/>
  <c r="L56" i="8"/>
  <c r="L58" i="8" s="1"/>
  <c r="K56" i="8"/>
  <c r="K58" i="8" s="1"/>
  <c r="J56" i="8"/>
  <c r="I56" i="8"/>
  <c r="H56" i="8"/>
  <c r="H58" i="8" s="1"/>
  <c r="G56" i="8"/>
  <c r="G58" i="8" s="1"/>
  <c r="F56" i="8"/>
  <c r="E56" i="8"/>
  <c r="D56" i="8"/>
  <c r="D58" i="8" s="1"/>
  <c r="C56" i="8"/>
  <c r="C58" i="8" s="1"/>
  <c r="B56" i="8"/>
  <c r="O55" i="8"/>
  <c r="N55" i="8"/>
  <c r="K55" i="8"/>
  <c r="J55" i="8"/>
  <c r="G55" i="8"/>
  <c r="F55" i="8"/>
  <c r="C55" i="8"/>
  <c r="B55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P53" i="8"/>
  <c r="P55" i="8" s="1"/>
  <c r="O53" i="8"/>
  <c r="N53" i="8"/>
  <c r="M53" i="8"/>
  <c r="M55" i="8" s="1"/>
  <c r="L53" i="8"/>
  <c r="L55" i="8" s="1"/>
  <c r="K53" i="8"/>
  <c r="J53" i="8"/>
  <c r="I53" i="8"/>
  <c r="I55" i="8" s="1"/>
  <c r="H53" i="8"/>
  <c r="H55" i="8" s="1"/>
  <c r="G53" i="8"/>
  <c r="F53" i="8"/>
  <c r="E53" i="8"/>
  <c r="E55" i="8" s="1"/>
  <c r="D53" i="8"/>
  <c r="D55" i="8" s="1"/>
  <c r="C53" i="8"/>
  <c r="B53" i="8"/>
  <c r="P52" i="8"/>
  <c r="O52" i="8"/>
  <c r="L52" i="8"/>
  <c r="K52" i="8"/>
  <c r="H52" i="8"/>
  <c r="G52" i="8"/>
  <c r="D52" i="8"/>
  <c r="C52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P50" i="8"/>
  <c r="O50" i="8"/>
  <c r="N50" i="8"/>
  <c r="M50" i="8"/>
  <c r="M52" i="8" s="1"/>
  <c r="L50" i="8"/>
  <c r="K50" i="8"/>
  <c r="J50" i="8"/>
  <c r="I50" i="8"/>
  <c r="I52" i="8" s="1"/>
  <c r="H50" i="8"/>
  <c r="G50" i="8"/>
  <c r="F50" i="8"/>
  <c r="E50" i="8"/>
  <c r="E52" i="8" s="1"/>
  <c r="D50" i="8"/>
  <c r="C50" i="8"/>
  <c r="B50" i="8"/>
  <c r="P49" i="8"/>
  <c r="M49" i="8"/>
  <c r="L49" i="8"/>
  <c r="I49" i="8"/>
  <c r="H49" i="8"/>
  <c r="E49" i="8"/>
  <c r="D49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P47" i="8"/>
  <c r="O47" i="8"/>
  <c r="N47" i="8"/>
  <c r="N49" i="8" s="1"/>
  <c r="M47" i="8"/>
  <c r="L47" i="8"/>
  <c r="K47" i="8"/>
  <c r="J47" i="8"/>
  <c r="J49" i="8" s="1"/>
  <c r="I47" i="8"/>
  <c r="H47" i="8"/>
  <c r="G47" i="8"/>
  <c r="F47" i="8"/>
  <c r="F49" i="8" s="1"/>
  <c r="E47" i="8"/>
  <c r="D47" i="8"/>
  <c r="C47" i="8"/>
  <c r="B47" i="8"/>
  <c r="B49" i="8" s="1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G10" i="7"/>
  <c r="F10" i="7"/>
  <c r="E10" i="7"/>
  <c r="G9" i="7"/>
  <c r="F9" i="7"/>
  <c r="E9" i="7"/>
  <c r="G8" i="7"/>
  <c r="F8" i="7"/>
  <c r="E8" i="7"/>
  <c r="E1" i="7"/>
  <c r="E2" i="7" s="1"/>
  <c r="C12" i="6"/>
  <c r="C10" i="6"/>
  <c r="C8" i="6"/>
  <c r="C5" i="6"/>
  <c r="U4" i="15" l="1"/>
  <c r="V4" i="15"/>
  <c r="V38" i="11"/>
  <c r="W39" i="15"/>
  <c r="T28" i="9"/>
  <c r="T38" i="9" s="1"/>
  <c r="E3" i="7"/>
  <c r="E4" i="7"/>
  <c r="C11" i="6"/>
  <c r="E67" i="8"/>
  <c r="I67" i="8"/>
  <c r="M67" i="8"/>
  <c r="C49" i="8"/>
  <c r="G49" i="8"/>
  <c r="K49" i="8"/>
  <c r="O49" i="8"/>
  <c r="B52" i="8"/>
  <c r="F52" i="8"/>
  <c r="J52" i="8"/>
  <c r="N52" i="8"/>
  <c r="D70" i="8"/>
  <c r="H70" i="8"/>
  <c r="L70" i="8"/>
  <c r="P70" i="8"/>
  <c r="C73" i="8"/>
  <c r="G73" i="8"/>
  <c r="K73" i="8"/>
  <c r="O73" i="8"/>
  <c r="B76" i="8"/>
  <c r="F76" i="8"/>
  <c r="J76" i="8"/>
  <c r="W4" i="15" l="1"/>
  <c r="V36" i="15" s="1"/>
  <c r="X44" i="11"/>
  <c r="W44" i="11"/>
  <c r="T40" i="9"/>
  <c r="T44" i="9" s="1"/>
  <c r="G5" i="7"/>
  <c r="F5" i="7"/>
  <c r="U11" i="15" l="1"/>
  <c r="V24" i="15"/>
  <c r="V35" i="15"/>
  <c r="U35" i="15"/>
  <c r="W35" i="15" s="1"/>
  <c r="U32" i="15"/>
  <c r="V20" i="15"/>
  <c r="V6" i="15"/>
  <c r="V12" i="15"/>
  <c r="V37" i="15"/>
  <c r="V34" i="15"/>
  <c r="V32" i="15"/>
  <c r="U31" i="15"/>
  <c r="U21" i="15"/>
  <c r="V23" i="15"/>
  <c r="V30" i="15"/>
  <c r="U5" i="15"/>
  <c r="U33" i="15"/>
  <c r="U30" i="15"/>
  <c r="U14" i="15"/>
  <c r="U10" i="15"/>
  <c r="W10" i="15" s="1"/>
  <c r="U37" i="15"/>
  <c r="W37" i="15" s="1"/>
  <c r="U36" i="15"/>
  <c r="W36" i="15" s="1"/>
  <c r="U34" i="15"/>
  <c r="W34" i="15" s="1"/>
  <c r="V19" i="15"/>
  <c r="V10" i="15"/>
  <c r="V22" i="15"/>
  <c r="V11" i="15"/>
  <c r="V5" i="15"/>
  <c r="U28" i="15"/>
  <c r="U20" i="15"/>
  <c r="W20" i="15" s="1"/>
  <c r="U19" i="15"/>
  <c r="U25" i="15"/>
  <c r="W25" i="15" s="1"/>
  <c r="V27" i="15"/>
  <c r="V25" i="15"/>
  <c r="U27" i="15"/>
  <c r="U23" i="15"/>
  <c r="W23" i="15" s="1"/>
  <c r="U8" i="15"/>
  <c r="U26" i="15"/>
  <c r="U24" i="15"/>
  <c r="W24" i="15" s="1"/>
  <c r="V8" i="15"/>
  <c r="V26" i="15"/>
  <c r="U6" i="15"/>
  <c r="W6" i="15" s="1"/>
  <c r="V7" i="15"/>
  <c r="V14" i="15"/>
  <c r="U22" i="15"/>
  <c r="U7" i="15"/>
  <c r="U9" i="15"/>
  <c r="U12" i="15"/>
  <c r="U16" i="15"/>
  <c r="W16" i="15" s="1"/>
  <c r="V28" i="15"/>
  <c r="V33" i="15"/>
  <c r="V31" i="15"/>
  <c r="V21" i="15"/>
  <c r="V9" i="15"/>
  <c r="V16" i="15"/>
  <c r="Y40" i="11"/>
  <c r="V44" i="11"/>
  <c r="Y44" i="11" s="1"/>
  <c r="T42" i="9"/>
  <c r="T41" i="9"/>
  <c r="T43" i="9" s="1"/>
  <c r="G6" i="7"/>
  <c r="G7" i="7"/>
  <c r="F6" i="7"/>
  <c r="F7" i="7"/>
  <c r="W22" i="15" l="1"/>
  <c r="W12" i="15"/>
  <c r="V38" i="15"/>
  <c r="V40" i="15" s="1"/>
  <c r="V44" i="15" s="1"/>
  <c r="W31" i="15"/>
  <c r="W9" i="15"/>
  <c r="W27" i="15"/>
  <c r="W19" i="15"/>
  <c r="W14" i="15"/>
  <c r="W5" i="15"/>
  <c r="U38" i="15"/>
  <c r="U40" i="15" s="1"/>
  <c r="W7" i="15"/>
  <c r="W26" i="15"/>
  <c r="W30" i="15"/>
  <c r="W8" i="15"/>
  <c r="W28" i="15"/>
  <c r="W33" i="15"/>
  <c r="W21" i="15"/>
  <c r="W32" i="15"/>
  <c r="W11" i="15"/>
  <c r="V41" i="11"/>
  <c r="V42" i="11"/>
  <c r="Y42" i="11" s="1"/>
  <c r="W40" i="15" l="1"/>
  <c r="U41" i="15" s="1"/>
  <c r="W41" i="15" s="1"/>
  <c r="U44" i="15"/>
  <c r="W44" i="15" s="1"/>
  <c r="W38" i="15"/>
  <c r="U42" i="15"/>
  <c r="W42" i="15" s="1"/>
  <c r="Y41" i="11"/>
  <c r="V43" i="11"/>
  <c r="Y43" i="11" s="1"/>
  <c r="U43" i="15"/>
  <c r="W43" i="15" s="1"/>
  <c r="Y38" i="11" l="1"/>
</calcChain>
</file>

<file path=xl/sharedStrings.xml><?xml version="1.0" encoding="utf-8"?>
<sst xmlns="http://schemas.openxmlformats.org/spreadsheetml/2006/main" count="1233" uniqueCount="269">
  <si>
    <t>sunlight</t>
  </si>
  <si>
    <r>
      <rPr>
        <sz val="11"/>
        <color rgb="FF000000"/>
        <rFont val="맑은 고딕"/>
        <family val="3"/>
        <charset val="129"/>
      </rPr>
      <t>710</t>
    </r>
    <r>
      <rPr>
        <sz val="11"/>
        <color rgb="FFFF0000"/>
        <rFont val="맑은 고딕"/>
        <family val="3"/>
        <charset val="129"/>
      </rPr>
      <t xml:space="preserve"> (7043s)</t>
    </r>
  </si>
  <si>
    <t>worst case</t>
  </si>
  <si>
    <t>End ComN</t>
  </si>
  <si>
    <t>Current(A)</t>
  </si>
  <si>
    <t>After mission or S-band COM,charging magnitude</t>
  </si>
  <si>
    <t>SoC after mission or S-band COM except margin</t>
  </si>
  <si>
    <t>Required Energy (orbit average)</t>
  </si>
  <si>
    <t>Generated Energy(orbit average)</t>
  </si>
  <si>
    <t>SoC after sun-pointing 6 orbit</t>
  </si>
  <si>
    <t>SoC after mission or S-band COM</t>
  </si>
  <si>
    <t>Earth Gravitational Standard Cosntant (km3/sec2)</t>
  </si>
  <si>
    <t>Cubecontrol</t>
  </si>
  <si>
    <t>PAYC</t>
  </si>
  <si>
    <t>CNDH</t>
  </si>
  <si>
    <t>PAYR</t>
  </si>
  <si>
    <t>Cubecomputer</t>
  </si>
  <si>
    <t>LTAN</t>
  </si>
  <si>
    <t>935s</t>
  </si>
  <si>
    <t>3654s</t>
  </si>
  <si>
    <t>2016s</t>
  </si>
  <si>
    <t>3651s</t>
  </si>
  <si>
    <t>1970s</t>
  </si>
  <si>
    <t>3649s</t>
  </si>
  <si>
    <t>12주기</t>
  </si>
  <si>
    <t>Eclipse</t>
  </si>
  <si>
    <t xml:space="preserve">End </t>
  </si>
  <si>
    <t>3653s</t>
  </si>
  <si>
    <t>3.3V</t>
  </si>
  <si>
    <t>Etmp</t>
  </si>
  <si>
    <t>681s</t>
  </si>
  <si>
    <t>CubeMag</t>
  </si>
  <si>
    <t>5.0V</t>
  </si>
  <si>
    <t>2014s</t>
  </si>
  <si>
    <t>COMS</t>
  </si>
  <si>
    <t>2025s</t>
  </si>
  <si>
    <t>&lt; 4.5 A</t>
  </si>
  <si>
    <t>3650s</t>
  </si>
  <si>
    <t>Idel</t>
  </si>
  <si>
    <t>Mode</t>
  </si>
  <si>
    <t>&lt; 4.7 A</t>
  </si>
  <si>
    <t>3652s</t>
  </si>
  <si>
    <t>Idle</t>
  </si>
  <si>
    <t>Vbat</t>
  </si>
  <si>
    <t>2010s</t>
  </si>
  <si>
    <t>3646s</t>
  </si>
  <si>
    <t>10주기</t>
  </si>
  <si>
    <t>OEM719</t>
  </si>
  <si>
    <t>TW1829</t>
  </si>
  <si>
    <t>2018s</t>
  </si>
  <si>
    <t>Time</t>
  </si>
  <si>
    <t>3.3V(3)</t>
  </si>
  <si>
    <t>UHF TRx</t>
  </si>
  <si>
    <t>PAYS</t>
  </si>
  <si>
    <t>Emppt</t>
  </si>
  <si>
    <t>661s</t>
  </si>
  <si>
    <t>Eman</t>
  </si>
  <si>
    <t>Product</t>
  </si>
  <si>
    <t>2458s</t>
  </si>
  <si>
    <t>Nominal</t>
  </si>
  <si>
    <t>3.3V(2)</t>
  </si>
  <si>
    <t>Power</t>
  </si>
  <si>
    <t>&gt;40%</t>
  </si>
  <si>
    <t>13주기</t>
  </si>
  <si>
    <t>14주기</t>
  </si>
  <si>
    <t>421s</t>
  </si>
  <si>
    <t>510s</t>
  </si>
  <si>
    <t>11주기</t>
  </si>
  <si>
    <t>2015s</t>
  </si>
  <si>
    <t>2024s</t>
  </si>
  <si>
    <t>15주기</t>
  </si>
  <si>
    <t>&gt; 40 %</t>
  </si>
  <si>
    <t>Peak</t>
  </si>
  <si>
    <t>Note</t>
  </si>
  <si>
    <t>1367s</t>
  </si>
  <si>
    <t>Duty(%)</t>
  </si>
  <si>
    <t>After sun-pointing, charging  magnitude</t>
  </si>
  <si>
    <r>
      <t xml:space="preserve">0 </t>
    </r>
    <r>
      <rPr>
        <sz val="11"/>
        <color rgb="FFFF0000"/>
        <rFont val="맑은 고딕"/>
        <family val="3"/>
        <charset val="129"/>
      </rPr>
      <t>(0s)</t>
    </r>
  </si>
  <si>
    <t xml:space="preserve">Need Orbit number for Full charge </t>
  </si>
  <si>
    <t>Power Margin Value</t>
  </si>
  <si>
    <t>Depth of Discharge</t>
  </si>
  <si>
    <t xml:space="preserve">End Mission &amp; ComD </t>
  </si>
  <si>
    <t>Start Index(Time)</t>
  </si>
  <si>
    <t>Cubesense V3 x 2</t>
  </si>
  <si>
    <t>Residual/Generation</t>
  </si>
  <si>
    <t>6주기</t>
  </si>
  <si>
    <t>%</t>
  </si>
  <si>
    <t>Tx</t>
  </si>
  <si>
    <t>N</t>
  </si>
  <si>
    <t>1주기</t>
  </si>
  <si>
    <t>Rx</t>
  </si>
  <si>
    <t>7주기</t>
  </si>
  <si>
    <t>4주기</t>
  </si>
  <si>
    <t>W</t>
  </si>
  <si>
    <t>5주기</t>
  </si>
  <si>
    <t>3주기</t>
  </si>
  <si>
    <t>9주기</t>
  </si>
  <si>
    <t>8주기</t>
  </si>
  <si>
    <t>2주기</t>
  </si>
  <si>
    <t>Wh</t>
  </si>
  <si>
    <r>
      <t xml:space="preserve">139 </t>
    </r>
    <r>
      <rPr>
        <sz val="11"/>
        <color rgb="FFFF0000"/>
        <rFont val="맑은 고딕"/>
        <family val="3"/>
        <charset val="129"/>
      </rPr>
      <t>(1367s)</t>
    </r>
  </si>
  <si>
    <t>Earth Effective Radius (km)</t>
  </si>
  <si>
    <t>conversion efficiency (%)</t>
  </si>
  <si>
    <t>parameter</t>
  </si>
  <si>
    <t>Detumbling</t>
  </si>
  <si>
    <r>
      <rPr>
        <sz val="11"/>
        <color rgb="FF000000"/>
        <rFont val="맑은 고딕"/>
        <family val="3"/>
        <charset val="129"/>
      </rPr>
      <t>507</t>
    </r>
    <r>
      <rPr>
        <sz val="11"/>
        <color rgb="FFFF0000"/>
        <rFont val="맑은 고딕"/>
        <family val="3"/>
        <charset val="129"/>
      </rPr>
      <t xml:space="preserve"> (5019s)</t>
    </r>
  </si>
  <si>
    <t>Solar cell</t>
  </si>
  <si>
    <r>
      <rPr>
        <sz val="11"/>
        <color rgb="FF000000"/>
        <rFont val="맑은 고딕"/>
        <family val="3"/>
        <charset val="129"/>
      </rPr>
      <t>761</t>
    </r>
    <r>
      <rPr>
        <sz val="11"/>
        <color rgb="FFFF0000"/>
        <rFont val="맑은 고딕"/>
        <family val="3"/>
        <charset val="129"/>
      </rPr>
      <t xml:space="preserve"> (7552s)</t>
    </r>
  </si>
  <si>
    <r>
      <rPr>
        <sz val="11"/>
        <color rgb="FF000000"/>
        <rFont val="맑은 고딕"/>
        <family val="3"/>
        <charset val="129"/>
      </rPr>
      <t>829</t>
    </r>
    <r>
      <rPr>
        <sz val="11"/>
        <color rgb="FFFF0000"/>
        <rFont val="맑은 고딕"/>
        <family val="3"/>
        <charset val="129"/>
      </rPr>
      <t xml:space="preserve"> (8232s)</t>
    </r>
  </si>
  <si>
    <r>
      <rPr>
        <sz val="11"/>
        <color rgb="FF000000"/>
        <rFont val="맑은 고딕"/>
        <family val="3"/>
        <charset val="129"/>
      </rPr>
      <t>709</t>
    </r>
    <r>
      <rPr>
        <sz val="11"/>
        <color rgb="FFFF0000"/>
        <rFont val="맑은 고딕"/>
        <family val="3"/>
        <charset val="129"/>
      </rPr>
      <t xml:space="preserve"> (7033s)</t>
    </r>
  </si>
  <si>
    <t>Start ComN</t>
  </si>
  <si>
    <t>1367+5668</t>
  </si>
  <si>
    <t>Optimus-40</t>
  </si>
  <si>
    <t xml:space="preserve">Eclipse </t>
  </si>
  <si>
    <t>Peak load</t>
  </si>
  <si>
    <t>Subsystem</t>
  </si>
  <si>
    <t xml:space="preserve">Dayside </t>
  </si>
  <si>
    <t>Power Generation(Wh)</t>
  </si>
  <si>
    <t>Conversion Efficiency</t>
  </si>
  <si>
    <t>Consumption Power (W)</t>
  </si>
  <si>
    <t>Power Consumption(Wh)</t>
  </si>
  <si>
    <t>orbital period (sec)</t>
  </si>
  <si>
    <t>SoC after sun-pointing</t>
  </si>
  <si>
    <t xml:space="preserve">Start Mission &amp; ComD </t>
  </si>
  <si>
    <t>total power consumption</t>
  </si>
  <si>
    <t>solar panel efficiency</t>
  </si>
  <si>
    <t>S-band period</t>
  </si>
  <si>
    <t>Gen-Cons(Wh)</t>
  </si>
  <si>
    <t>charging rate</t>
  </si>
  <si>
    <t>DoD reference</t>
  </si>
  <si>
    <t>Eclipse (sec)</t>
  </si>
  <si>
    <t>attitdue (km)</t>
  </si>
  <si>
    <t>Beta angle(deg)</t>
  </si>
  <si>
    <t>sunlight (sec)</t>
  </si>
  <si>
    <t>Voltage Input</t>
  </si>
  <si>
    <t>Total Time(sec)</t>
  </si>
  <si>
    <t>Missiond period</t>
  </si>
  <si>
    <r>
      <rPr>
        <sz val="11"/>
        <color rgb="FF000000"/>
        <rFont val="맑은 고딕"/>
        <family val="3"/>
        <charset val="129"/>
      </rPr>
      <t>1075</t>
    </r>
    <r>
      <rPr>
        <sz val="11"/>
        <color rgb="FFFF0000"/>
        <rFont val="맑은 고딕"/>
        <family val="3"/>
        <charset val="129"/>
      </rPr>
      <t xml:space="preserve"> (10689s)</t>
    </r>
  </si>
  <si>
    <t>Power Margin</t>
  </si>
  <si>
    <r>
      <rPr>
        <sz val="11"/>
        <color rgb="FF000000"/>
        <rFont val="맑은 고딕"/>
        <family val="3"/>
        <charset val="129"/>
      </rPr>
      <t>1278</t>
    </r>
    <r>
      <rPr>
        <sz val="11"/>
        <color rgb="FFFF0000"/>
        <rFont val="맑은 고딕"/>
        <family val="3"/>
        <charset val="129"/>
      </rPr>
      <t xml:space="preserve"> (12713s)</t>
    </r>
  </si>
  <si>
    <t>Orbit period</t>
  </si>
  <si>
    <t>required margin</t>
  </si>
  <si>
    <r>
      <t xml:space="preserve">1279 </t>
    </r>
    <r>
      <rPr>
        <sz val="11"/>
        <color rgb="FFFF0000"/>
        <rFont val="맑은 고딕"/>
        <family val="3"/>
        <charset val="129"/>
      </rPr>
      <t>(12713s)</t>
    </r>
  </si>
  <si>
    <r>
      <t xml:space="preserve">1849 </t>
    </r>
    <r>
      <rPr>
        <sz val="11"/>
        <color rgb="FFFF0000"/>
        <rFont val="맑은 고딕"/>
        <family val="3"/>
        <charset val="129"/>
      </rPr>
      <t>(18388s)</t>
    </r>
  </si>
  <si>
    <r>
      <t xml:space="preserve">2416 </t>
    </r>
    <r>
      <rPr>
        <sz val="11"/>
        <color rgb="FFFF0000"/>
        <rFont val="맑은 고딕"/>
        <family val="3"/>
        <charset val="129"/>
      </rPr>
      <t>(24055s)</t>
    </r>
  </si>
  <si>
    <r>
      <t xml:space="preserve">2985 </t>
    </r>
    <r>
      <rPr>
        <sz val="11"/>
        <color rgb="FFFF0000"/>
        <rFont val="맑은 고딕"/>
        <family val="3"/>
        <charset val="129"/>
      </rPr>
      <t>(29728s)</t>
    </r>
  </si>
  <si>
    <r>
      <t>4126</t>
    </r>
    <r>
      <rPr>
        <sz val="11"/>
        <color rgb="FFFF0000"/>
        <rFont val="맑은 고딕"/>
        <family val="3"/>
        <charset val="129"/>
      </rPr>
      <t xml:space="preserve"> (41077s)</t>
    </r>
  </si>
  <si>
    <r>
      <t xml:space="preserve">4696 </t>
    </r>
    <r>
      <rPr>
        <sz val="11"/>
        <color rgb="FFFF0000"/>
        <rFont val="맑은 고딕"/>
        <family val="3"/>
        <charset val="129"/>
      </rPr>
      <t>(46750s)</t>
    </r>
  </si>
  <si>
    <r>
      <t xml:space="preserve">3556 </t>
    </r>
    <r>
      <rPr>
        <sz val="11"/>
        <color rgb="FFFF0000"/>
        <rFont val="맑은 고딕"/>
        <family val="3"/>
        <charset val="129"/>
      </rPr>
      <t>(35403s)</t>
    </r>
  </si>
  <si>
    <r>
      <t xml:space="preserve">5265 </t>
    </r>
    <r>
      <rPr>
        <sz val="11"/>
        <color rgb="FFFF0000"/>
        <rFont val="맑은 고딕"/>
        <family val="3"/>
        <charset val="129"/>
      </rPr>
      <t>(52422s)</t>
    </r>
  </si>
  <si>
    <r>
      <t xml:space="preserve">5834 </t>
    </r>
    <r>
      <rPr>
        <sz val="11"/>
        <color rgb="FFFF0000"/>
        <rFont val="맑은 고딕"/>
        <family val="3"/>
        <charset val="129"/>
      </rPr>
      <t>(58093s)</t>
    </r>
  </si>
  <si>
    <r>
      <t xml:space="preserve">6972 </t>
    </r>
    <r>
      <rPr>
        <sz val="11"/>
        <color rgb="FFFF0000"/>
        <rFont val="맑은 고딕"/>
        <family val="3"/>
        <charset val="129"/>
      </rPr>
      <t>(69435s)</t>
    </r>
  </si>
  <si>
    <r>
      <t xml:space="preserve">7543 </t>
    </r>
    <r>
      <rPr>
        <sz val="11"/>
        <color rgb="FFFF0000"/>
        <rFont val="맑은 고딕"/>
        <family val="3"/>
        <charset val="129"/>
      </rPr>
      <t>(75108s)</t>
    </r>
  </si>
  <si>
    <r>
      <t xml:space="preserve">6404 </t>
    </r>
    <r>
      <rPr>
        <sz val="11"/>
        <color rgb="FFFF0000"/>
        <rFont val="맑은 고딕"/>
        <family val="3"/>
        <charset val="129"/>
      </rPr>
      <t>(63766s)</t>
    </r>
  </si>
  <si>
    <r>
      <t xml:space="preserve">8114 </t>
    </r>
    <r>
      <rPr>
        <sz val="11"/>
        <color rgb="FFFF0000"/>
        <rFont val="맑은 고딕"/>
        <family val="3"/>
        <charset val="129"/>
      </rPr>
      <t>(80782s)</t>
    </r>
  </si>
  <si>
    <r>
      <t xml:space="preserve">1646 </t>
    </r>
    <r>
      <rPr>
        <sz val="11"/>
        <color rgb="FFFF0000"/>
        <rFont val="맑은 고딕"/>
        <family val="3"/>
        <charset val="129"/>
      </rPr>
      <t>(16364s)</t>
    </r>
  </si>
  <si>
    <r>
      <t xml:space="preserve">5061 </t>
    </r>
    <r>
      <rPr>
        <sz val="11"/>
        <color rgb="FFFF0000"/>
        <rFont val="맑은 고딕"/>
        <family val="3"/>
        <charset val="129"/>
      </rPr>
      <t>(50395s)</t>
    </r>
  </si>
  <si>
    <r>
      <t xml:space="preserve">2214 </t>
    </r>
    <r>
      <rPr>
        <sz val="11"/>
        <color rgb="FFFF0000"/>
        <rFont val="맑은 고딕"/>
        <family val="3"/>
        <charset val="129"/>
      </rPr>
      <t>(22036s)</t>
    </r>
  </si>
  <si>
    <r>
      <t xml:space="preserve">2782 </t>
    </r>
    <r>
      <rPr>
        <sz val="11"/>
        <color rgb="FFFF0000"/>
        <rFont val="맑은 고딕"/>
        <family val="3"/>
        <charset val="129"/>
      </rPr>
      <t>(27707s)</t>
    </r>
  </si>
  <si>
    <r>
      <t xml:space="preserve">3353 </t>
    </r>
    <r>
      <rPr>
        <sz val="11"/>
        <color rgb="FFFF0000"/>
        <rFont val="맑은 고딕"/>
        <family val="3"/>
        <charset val="129"/>
      </rPr>
      <t>(33381s)</t>
    </r>
  </si>
  <si>
    <r>
      <t xml:space="preserve">4493 </t>
    </r>
    <r>
      <rPr>
        <sz val="11"/>
        <color rgb="FFFF0000"/>
        <rFont val="맑은 고딕"/>
        <family val="3"/>
        <charset val="129"/>
      </rPr>
      <t>(44726s)</t>
    </r>
  </si>
  <si>
    <r>
      <t>5631</t>
    </r>
    <r>
      <rPr>
        <sz val="11"/>
        <color rgb="FFFF0000"/>
        <rFont val="맑은 고딕"/>
        <family val="3"/>
        <charset val="129"/>
      </rPr>
      <t xml:space="preserve"> (56071s)</t>
    </r>
  </si>
  <si>
    <r>
      <t xml:space="preserve">7340 </t>
    </r>
    <r>
      <rPr>
        <sz val="11"/>
        <color rgb="FFFF0000"/>
        <rFont val="맑은 고딕"/>
        <family val="3"/>
        <charset val="129"/>
      </rPr>
      <t>(73088s)</t>
    </r>
  </si>
  <si>
    <r>
      <t xml:space="preserve">8482 </t>
    </r>
    <r>
      <rPr>
        <sz val="11"/>
        <color rgb="FFFF0000"/>
        <rFont val="맑은 고딕"/>
        <family val="3"/>
        <charset val="129"/>
      </rPr>
      <t>(84431s)</t>
    </r>
  </si>
  <si>
    <r>
      <t xml:space="preserve">6769 </t>
    </r>
    <r>
      <rPr>
        <sz val="11"/>
        <color rgb="FFFF0000"/>
        <rFont val="맑은 고딕"/>
        <family val="3"/>
        <charset val="129"/>
      </rPr>
      <t>(67414s)</t>
    </r>
  </si>
  <si>
    <r>
      <t xml:space="preserve">7911 </t>
    </r>
    <r>
      <rPr>
        <sz val="11"/>
        <color rgb="FFFF0000"/>
        <rFont val="맑은 고딕"/>
        <family val="3"/>
        <charset val="129"/>
      </rPr>
      <t>(78759s)</t>
    </r>
  </si>
  <si>
    <r>
      <t xml:space="preserve">3922 </t>
    </r>
    <r>
      <rPr>
        <sz val="11"/>
        <color rgb="FFFF0000"/>
        <rFont val="맑은 고딕"/>
        <family val="3"/>
        <charset val="129"/>
      </rPr>
      <t>(39051s)</t>
    </r>
  </si>
  <si>
    <r>
      <t xml:space="preserve">6201 </t>
    </r>
    <r>
      <rPr>
        <sz val="11"/>
        <color rgb="FFFF0000"/>
        <rFont val="맑은 고딕"/>
        <family val="3"/>
        <charset val="129"/>
      </rPr>
      <t>(61743s)</t>
    </r>
  </si>
  <si>
    <r>
      <t xml:space="preserve">4587 </t>
    </r>
    <r>
      <rPr>
        <sz val="11"/>
        <color rgb="FFFF0000"/>
        <rFont val="맑은 고딕"/>
        <family val="3"/>
        <charset val="129"/>
      </rPr>
      <t>(45660s)</t>
    </r>
  </si>
  <si>
    <r>
      <t xml:space="preserve">8680 </t>
    </r>
    <r>
      <rPr>
        <sz val="11"/>
        <color rgb="FFFF0000"/>
        <rFont val="맑은 고딕"/>
        <family val="3"/>
        <charset val="129"/>
      </rPr>
      <t>(86400s)</t>
    </r>
  </si>
  <si>
    <r>
      <t xml:space="preserve">4653 </t>
    </r>
    <r>
      <rPr>
        <sz val="11"/>
        <color rgb="FFFF0000"/>
        <rFont val="맑은 고딕"/>
        <family val="3"/>
        <charset val="129"/>
      </rPr>
      <t>(46320s)</t>
    </r>
  </si>
  <si>
    <r>
      <t xml:space="preserve">6971 </t>
    </r>
    <r>
      <rPr>
        <sz val="11"/>
        <color rgb="FFFF0000"/>
        <rFont val="맑은 고딕"/>
        <family val="3"/>
        <charset val="129"/>
      </rPr>
      <t>(69429s)</t>
    </r>
  </si>
  <si>
    <r>
      <t xml:space="preserve">5264 </t>
    </r>
    <r>
      <rPr>
        <sz val="11"/>
        <color rgb="FFFF0000"/>
        <rFont val="맑은 고딕"/>
        <family val="3"/>
        <charset val="129"/>
      </rPr>
      <t>(52412s)</t>
    </r>
  </si>
  <si>
    <r>
      <t xml:space="preserve">2415 </t>
    </r>
    <r>
      <rPr>
        <sz val="11"/>
        <color rgb="FFFF0000"/>
        <rFont val="맑은 고딕"/>
        <family val="3"/>
        <charset val="129"/>
      </rPr>
      <t>(24045s)</t>
    </r>
  </si>
  <si>
    <r>
      <t xml:space="preserve">7542 </t>
    </r>
    <r>
      <rPr>
        <sz val="11"/>
        <color rgb="FFFF0000"/>
        <rFont val="맑은 고딕"/>
        <family val="3"/>
        <charset val="129"/>
      </rPr>
      <t>(75101s)</t>
    </r>
  </si>
  <si>
    <r>
      <t xml:space="preserve">1848 </t>
    </r>
    <r>
      <rPr>
        <sz val="11"/>
        <color rgb="FFFF0000"/>
        <rFont val="맑은 고딕"/>
        <family val="3"/>
        <charset val="129"/>
      </rPr>
      <t>(18378s)</t>
    </r>
  </si>
  <si>
    <r>
      <t>5833</t>
    </r>
    <r>
      <rPr>
        <sz val="11"/>
        <color rgb="FFFF0000"/>
        <rFont val="맑은 고딕"/>
        <family val="3"/>
        <charset val="129"/>
      </rPr>
      <t xml:space="preserve"> (58084s)</t>
    </r>
  </si>
  <si>
    <r>
      <t xml:space="preserve">8113 </t>
    </r>
    <r>
      <rPr>
        <sz val="11"/>
        <color rgb="FFFF0000"/>
        <rFont val="맑은 고딕"/>
        <family val="3"/>
        <charset val="129"/>
      </rPr>
      <t>(80773s)</t>
    </r>
  </si>
  <si>
    <r>
      <t xml:space="preserve">6403 </t>
    </r>
    <r>
      <rPr>
        <sz val="11"/>
        <color rgb="FFFF0000"/>
        <rFont val="맑은 고딕"/>
        <family val="3"/>
        <charset val="129"/>
      </rPr>
      <t>(63766s)</t>
    </r>
  </si>
  <si>
    <r>
      <t xml:space="preserve">3555 </t>
    </r>
    <r>
      <rPr>
        <sz val="11"/>
        <color rgb="FFFF0000"/>
        <rFont val="맑은 고딕"/>
        <family val="3"/>
        <charset val="129"/>
      </rPr>
      <t>(35394s)</t>
    </r>
  </si>
  <si>
    <r>
      <t xml:space="preserve">4125 </t>
    </r>
    <r>
      <rPr>
        <sz val="11"/>
        <color rgb="FFFF0000"/>
        <rFont val="맑은 고딕"/>
        <family val="3"/>
        <charset val="129"/>
      </rPr>
      <t>(41068s)</t>
    </r>
  </si>
  <si>
    <r>
      <t xml:space="preserve">2984 </t>
    </r>
    <r>
      <rPr>
        <sz val="11"/>
        <color rgb="FFFF0000"/>
        <rFont val="맑은 고딕"/>
        <family val="3"/>
        <charset val="129"/>
      </rPr>
      <t>(29721s)</t>
    </r>
  </si>
  <si>
    <r>
      <t xml:space="preserve">4695 </t>
    </r>
    <r>
      <rPr>
        <sz val="11"/>
        <color rgb="FFFF0000"/>
        <rFont val="맑은 고딕"/>
        <family val="3"/>
        <charset val="129"/>
      </rPr>
      <t>(46740s)</t>
    </r>
  </si>
  <si>
    <t>Module</t>
    <phoneticPr fontId="9" type="noConversion"/>
  </si>
  <si>
    <t>GNC(ADCS)</t>
    <phoneticPr fontId="9" type="noConversion"/>
  </si>
  <si>
    <t>EPS</t>
    <phoneticPr fontId="9" type="noConversion"/>
  </si>
  <si>
    <t>5V(2)</t>
    <phoneticPr fontId="9" type="noConversion"/>
  </si>
  <si>
    <t>5V(1)</t>
    <phoneticPr fontId="9" type="noConversion"/>
  </si>
  <si>
    <t>MSP</t>
    <phoneticPr fontId="9" type="noConversion"/>
  </si>
  <si>
    <t>ADCS Module</t>
    <phoneticPr fontId="9" type="noConversion"/>
  </si>
  <si>
    <t>channel</t>
    <phoneticPr fontId="9" type="noConversion"/>
  </si>
  <si>
    <t>3.3V</t>
    <phoneticPr fontId="9" type="noConversion"/>
  </si>
  <si>
    <t>5V</t>
    <phoneticPr fontId="9" type="noConversion"/>
  </si>
  <si>
    <t>3.3V(1)</t>
    <phoneticPr fontId="9" type="noConversion"/>
  </si>
  <si>
    <t>CubeTorquers rod</t>
    <phoneticPr fontId="9" type="noConversion"/>
  </si>
  <si>
    <t>CubeTorquers coil</t>
    <phoneticPr fontId="9" type="noConversion"/>
  </si>
  <si>
    <t>Battery</t>
    <phoneticPr fontId="9" type="noConversion"/>
  </si>
  <si>
    <t>PCDU</t>
    <phoneticPr fontId="9" type="noConversion"/>
  </si>
  <si>
    <t>GPS Rx</t>
    <phoneticPr fontId="9" type="noConversion"/>
  </si>
  <si>
    <t>AZURSPACE</t>
    <phoneticPr fontId="9" type="noConversion"/>
  </si>
  <si>
    <t>CUBECOM</t>
    <phoneticPr fontId="9" type="noConversion"/>
  </si>
  <si>
    <t>MTQ</t>
    <phoneticPr fontId="9" type="noConversion"/>
  </si>
  <si>
    <t>Manufacturer</t>
    <phoneticPr fontId="9" type="noConversion"/>
  </si>
  <si>
    <t>FSS</t>
    <phoneticPr fontId="9" type="noConversion"/>
  </si>
  <si>
    <t>MMT</t>
    <phoneticPr fontId="9" type="noConversion"/>
  </si>
  <si>
    <t>RWA</t>
    <phoneticPr fontId="9" type="noConversion"/>
  </si>
  <si>
    <t>AAC Clyde space</t>
    <phoneticPr fontId="9" type="noConversion"/>
  </si>
  <si>
    <t>3G30C-Advanced</t>
    <phoneticPr fontId="9" type="noConversion"/>
  </si>
  <si>
    <t>GOMSPACE</t>
    <phoneticPr fontId="9" type="noConversion"/>
  </si>
  <si>
    <t>CSS(TBD)</t>
    <phoneticPr fontId="9" type="noConversion"/>
  </si>
  <si>
    <t>Coarse Sun Sensors</t>
    <phoneticPr fontId="9" type="noConversion"/>
  </si>
  <si>
    <t>CUBESPACE</t>
    <phoneticPr fontId="9" type="noConversion"/>
  </si>
  <si>
    <t>Cube Wheel Medium x 3</t>
    <phoneticPr fontId="9" type="noConversion"/>
  </si>
  <si>
    <t>NovAtel</t>
    <phoneticPr fontId="9" type="noConversion"/>
  </si>
  <si>
    <t>TALLYSMAN</t>
    <phoneticPr fontId="9" type="noConversion"/>
  </si>
  <si>
    <t>Note</t>
    <phoneticPr fontId="9" type="noConversion"/>
  </si>
  <si>
    <t>Include Momentum Wheel</t>
    <phoneticPr fontId="9" type="noConversion"/>
  </si>
  <si>
    <t>Deployable Magnetometer</t>
    <phoneticPr fontId="9" type="noConversion"/>
  </si>
  <si>
    <t>Circuit activate for 5s (0.62Ax8V)</t>
    <phoneticPr fontId="9" type="noConversion"/>
  </si>
  <si>
    <t>NST</t>
    <phoneticPr fontId="9" type="noConversion"/>
  </si>
  <si>
    <t>ISIS</t>
    <phoneticPr fontId="9" type="noConversion"/>
  </si>
  <si>
    <t>NanoCom AX100</t>
    <phoneticPr fontId="9" type="noConversion"/>
  </si>
  <si>
    <t>PULSAR-STX</t>
    <phoneticPr fontId="9" type="noConversion"/>
  </si>
  <si>
    <t>OBC</t>
    <phoneticPr fontId="9" type="noConversion"/>
  </si>
  <si>
    <t>HYVRID OBC</t>
    <phoneticPr fontId="9" type="noConversion"/>
  </si>
  <si>
    <t>UHF ANT</t>
    <phoneticPr fontId="9" type="noConversion"/>
  </si>
  <si>
    <t>Deployable Antenna System</t>
    <phoneticPr fontId="9" type="noConversion"/>
  </si>
  <si>
    <t>S-band ANT</t>
    <phoneticPr fontId="9" type="noConversion"/>
  </si>
  <si>
    <t>S-band Tx</t>
    <phoneticPr fontId="9" type="noConversion"/>
  </si>
  <si>
    <t>PULSAR-SANT</t>
    <phoneticPr fontId="9" type="noConversion"/>
  </si>
  <si>
    <t>in-house</t>
    <phoneticPr fontId="9" type="noConversion"/>
  </si>
  <si>
    <t>Ophir</t>
    <phoneticPr fontId="9" type="noConversion"/>
  </si>
  <si>
    <t>Nanocam C1U</t>
    <phoneticPr fontId="9" type="noConversion"/>
  </si>
  <si>
    <t>박막전개장치</t>
    <phoneticPr fontId="9" type="noConversion"/>
  </si>
  <si>
    <t>레이저 감지기</t>
    <phoneticPr fontId="9" type="noConversion"/>
  </si>
  <si>
    <t>GPS ANT</t>
    <phoneticPr fontId="9" type="noConversion"/>
  </si>
  <si>
    <t>Low Noise Amplifier</t>
    <phoneticPr fontId="9" type="noConversion"/>
  </si>
  <si>
    <t>stowed</t>
    <phoneticPr fontId="9" type="noConversion"/>
  </si>
  <si>
    <t>deployed</t>
    <phoneticPr fontId="9" type="noConversion"/>
  </si>
  <si>
    <t>deployment</t>
    <phoneticPr fontId="9" type="noConversion"/>
  </si>
  <si>
    <t>During Deployment 2W Power Consumption</t>
    <phoneticPr fontId="9" type="noConversion"/>
  </si>
  <si>
    <t>Typical Deployment Duration &lt; 3s</t>
    <phoneticPr fontId="9" type="noConversion"/>
  </si>
  <si>
    <t>24dBM RF</t>
    <phoneticPr fontId="9" type="noConversion"/>
  </si>
  <si>
    <t>30dBM RF</t>
    <phoneticPr fontId="9" type="noConversion"/>
  </si>
  <si>
    <t>Transmitter with adjustable 24 to 30 dBm output power</t>
    <phoneticPr fontId="9" type="noConversion"/>
  </si>
  <si>
    <t>Idle(OFF)</t>
    <phoneticPr fontId="9" type="noConversion"/>
  </si>
  <si>
    <t>PAYS</t>
    <phoneticPr fontId="9" type="noConversion"/>
  </si>
  <si>
    <t>PAYR</t>
    <phoneticPr fontId="9" type="noConversion"/>
  </si>
  <si>
    <t>PAYC</t>
    <phoneticPr fontId="9" type="noConversion"/>
  </si>
  <si>
    <t>When heater active</t>
    <phoneticPr fontId="9" type="noConversion"/>
  </si>
  <si>
    <t>Deployment mag</t>
    <phoneticPr fontId="9" type="noConversion"/>
  </si>
  <si>
    <t>Stand-by(N)</t>
    <phoneticPr fontId="9" type="noConversion"/>
  </si>
  <si>
    <t>Stand-by(D)</t>
    <phoneticPr fontId="9" type="noConversion"/>
  </si>
  <si>
    <t>Mission &amp; UHF COM</t>
    <phoneticPr fontId="9" type="noConversion"/>
  </si>
  <si>
    <t>S-band COM</t>
    <phoneticPr fontId="9" type="noConversion"/>
  </si>
  <si>
    <t>total</t>
    <phoneticPr fontId="9" type="noConversion"/>
  </si>
  <si>
    <t>Starbuck-Nano-Plus</t>
    <phoneticPr fontId="9" type="noConversion"/>
  </si>
  <si>
    <t>CSS(with Solar panel)</t>
    <phoneticPr fontId="9" type="noConversion"/>
  </si>
  <si>
    <t>Coarse Sun Sensor x 10</t>
    <phoneticPr fontId="9" type="noConversion"/>
  </si>
  <si>
    <t>Momentum wheel</t>
    <phoneticPr fontId="9" type="noConversion"/>
  </si>
  <si>
    <t>VBAT(2)</t>
    <phoneticPr fontId="9" type="noConversion"/>
  </si>
  <si>
    <t>VBAT(1)</t>
    <phoneticPr fontId="9" type="noConversion"/>
  </si>
  <si>
    <t>Coil x 1</t>
    <phoneticPr fontId="9" type="noConversion"/>
  </si>
  <si>
    <t>Small Rod x 2</t>
    <phoneticPr fontId="9" type="noConversion"/>
  </si>
  <si>
    <t>Peak Power = 3.6V x 500mA @ Max</t>
    <phoneticPr fontId="9" type="noConversion"/>
  </si>
  <si>
    <r>
      <t>extreme temperature : -30</t>
    </r>
    <r>
      <rPr>
        <sz val="11"/>
        <color rgb="FF000000"/>
        <rFont val="D2Coding"/>
        <family val="1"/>
        <charset val="129"/>
      </rPr>
      <t>℃</t>
    </r>
    <r>
      <rPr>
        <sz val="11"/>
        <color rgb="FF000000"/>
        <rFont val="D2Coding"/>
        <family val="2"/>
      </rPr>
      <t>~+85</t>
    </r>
    <r>
      <rPr>
        <sz val="11"/>
        <color rgb="FF000000"/>
        <rFont val="D2Coding"/>
        <family val="1"/>
        <charset val="129"/>
      </rPr>
      <t>℃</t>
    </r>
    <phoneticPr fontId="9" type="noConversion"/>
  </si>
  <si>
    <t>Typ</t>
    <phoneticPr fontId="9" type="noConversion"/>
  </si>
  <si>
    <t>total (time rate)</t>
    <phoneticPr fontId="9" type="noConversion"/>
  </si>
  <si>
    <t>Commissioning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</si>
</sst>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0000_);[Red]\(0.00000\)"/>
    <numFmt numFmtId="177" formatCode="0_);[Red]\(0\)"/>
    <numFmt numFmtId="178" formatCode="0.0000_ "/>
  </numFmts>
  <fonts count="17">
    <font>
      <sz val="11"/>
      <color rgb="FF000000"/>
      <name val="D2Coding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4472C4"/>
      <name val="맑은 고딕"/>
      <family val="3"/>
      <charset val="129"/>
    </font>
    <font>
      <sz val="11"/>
      <color rgb="FF0070C0"/>
      <name val="맑은 고딕"/>
      <family val="3"/>
      <charset val="129"/>
    </font>
    <font>
      <b/>
      <sz val="11"/>
      <color rgb="FF000000"/>
      <name val="D2Coding"/>
    </font>
    <font>
      <b/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4472C4"/>
      <name val="D2Coding"/>
    </font>
    <font>
      <sz val="8"/>
      <name val="돋움"/>
      <family val="3"/>
      <charset val="129"/>
    </font>
    <font>
      <sz val="11"/>
      <color rgb="FFFF0000"/>
      <name val="D2Coding"/>
    </font>
    <font>
      <sz val="11"/>
      <color rgb="FFFF0000"/>
      <name val="D2Coding"/>
      <family val="2"/>
    </font>
    <font>
      <sz val="11"/>
      <color rgb="FF000000"/>
      <name val="D2Coding"/>
      <family val="1"/>
      <charset val="129"/>
    </font>
    <font>
      <sz val="11"/>
      <name val="D2Coding"/>
    </font>
    <font>
      <sz val="11"/>
      <name val="D2Coding"/>
      <family val="2"/>
    </font>
    <font>
      <b/>
      <sz val="11"/>
      <name val="D2Coding"/>
    </font>
    <font>
      <sz val="11"/>
      <color rgb="FF000000"/>
      <name val="D2Coding"/>
      <family val="2"/>
    </font>
  </fonts>
  <fills count="1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3BA"/>
        <bgColor indexed="64"/>
      </patternFill>
    </fill>
    <fill>
      <patternFill patternType="solid">
        <fgColor rgb="FFB4D79C"/>
        <bgColor indexed="64"/>
      </patternFill>
    </fill>
    <fill>
      <patternFill patternType="solid">
        <fgColor rgb="FFFFE69E"/>
        <bgColor indexed="64"/>
      </patternFill>
    </fill>
    <fill>
      <patternFill patternType="solid">
        <fgColor rgb="FF93C570"/>
        <bgColor indexed="64"/>
      </patternFill>
    </fill>
    <fill>
      <patternFill patternType="solid">
        <fgColor rgb="FFFFDC78"/>
        <bgColor indexed="64"/>
      </patternFill>
    </fill>
    <fill>
      <patternFill patternType="solid">
        <fgColor rgb="FFCFFDF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E3E9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2" borderId="9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178" fontId="0" fillId="3" borderId="23" xfId="0" applyNumberFormat="1" applyFill="1" applyBorder="1" applyAlignment="1">
      <alignment horizontal="center" vertical="center"/>
    </xf>
    <xf numFmtId="178" fontId="0" fillId="4" borderId="23" xfId="0" applyNumberFormat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178" fontId="0" fillId="11" borderId="23" xfId="0" applyNumberFormat="1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78" fontId="0" fillId="4" borderId="26" xfId="0" applyNumberForma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8" fontId="0" fillId="9" borderId="44" xfId="0" applyNumberForma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48" xfId="0" applyFont="1" applyBorder="1">
      <alignment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6" fillId="6" borderId="22" xfId="0" applyFont="1" applyFill="1" applyBorder="1">
      <alignment vertical="center"/>
    </xf>
    <xf numFmtId="0" fontId="2" fillId="6" borderId="59" xfId="0" applyFont="1" applyFill="1" applyBorder="1" applyAlignment="1">
      <alignment horizontal="center" vertical="center"/>
    </xf>
    <xf numFmtId="0" fontId="6" fillId="6" borderId="57" xfId="0" applyFont="1" applyFill="1" applyBorder="1">
      <alignment vertical="center"/>
    </xf>
    <xf numFmtId="0" fontId="6" fillId="2" borderId="22" xfId="0" applyFont="1" applyFill="1" applyBorder="1">
      <alignment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5" borderId="23" xfId="0" applyFill="1" applyBorder="1">
      <alignment vertical="center"/>
    </xf>
    <xf numFmtId="0" fontId="6" fillId="12" borderId="22" xfId="0" applyFont="1" applyFill="1" applyBorder="1">
      <alignment vertical="center"/>
    </xf>
    <xf numFmtId="0" fontId="2" fillId="12" borderId="23" xfId="0" applyFont="1" applyFill="1" applyBorder="1" applyAlignment="1">
      <alignment horizontal="center" vertical="center"/>
    </xf>
    <xf numFmtId="0" fontId="6" fillId="12" borderId="27" xfId="0" applyFont="1" applyFill="1" applyBorder="1" applyAlignment="1">
      <alignment horizontal="left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0" fillId="0" borderId="48" xfId="0" applyBorder="1">
      <alignment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2" fillId="0" borderId="3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13" borderId="39" xfId="0" applyFont="1" applyFill="1" applyBorder="1" applyAlignment="1">
      <alignment horizontal="left" vertical="center"/>
    </xf>
    <xf numFmtId="0" fontId="2" fillId="13" borderId="21" xfId="0" applyFont="1" applyFill="1" applyBorder="1" applyAlignment="1">
      <alignment horizontal="left" vertical="center"/>
    </xf>
    <xf numFmtId="0" fontId="6" fillId="13" borderId="27" xfId="0" applyFont="1" applyFill="1" applyBorder="1">
      <alignment vertical="center"/>
    </xf>
    <xf numFmtId="0" fontId="1" fillId="13" borderId="48" xfId="0" applyFont="1" applyFill="1" applyBorder="1">
      <alignment vertical="center"/>
    </xf>
    <xf numFmtId="0" fontId="1" fillId="13" borderId="46" xfId="0" applyFont="1" applyFill="1" applyBorder="1">
      <alignment vertical="center"/>
    </xf>
    <xf numFmtId="0" fontId="7" fillId="13" borderId="22" xfId="0" applyFont="1" applyFill="1" applyBorder="1">
      <alignment vertical="center"/>
    </xf>
    <xf numFmtId="0" fontId="7" fillId="13" borderId="1" xfId="0" applyFont="1" applyFill="1" applyBorder="1">
      <alignment vertical="center"/>
    </xf>
    <xf numFmtId="9" fontId="2" fillId="13" borderId="17" xfId="0" applyNumberFormat="1" applyFont="1" applyFill="1" applyBorder="1" applyAlignment="1">
      <alignment horizontal="left" vertical="center"/>
    </xf>
    <xf numFmtId="9" fontId="2" fillId="0" borderId="16" xfId="0" applyNumberFormat="1" applyFont="1" applyBorder="1" applyAlignment="1">
      <alignment horizontal="left" vertical="center"/>
    </xf>
    <xf numFmtId="0" fontId="1" fillId="13" borderId="47" xfId="0" applyFont="1" applyFill="1" applyBorder="1">
      <alignment vertical="center"/>
    </xf>
    <xf numFmtId="0" fontId="7" fillId="0" borderId="22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5" xfId="0" applyFont="1" applyBorder="1">
      <alignment vertical="center"/>
    </xf>
    <xf numFmtId="0" fontId="7" fillId="13" borderId="23" xfId="0" applyFont="1" applyFill="1" applyBorder="1">
      <alignment vertical="center"/>
    </xf>
    <xf numFmtId="0" fontId="6" fillId="13" borderId="25" xfId="0" applyFont="1" applyFill="1" applyBorder="1">
      <alignment vertical="center"/>
    </xf>
    <xf numFmtId="0" fontId="6" fillId="13" borderId="26" xfId="0" applyFont="1" applyFill="1" applyBorder="1">
      <alignment vertical="center"/>
    </xf>
    <xf numFmtId="0" fontId="1" fillId="0" borderId="3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60" xfId="0" applyFont="1" applyBorder="1">
      <alignment vertical="center"/>
    </xf>
    <xf numFmtId="0" fontId="6" fillId="0" borderId="11" xfId="0" applyFont="1" applyBorder="1">
      <alignment vertical="center"/>
    </xf>
    <xf numFmtId="0" fontId="1" fillId="0" borderId="44" xfId="0" applyFont="1" applyBorder="1">
      <alignment vertical="center"/>
    </xf>
    <xf numFmtId="0" fontId="7" fillId="0" borderId="23" xfId="0" applyFont="1" applyBorder="1">
      <alignment vertical="center"/>
    </xf>
    <xf numFmtId="0" fontId="6" fillId="0" borderId="59" xfId="0" applyFont="1" applyBorder="1">
      <alignment vertical="center"/>
    </xf>
    <xf numFmtId="0" fontId="6" fillId="0" borderId="26" xfId="0" applyFont="1" applyBorder="1">
      <alignment vertical="center"/>
    </xf>
    <xf numFmtId="0" fontId="0" fillId="3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 shrinkToFit="1"/>
    </xf>
    <xf numFmtId="0" fontId="0" fillId="4" borderId="30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8" fontId="0" fillId="7" borderId="26" xfId="0" applyNumberFormat="1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5" borderId="48" xfId="0" applyNumberFormat="1" applyFill="1" applyBorder="1" applyAlignment="1">
      <alignment horizontal="center" vertical="center"/>
    </xf>
    <xf numFmtId="176" fontId="0" fillId="5" borderId="46" xfId="0" applyNumberFormat="1" applyFill="1" applyBorder="1" applyAlignment="1">
      <alignment horizontal="center" vertical="center"/>
    </xf>
    <xf numFmtId="176" fontId="0" fillId="5" borderId="47" xfId="0" applyNumberForma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6" fontId="0" fillId="5" borderId="22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5" borderId="23" xfId="0" applyNumberFormat="1" applyFill="1" applyBorder="1" applyAlignment="1">
      <alignment horizontal="center" vertical="center"/>
    </xf>
    <xf numFmtId="176" fontId="0" fillId="5" borderId="27" xfId="0" applyNumberFormat="1" applyFill="1" applyBorder="1" applyAlignment="1">
      <alignment horizontal="center" vertical="center"/>
    </xf>
    <xf numFmtId="176" fontId="0" fillId="5" borderId="25" xfId="0" applyNumberFormat="1" applyFill="1" applyBorder="1" applyAlignment="1">
      <alignment horizontal="center" vertical="center"/>
    </xf>
    <xf numFmtId="176" fontId="0" fillId="5" borderId="26" xfId="0" applyNumberFormat="1" applyFill="1" applyBorder="1" applyAlignment="1">
      <alignment horizontal="center" vertical="center"/>
    </xf>
    <xf numFmtId="176" fontId="0" fillId="3" borderId="33" xfId="0" applyNumberFormat="1" applyFill="1" applyBorder="1" applyAlignment="1">
      <alignment horizontal="center" vertical="center"/>
    </xf>
    <xf numFmtId="176" fontId="0" fillId="3" borderId="46" xfId="0" applyNumberFormat="1" applyFill="1" applyBorder="1" applyAlignment="1">
      <alignment horizontal="center" vertical="center"/>
    </xf>
    <xf numFmtId="176" fontId="0" fillId="3" borderId="47" xfId="0" applyNumberForma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42" xfId="0" applyNumberFormat="1" applyFont="1" applyFill="1" applyBorder="1" applyAlignment="1">
      <alignment horizontal="center" vertical="center"/>
    </xf>
    <xf numFmtId="9" fontId="0" fillId="3" borderId="17" xfId="0" applyNumberFormat="1" applyFill="1" applyBorder="1" applyAlignment="1">
      <alignment horizontal="center" vertical="center"/>
    </xf>
    <xf numFmtId="178" fontId="0" fillId="3" borderId="9" xfId="0" applyNumberFormat="1" applyFill="1" applyBorder="1" applyAlignment="1">
      <alignment horizontal="center" vertical="center"/>
    </xf>
    <xf numFmtId="176" fontId="5" fillId="3" borderId="23" xfId="0" applyNumberFormat="1" applyFont="1" applyFill="1" applyBorder="1" applyAlignment="1">
      <alignment horizontal="center" vertical="center"/>
    </xf>
    <xf numFmtId="176" fontId="0" fillId="3" borderId="22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23" xfId="0" applyNumberForma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0" fillId="3" borderId="57" xfId="0" applyNumberFormat="1" applyFill="1" applyBorder="1" applyAlignment="1">
      <alignment horizontal="center" vertical="center"/>
    </xf>
    <xf numFmtId="176" fontId="0" fillId="3" borderId="28" xfId="0" applyNumberFormat="1" applyFill="1" applyBorder="1" applyAlignment="1">
      <alignment horizontal="center" vertical="center"/>
    </xf>
    <xf numFmtId="176" fontId="0" fillId="4" borderId="33" xfId="0" applyNumberFormat="1" applyFill="1" applyBorder="1" applyAlignment="1">
      <alignment horizontal="center" vertical="center"/>
    </xf>
    <xf numFmtId="176" fontId="0" fillId="4" borderId="13" xfId="0" applyNumberFormat="1" applyFill="1" applyBorder="1" applyAlignment="1">
      <alignment horizontal="center" vertical="center"/>
    </xf>
    <xf numFmtId="176" fontId="0" fillId="4" borderId="44" xfId="0" applyNumberFormat="1" applyFill="1" applyBorder="1" applyAlignment="1">
      <alignment horizontal="center" vertical="center"/>
    </xf>
    <xf numFmtId="9" fontId="0" fillId="4" borderId="17" xfId="0" applyNumberFormat="1" applyFill="1" applyBorder="1" applyAlignment="1">
      <alignment horizontal="center" vertical="center"/>
    </xf>
    <xf numFmtId="178" fontId="0" fillId="4" borderId="9" xfId="0" applyNumberFormat="1" applyFill="1" applyBorder="1" applyAlignment="1">
      <alignment horizontal="center" vertical="center"/>
    </xf>
    <xf numFmtId="176" fontId="0" fillId="4" borderId="27" xfId="0" applyNumberFormat="1" applyFill="1" applyBorder="1" applyAlignment="1">
      <alignment horizontal="center" vertical="center"/>
    </xf>
    <xf numFmtId="176" fontId="5" fillId="4" borderId="25" xfId="0" applyNumberFormat="1" applyFont="1" applyFill="1" applyBorder="1" applyAlignment="1">
      <alignment horizontal="center" vertical="center"/>
    </xf>
    <xf numFmtId="176" fontId="0" fillId="4" borderId="26" xfId="0" applyNumberFormat="1" applyFill="1" applyBorder="1" applyAlignment="1">
      <alignment horizontal="center" vertical="center"/>
    </xf>
    <xf numFmtId="176" fontId="0" fillId="4" borderId="25" xfId="0" applyNumberFormat="1" applyFill="1" applyBorder="1" applyAlignment="1">
      <alignment horizontal="center" vertical="center"/>
    </xf>
    <xf numFmtId="9" fontId="0" fillId="4" borderId="21" xfId="0" applyNumberFormat="1" applyFill="1" applyBorder="1" applyAlignment="1">
      <alignment horizontal="center" vertical="center"/>
    </xf>
    <xf numFmtId="178" fontId="0" fillId="4" borderId="27" xfId="0" applyNumberFormat="1" applyFill="1" applyBorder="1" applyAlignment="1">
      <alignment horizontal="center" vertical="center"/>
    </xf>
    <xf numFmtId="176" fontId="0" fillId="7" borderId="27" xfId="0" applyNumberFormat="1" applyFill="1" applyBorder="1" applyAlignment="1">
      <alignment horizontal="center" vertical="center"/>
    </xf>
    <xf numFmtId="176" fontId="0" fillId="7" borderId="25" xfId="0" applyNumberFormat="1" applyFill="1" applyBorder="1" applyAlignment="1">
      <alignment horizontal="center" vertical="center"/>
    </xf>
    <xf numFmtId="176" fontId="0" fillId="7" borderId="26" xfId="0" applyNumberFormat="1" applyFill="1" applyBorder="1" applyAlignment="1">
      <alignment horizontal="center" vertical="center"/>
    </xf>
    <xf numFmtId="9" fontId="0" fillId="7" borderId="21" xfId="0" applyNumberFormat="1" applyFill="1" applyBorder="1" applyAlignment="1">
      <alignment horizontal="center" vertical="center"/>
    </xf>
    <xf numFmtId="178" fontId="0" fillId="7" borderId="49" xfId="0" applyNumberFormat="1" applyFill="1" applyBorder="1" applyAlignment="1">
      <alignment horizontal="center" vertical="center"/>
    </xf>
    <xf numFmtId="176" fontId="0" fillId="3" borderId="48" xfId="0" applyNumberFormat="1" applyFill="1" applyBorder="1" applyAlignment="1">
      <alignment horizontal="center" vertical="center"/>
    </xf>
    <xf numFmtId="176" fontId="5" fillId="3" borderId="46" xfId="0" applyNumberFormat="1" applyFont="1" applyFill="1" applyBorder="1" applyAlignment="1">
      <alignment horizontal="center" vertical="center"/>
    </xf>
    <xf numFmtId="176" fontId="5" fillId="3" borderId="22" xfId="0" applyNumberFormat="1" applyFont="1" applyFill="1" applyBorder="1" applyAlignment="1">
      <alignment horizontal="center" vertical="center"/>
    </xf>
    <xf numFmtId="176" fontId="5" fillId="4" borderId="27" xfId="0" applyNumberFormat="1" applyFont="1" applyFill="1" applyBorder="1" applyAlignment="1">
      <alignment horizontal="center" vertical="center"/>
    </xf>
    <xf numFmtId="176" fontId="5" fillId="4" borderId="26" xfId="0" applyNumberFormat="1" applyFont="1" applyFill="1" applyBorder="1" applyAlignment="1">
      <alignment horizontal="center" vertical="center"/>
    </xf>
    <xf numFmtId="178" fontId="0" fillId="2" borderId="13" xfId="0" applyNumberFormat="1" applyFill="1" applyBorder="1" applyAlignment="1">
      <alignment horizontal="center" vertical="center"/>
    </xf>
    <xf numFmtId="176" fontId="0" fillId="3" borderId="34" xfId="0" applyNumberFormat="1" applyFill="1" applyBorder="1" applyAlignment="1">
      <alignment horizontal="center" vertical="center"/>
    </xf>
    <xf numFmtId="176" fontId="5" fillId="3" borderId="35" xfId="0" applyNumberFormat="1" applyFont="1" applyFill="1" applyBorder="1" applyAlignment="1">
      <alignment horizontal="center" vertical="center"/>
    </xf>
    <xf numFmtId="176" fontId="0" fillId="3" borderId="36" xfId="0" applyNumberFormat="1" applyFill="1" applyBorder="1" applyAlignment="1">
      <alignment horizontal="center" vertical="center"/>
    </xf>
    <xf numFmtId="176" fontId="0" fillId="3" borderId="35" xfId="0" applyNumberFormat="1" applyFill="1" applyBorder="1" applyAlignment="1">
      <alignment horizontal="center" vertical="center"/>
    </xf>
    <xf numFmtId="176" fontId="0" fillId="9" borderId="48" xfId="0" applyNumberFormat="1" applyFill="1" applyBorder="1" applyAlignment="1">
      <alignment horizontal="center" vertical="center"/>
    </xf>
    <xf numFmtId="176" fontId="0" fillId="9" borderId="46" xfId="0" applyNumberFormat="1" applyFill="1" applyBorder="1" applyAlignment="1">
      <alignment horizontal="center" vertical="center"/>
    </xf>
    <xf numFmtId="176" fontId="0" fillId="9" borderId="47" xfId="0" applyNumberFormat="1" applyFill="1" applyBorder="1" applyAlignment="1">
      <alignment horizontal="center" vertical="center"/>
    </xf>
    <xf numFmtId="9" fontId="0" fillId="9" borderId="18" xfId="0" applyNumberFormat="1" applyFill="1" applyBorder="1" applyAlignment="1">
      <alignment horizontal="center" vertical="center"/>
    </xf>
    <xf numFmtId="178" fontId="0" fillId="9" borderId="33" xfId="0" applyNumberFormat="1" applyFill="1" applyBorder="1" applyAlignment="1">
      <alignment horizontal="center" vertical="center"/>
    </xf>
    <xf numFmtId="178" fontId="0" fillId="9" borderId="8" xfId="0" applyNumberFormat="1" applyFill="1" applyBorder="1" applyAlignment="1">
      <alignment horizontal="center" vertical="center"/>
    </xf>
    <xf numFmtId="176" fontId="0" fillId="11" borderId="22" xfId="0" applyNumberFormat="1" applyFill="1" applyBorder="1" applyAlignment="1">
      <alignment horizontal="center" vertical="center"/>
    </xf>
    <xf numFmtId="176" fontId="0" fillId="11" borderId="1" xfId="0" applyNumberFormat="1" applyFill="1" applyBorder="1" applyAlignment="1">
      <alignment horizontal="center" vertical="center"/>
    </xf>
    <xf numFmtId="176" fontId="0" fillId="11" borderId="23" xfId="0" applyNumberFormat="1" applyFill="1" applyBorder="1" applyAlignment="1">
      <alignment horizontal="center" vertical="center"/>
    </xf>
    <xf numFmtId="9" fontId="0" fillId="11" borderId="17" xfId="0" applyNumberFormat="1" applyFill="1" applyBorder="1" applyAlignment="1">
      <alignment horizontal="center" vertical="center"/>
    </xf>
    <xf numFmtId="178" fontId="0" fillId="11" borderId="22" xfId="0" applyNumberFormat="1" applyFill="1" applyBorder="1" applyAlignment="1">
      <alignment horizontal="center" vertical="center"/>
    </xf>
    <xf numFmtId="178" fontId="0" fillId="11" borderId="9" xfId="0" applyNumberFormat="1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176" fontId="0" fillId="10" borderId="23" xfId="0" applyNumberFormat="1" applyFill="1" applyBorder="1" applyAlignment="1">
      <alignment horizontal="center" vertical="center"/>
    </xf>
    <xf numFmtId="9" fontId="0" fillId="10" borderId="16" xfId="0" applyNumberFormat="1" applyFill="1" applyBorder="1" applyAlignment="1">
      <alignment horizontal="center" vertical="center"/>
    </xf>
    <xf numFmtId="178" fontId="0" fillId="10" borderId="1" xfId="0" applyNumberFormat="1" applyFill="1" applyBorder="1" applyAlignment="1">
      <alignment horizontal="center" vertical="center"/>
    </xf>
    <xf numFmtId="176" fontId="0" fillId="8" borderId="27" xfId="0" applyNumberFormat="1" applyFill="1" applyBorder="1" applyAlignment="1">
      <alignment horizontal="center" vertical="center"/>
    </xf>
    <xf numFmtId="176" fontId="0" fillId="8" borderId="25" xfId="0" applyNumberFormat="1" applyFill="1" applyBorder="1" applyAlignment="1">
      <alignment horizontal="center" vertical="center"/>
    </xf>
    <xf numFmtId="176" fontId="0" fillId="8" borderId="26" xfId="0" applyNumberFormat="1" applyFill="1" applyBorder="1" applyAlignment="1">
      <alignment horizontal="center" vertical="center"/>
    </xf>
    <xf numFmtId="176" fontId="5" fillId="8" borderId="25" xfId="0" applyNumberFormat="1" applyFont="1" applyFill="1" applyBorder="1" applyAlignment="1">
      <alignment horizontal="center" vertical="center"/>
    </xf>
    <xf numFmtId="176" fontId="0" fillId="4" borderId="22" xfId="0" applyNumberForma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176" fontId="0" fillId="4" borderId="23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6" fontId="0" fillId="5" borderId="60" xfId="0" applyNumberFormat="1" applyFill="1" applyBorder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6" fontId="0" fillId="5" borderId="59" xfId="0" applyNumberFormat="1" applyFill="1" applyBorder="1" applyAlignment="1">
      <alignment horizontal="center" vertical="center"/>
    </xf>
    <xf numFmtId="176" fontId="5" fillId="4" borderId="23" xfId="0" applyNumberFormat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5" fillId="3" borderId="30" xfId="0" applyNumberFormat="1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0" fillId="0" borderId="29" xfId="0" applyBorder="1">
      <alignment vertical="center"/>
    </xf>
    <xf numFmtId="176" fontId="0" fillId="3" borderId="11" xfId="0" applyNumberFormat="1" applyFill="1" applyBorder="1" applyAlignment="1">
      <alignment horizontal="center" vertical="center"/>
    </xf>
    <xf numFmtId="176" fontId="0" fillId="3" borderId="40" xfId="0" applyNumberFormat="1" applyFill="1" applyBorder="1" applyAlignment="1">
      <alignment horizontal="center" vertical="center"/>
    </xf>
    <xf numFmtId="176" fontId="0" fillId="3" borderId="63" xfId="0" applyNumberFormat="1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4" borderId="59" xfId="0" applyNumberFormat="1" applyFill="1" applyBorder="1" applyAlignment="1">
      <alignment horizontal="center" vertical="center"/>
    </xf>
    <xf numFmtId="176" fontId="0" fillId="4" borderId="11" xfId="0" applyNumberFormat="1" applyFill="1" applyBorder="1" applyAlignment="1">
      <alignment horizontal="center" vertical="center"/>
    </xf>
    <xf numFmtId="9" fontId="0" fillId="4" borderId="20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4" borderId="59" xfId="0" applyNumberFormat="1" applyFill="1" applyBorder="1" applyAlignment="1">
      <alignment horizontal="center" vertical="center"/>
    </xf>
    <xf numFmtId="176" fontId="5" fillId="4" borderId="22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1" xfId="0" applyFill="1" applyBorder="1" applyAlignment="1">
      <alignment horizontal="center" vertical="center"/>
    </xf>
    <xf numFmtId="176" fontId="5" fillId="8" borderId="27" xfId="0" applyNumberFormat="1" applyFont="1" applyFill="1" applyBorder="1" applyAlignment="1">
      <alignment horizontal="center" vertical="center"/>
    </xf>
    <xf numFmtId="176" fontId="5" fillId="8" borderId="26" xfId="0" applyNumberFormat="1" applyFont="1" applyFill="1" applyBorder="1" applyAlignment="1">
      <alignment horizontal="center" vertical="center"/>
    </xf>
    <xf numFmtId="9" fontId="0" fillId="4" borderId="16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9" fontId="0" fillId="8" borderId="21" xfId="0" applyNumberFormat="1" applyFill="1" applyBorder="1" applyAlignment="1">
      <alignment horizontal="center" vertical="center"/>
    </xf>
    <xf numFmtId="178" fontId="0" fillId="8" borderId="27" xfId="0" applyNumberFormat="1" applyFill="1" applyBorder="1" applyAlignment="1">
      <alignment horizontal="center" vertical="center"/>
    </xf>
    <xf numFmtId="178" fontId="0" fillId="8" borderId="49" xfId="0" applyNumberFormat="1" applyFill="1" applyBorder="1" applyAlignment="1">
      <alignment horizontal="center" vertical="center"/>
    </xf>
    <xf numFmtId="178" fontId="0" fillId="8" borderId="26" xfId="0" applyNumberFormat="1" applyFill="1" applyBorder="1" applyAlignment="1">
      <alignment horizontal="center" vertical="center"/>
    </xf>
    <xf numFmtId="178" fontId="0" fillId="4" borderId="25" xfId="0" applyNumberFormat="1" applyFill="1" applyBorder="1" applyAlignment="1">
      <alignment horizontal="center" vertical="center"/>
    </xf>
    <xf numFmtId="176" fontId="0" fillId="3" borderId="29" xfId="0" applyNumberFormat="1" applyFill="1" applyBorder="1" applyAlignment="1">
      <alignment horizontal="center" vertical="center"/>
    </xf>
    <xf numFmtId="176" fontId="0" fillId="4" borderId="60" xfId="0" applyNumberFormat="1" applyFill="1" applyBorder="1" applyAlignment="1">
      <alignment horizontal="center" vertical="center"/>
    </xf>
    <xf numFmtId="176" fontId="0" fillId="10" borderId="29" xfId="0" applyNumberFormat="1" applyFill="1" applyBorder="1" applyAlignment="1">
      <alignment horizontal="center" vertical="center"/>
    </xf>
    <xf numFmtId="176" fontId="0" fillId="10" borderId="28" xfId="0" applyNumberFormat="1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11" borderId="70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0" fillId="0" borderId="16" xfId="0" applyNumberFormat="1" applyBorder="1">
      <alignment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0" fontId="11" fillId="3" borderId="72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176" fontId="0" fillId="0" borderId="73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3" borderId="10" xfId="0" applyNumberFormat="1" applyFill="1" applyBorder="1" applyAlignment="1">
      <alignment horizontal="center" vertical="center"/>
    </xf>
    <xf numFmtId="178" fontId="0" fillId="4" borderId="10" xfId="0" applyNumberFormat="1" applyFill="1" applyBorder="1" applyAlignment="1">
      <alignment horizontal="center" vertical="center"/>
    </xf>
    <xf numFmtId="178" fontId="0" fillId="7" borderId="71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/>
    </xf>
    <xf numFmtId="178" fontId="0" fillId="4" borderId="73" xfId="0" applyNumberFormat="1" applyFill="1" applyBorder="1" applyAlignment="1">
      <alignment horizontal="center" vertical="center"/>
    </xf>
    <xf numFmtId="178" fontId="0" fillId="9" borderId="14" xfId="0" applyNumberFormat="1" applyFill="1" applyBorder="1" applyAlignment="1">
      <alignment horizontal="center" vertical="center"/>
    </xf>
    <xf numFmtId="178" fontId="0" fillId="11" borderId="10" xfId="0" applyNumberFormat="1" applyFill="1" applyBorder="1" applyAlignment="1">
      <alignment horizontal="center" vertical="center"/>
    </xf>
    <xf numFmtId="178" fontId="0" fillId="10" borderId="2" xfId="0" applyNumberFormat="1" applyFill="1" applyBorder="1" applyAlignment="1">
      <alignment horizontal="center" vertical="center"/>
    </xf>
    <xf numFmtId="178" fontId="0" fillId="8" borderId="71" xfId="0" applyNumberFormat="1" applyFill="1" applyBorder="1" applyAlignment="1">
      <alignment horizontal="center" vertical="center"/>
    </xf>
    <xf numFmtId="178" fontId="0" fillId="0" borderId="28" xfId="0" applyNumberFormat="1" applyBorder="1" applyAlignment="1">
      <alignment horizontal="center" vertical="center"/>
    </xf>
    <xf numFmtId="178" fontId="0" fillId="5" borderId="28" xfId="0" applyNumberFormat="1" applyFill="1" applyBorder="1" applyAlignment="1">
      <alignment horizontal="center" vertical="center"/>
    </xf>
    <xf numFmtId="178" fontId="0" fillId="3" borderId="28" xfId="0" applyNumberFormat="1" applyFill="1" applyBorder="1" applyAlignment="1">
      <alignment horizontal="center" vertical="center"/>
    </xf>
    <xf numFmtId="178" fontId="0" fillId="4" borderId="28" xfId="0" applyNumberFormat="1" applyFill="1" applyBorder="1" applyAlignment="1">
      <alignment horizontal="center" vertical="center"/>
    </xf>
    <xf numFmtId="178" fontId="0" fillId="4" borderId="55" xfId="0" applyNumberFormat="1" applyFill="1" applyBorder="1" applyAlignment="1">
      <alignment horizontal="center" vertical="center"/>
    </xf>
    <xf numFmtId="178" fontId="0" fillId="7" borderId="55" xfId="0" applyNumberFormat="1" applyFill="1" applyBorder="1" applyAlignment="1">
      <alignment horizontal="center" vertical="center"/>
    </xf>
    <xf numFmtId="178" fontId="0" fillId="3" borderId="70" xfId="0" applyNumberFormat="1" applyFill="1" applyBorder="1" applyAlignment="1">
      <alignment horizontal="center" vertical="center"/>
    </xf>
    <xf numFmtId="178" fontId="0" fillId="3" borderId="32" xfId="0" applyNumberFormat="1" applyFill="1" applyBorder="1" applyAlignment="1">
      <alignment horizontal="center" vertical="center"/>
    </xf>
    <xf numFmtId="178" fontId="0" fillId="4" borderId="70" xfId="0" applyNumberFormat="1" applyFill="1" applyBorder="1" applyAlignment="1">
      <alignment horizontal="center" vertical="center"/>
    </xf>
    <xf numFmtId="178" fontId="0" fillId="9" borderId="32" xfId="0" applyNumberFormat="1" applyFill="1" applyBorder="1" applyAlignment="1">
      <alignment horizontal="center" vertical="center"/>
    </xf>
    <xf numFmtId="178" fontId="0" fillId="11" borderId="28" xfId="0" applyNumberFormat="1" applyFill="1" applyBorder="1" applyAlignment="1">
      <alignment horizontal="center" vertical="center"/>
    </xf>
    <xf numFmtId="178" fontId="0" fillId="8" borderId="55" xfId="0" applyNumberFormat="1" applyFill="1" applyBorder="1" applyAlignment="1">
      <alignment horizontal="center" vertical="center"/>
    </xf>
    <xf numFmtId="178" fontId="0" fillId="4" borderId="19" xfId="0" applyNumberFormat="1" applyFill="1" applyBorder="1" applyAlignment="1">
      <alignment horizontal="center" vertical="center"/>
    </xf>
    <xf numFmtId="178" fontId="0" fillId="0" borderId="39" xfId="0" applyNumberFormat="1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178" fontId="0" fillId="3" borderId="17" xfId="0" applyNumberFormat="1" applyFill="1" applyBorder="1" applyAlignment="1">
      <alignment horizontal="center" vertical="center"/>
    </xf>
    <xf numFmtId="178" fontId="0" fillId="4" borderId="17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10" borderId="17" xfId="0" applyNumberFormat="1" applyFill="1" applyBorder="1" applyAlignment="1">
      <alignment horizontal="center" vertical="center"/>
    </xf>
    <xf numFmtId="178" fontId="0" fillId="7" borderId="19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0" fillId="8" borderId="60" xfId="0" applyNumberFormat="1" applyFill="1" applyBorder="1" applyAlignment="1">
      <alignment horizontal="center" vertical="center"/>
    </xf>
    <xf numFmtId="178" fontId="0" fillId="8" borderId="3" xfId="0" applyNumberFormat="1" applyFill="1" applyBorder="1" applyAlignment="1">
      <alignment horizontal="center" vertical="center"/>
    </xf>
    <xf numFmtId="178" fontId="0" fillId="8" borderId="70" xfId="0" applyNumberFormat="1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178" fontId="0" fillId="2" borderId="46" xfId="0" applyNumberFormat="1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178" fontId="0" fillId="0" borderId="75" xfId="0" applyNumberFormat="1" applyBorder="1" applyAlignment="1">
      <alignment horizontal="center" vertical="center"/>
    </xf>
    <xf numFmtId="178" fontId="0" fillId="0" borderId="43" xfId="0" applyNumberFormat="1" applyBorder="1" applyAlignment="1">
      <alignment horizontal="center" vertical="center"/>
    </xf>
    <xf numFmtId="9" fontId="0" fillId="5" borderId="21" xfId="0" applyNumberFormat="1" applyFill="1" applyBorder="1" applyAlignment="1">
      <alignment horizontal="center" vertical="center"/>
    </xf>
    <xf numFmtId="178" fontId="0" fillId="5" borderId="49" xfId="0" applyNumberFormat="1" applyFill="1" applyBorder="1" applyAlignment="1">
      <alignment horizontal="center" vertical="center"/>
    </xf>
    <xf numFmtId="178" fontId="0" fillId="0" borderId="49" xfId="0" applyNumberFormat="1" applyBorder="1" applyAlignment="1">
      <alignment horizontal="center" vertical="center"/>
    </xf>
    <xf numFmtId="178" fontId="0" fillId="0" borderId="55" xfId="0" applyNumberFormat="1" applyBorder="1" applyAlignment="1">
      <alignment horizontal="center" vertical="center"/>
    </xf>
    <xf numFmtId="178" fontId="0" fillId="0" borderId="47" xfId="0" applyNumberFormat="1" applyBorder="1" applyAlignment="1">
      <alignment horizontal="center" vertical="center"/>
    </xf>
    <xf numFmtId="178" fontId="0" fillId="5" borderId="26" xfId="0" applyNumberFormat="1" applyFill="1" applyBorder="1" applyAlignment="1">
      <alignment horizontal="center" vertical="center"/>
    </xf>
    <xf numFmtId="178" fontId="0" fillId="4" borderId="22" xfId="0" applyNumberFormat="1" applyFill="1" applyBorder="1" applyAlignment="1">
      <alignment horizontal="center" vertical="center"/>
    </xf>
    <xf numFmtId="9" fontId="0" fillId="3" borderId="15" xfId="0" applyNumberFormat="1" applyFill="1" applyBorder="1" applyAlignment="1">
      <alignment horizontal="center" vertical="center"/>
    </xf>
    <xf numFmtId="178" fontId="0" fillId="3" borderId="52" xfId="0" applyNumberFormat="1" applyFill="1" applyBorder="1" applyAlignment="1">
      <alignment horizontal="center" vertical="center"/>
    </xf>
    <xf numFmtId="178" fontId="0" fillId="3" borderId="36" xfId="0" applyNumberFormat="1" applyFill="1" applyBorder="1" applyAlignment="1">
      <alignment horizontal="center" vertical="center"/>
    </xf>
    <xf numFmtId="178" fontId="0" fillId="3" borderId="14" xfId="0" applyNumberFormat="1" applyFill="1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5" borderId="55" xfId="0" applyNumberFormat="1" applyFill="1" applyBorder="1" applyAlignment="1">
      <alignment horizontal="center" vertical="center"/>
    </xf>
    <xf numFmtId="178" fontId="0" fillId="3" borderId="22" xfId="0" applyNumberFormat="1" applyFill="1" applyBorder="1" applyAlignment="1">
      <alignment horizontal="center" vertical="center"/>
    </xf>
    <xf numFmtId="178" fontId="0" fillId="3" borderId="51" xfId="0" applyNumberFormat="1" applyFill="1" applyBorder="1" applyAlignment="1">
      <alignment horizontal="center" vertical="center"/>
    </xf>
    <xf numFmtId="178" fontId="0" fillId="3" borderId="15" xfId="0" applyNumberFormat="1" applyFill="1" applyBorder="1" applyAlignment="1">
      <alignment horizontal="center" vertical="center"/>
    </xf>
    <xf numFmtId="178" fontId="0" fillId="3" borderId="37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3" borderId="44" xfId="0" applyFont="1" applyFill="1" applyBorder="1" applyAlignment="1">
      <alignment horizontal="center" vertical="center" shrinkToFit="1"/>
    </xf>
    <xf numFmtId="0" fontId="0" fillId="3" borderId="32" xfId="0" applyFill="1" applyBorder="1" applyAlignment="1">
      <alignment horizontal="center" vertical="center" shrinkToFit="1"/>
    </xf>
    <xf numFmtId="0" fontId="14" fillId="3" borderId="18" xfId="0" applyFont="1" applyFill="1" applyBorder="1" applyAlignment="1">
      <alignment horizontal="center" vertical="center"/>
    </xf>
    <xf numFmtId="176" fontId="15" fillId="3" borderId="13" xfId="0" applyNumberFormat="1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176" fontId="0" fillId="15" borderId="22" xfId="0" applyNumberFormat="1" applyFill="1" applyBorder="1" applyAlignment="1">
      <alignment horizontal="center" vertical="center"/>
    </xf>
    <xf numFmtId="176" fontId="0" fillId="15" borderId="23" xfId="0" applyNumberFormat="1" applyFill="1" applyBorder="1" applyAlignment="1">
      <alignment horizontal="center" vertical="center"/>
    </xf>
    <xf numFmtId="176" fontId="0" fillId="15" borderId="29" xfId="0" applyNumberFormat="1" applyFill="1" applyBorder="1" applyAlignment="1">
      <alignment horizontal="center" vertical="center"/>
    </xf>
    <xf numFmtId="176" fontId="0" fillId="15" borderId="30" xfId="0" applyNumberFormat="1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176" fontId="13" fillId="15" borderId="11" xfId="0" applyNumberFormat="1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176" fontId="15" fillId="15" borderId="1" xfId="0" applyNumberFormat="1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176" fontId="15" fillId="7" borderId="25" xfId="0" applyNumberFormat="1" applyFont="1" applyFill="1" applyBorder="1" applyAlignment="1">
      <alignment horizontal="center" vertical="center"/>
    </xf>
    <xf numFmtId="176" fontId="13" fillId="3" borderId="62" xfId="0" applyNumberFormat="1" applyFont="1" applyFill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15" fillId="5" borderId="46" xfId="0" applyNumberFormat="1" applyFont="1" applyFill="1" applyBorder="1" applyAlignment="1">
      <alignment horizontal="center" vertical="center"/>
    </xf>
    <xf numFmtId="9" fontId="0" fillId="15" borderId="17" xfId="0" applyNumberFormat="1" applyFill="1" applyBorder="1" applyAlignment="1">
      <alignment horizontal="center" vertical="center"/>
    </xf>
    <xf numFmtId="178" fontId="0" fillId="15" borderId="9" xfId="0" applyNumberFormat="1" applyFill="1" applyBorder="1" applyAlignment="1">
      <alignment horizontal="center" vertical="center"/>
    </xf>
    <xf numFmtId="178" fontId="0" fillId="15" borderId="23" xfId="0" applyNumberFormat="1" applyFill="1" applyBorder="1" applyAlignment="1">
      <alignment horizontal="center" vertical="center"/>
    </xf>
    <xf numFmtId="178" fontId="0" fillId="16" borderId="70" xfId="0" applyNumberFormat="1" applyFill="1" applyBorder="1" applyAlignment="1">
      <alignment horizontal="center" vertical="center"/>
    </xf>
    <xf numFmtId="178" fontId="0" fillId="16" borderId="30" xfId="0" applyNumberFormat="1" applyFill="1" applyBorder="1" applyAlignment="1">
      <alignment horizontal="center" vertical="center"/>
    </xf>
    <xf numFmtId="178" fontId="0" fillId="16" borderId="32" xfId="0" applyNumberFormat="1" applyFill="1" applyBorder="1" applyAlignment="1">
      <alignment horizontal="center" vertical="center"/>
    </xf>
    <xf numFmtId="178" fontId="0" fillId="15" borderId="10" xfId="0" applyNumberFormat="1" applyFill="1" applyBorder="1" applyAlignment="1">
      <alignment horizontal="center" vertical="center"/>
    </xf>
    <xf numFmtId="178" fontId="0" fillId="15" borderId="28" xfId="0" applyNumberFormat="1" applyFill="1" applyBorder="1" applyAlignment="1">
      <alignment horizontal="center" vertical="center"/>
    </xf>
    <xf numFmtId="178" fontId="0" fillId="0" borderId="76" xfId="0" applyNumberFormat="1" applyBorder="1" applyAlignment="1">
      <alignment horizontal="center" vertical="center"/>
    </xf>
    <xf numFmtId="178" fontId="0" fillId="0" borderId="6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15" borderId="17" xfId="0" applyNumberFormat="1" applyFill="1" applyBorder="1" applyAlignment="1">
      <alignment horizontal="center" vertical="center"/>
    </xf>
    <xf numFmtId="178" fontId="0" fillId="4" borderId="18" xfId="0" applyNumberFormat="1" applyFill="1" applyBorder="1" applyAlignment="1">
      <alignment horizontal="center" vertical="center"/>
    </xf>
    <xf numFmtId="178" fontId="0" fillId="3" borderId="39" xfId="0" applyNumberFormat="1" applyFill="1" applyBorder="1" applyAlignment="1">
      <alignment horizontal="center" vertical="center"/>
    </xf>
    <xf numFmtId="178" fontId="0" fillId="9" borderId="18" xfId="0" applyNumberFormat="1" applyFill="1" applyBorder="1" applyAlignment="1">
      <alignment horizontal="center" vertical="center"/>
    </xf>
    <xf numFmtId="178" fontId="0" fillId="11" borderId="17" xfId="0" applyNumberFormat="1" applyFill="1" applyBorder="1" applyAlignment="1">
      <alignment horizontal="center" vertical="center"/>
    </xf>
    <xf numFmtId="178" fontId="0" fillId="9" borderId="39" xfId="0" applyNumberFormat="1" applyFill="1" applyBorder="1" applyAlignment="1">
      <alignment horizontal="center" vertical="center"/>
    </xf>
    <xf numFmtId="178" fontId="0" fillId="2" borderId="6" xfId="0" applyNumberForma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8" fontId="0" fillId="11" borderId="18" xfId="0" applyNumberFormat="1" applyFill="1" applyBorder="1" applyAlignment="1">
      <alignment horizontal="center" vertical="center"/>
    </xf>
    <xf numFmtId="178" fontId="0" fillId="10" borderId="18" xfId="0" applyNumberFormat="1" applyFill="1" applyBorder="1" applyAlignment="1">
      <alignment horizontal="center" vertical="center"/>
    </xf>
    <xf numFmtId="178" fontId="0" fillId="8" borderId="18" xfId="0" applyNumberFormat="1" applyFill="1" applyBorder="1" applyAlignment="1">
      <alignment horizontal="center" vertical="center"/>
    </xf>
    <xf numFmtId="178" fontId="0" fillId="2" borderId="74" xfId="0" applyNumberForma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178" fontId="0" fillId="0" borderId="19" xfId="0" applyNumberFormat="1" applyBorder="1" applyAlignment="1">
      <alignment horizontal="center" vertical="center"/>
    </xf>
    <xf numFmtId="178" fontId="0" fillId="15" borderId="18" xfId="0" applyNumberForma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178" fontId="0" fillId="15" borderId="39" xfId="0" applyNumberFormat="1" applyFill="1" applyBorder="1" applyAlignment="1">
      <alignment horizontal="center" vertical="center"/>
    </xf>
    <xf numFmtId="178" fontId="0" fillId="15" borderId="20" xfId="0" applyNumberFormat="1" applyFill="1" applyBorder="1" applyAlignment="1">
      <alignment horizontal="center" vertical="center"/>
    </xf>
    <xf numFmtId="178" fontId="0" fillId="15" borderId="21" xfId="0" applyNumberFormat="1" applyFill="1" applyBorder="1" applyAlignment="1">
      <alignment horizontal="center" vertical="center"/>
    </xf>
    <xf numFmtId="178" fontId="0" fillId="0" borderId="38" xfId="0" applyNumberFormat="1" applyBorder="1" applyAlignment="1">
      <alignment horizontal="center" vertical="center"/>
    </xf>
    <xf numFmtId="178" fontId="0" fillId="3" borderId="16" xfId="0" applyNumberFormat="1" applyFill="1" applyBorder="1" applyAlignment="1">
      <alignment horizontal="center" vertical="center"/>
    </xf>
    <xf numFmtId="178" fontId="0" fillId="4" borderId="20" xfId="0" applyNumberFormat="1" applyFill="1" applyBorder="1" applyAlignment="1">
      <alignment horizontal="center" vertical="center"/>
    </xf>
    <xf numFmtId="178" fontId="0" fillId="7" borderId="18" xfId="0" applyNumberFormat="1" applyFill="1" applyBorder="1" applyAlignment="1">
      <alignment horizontal="center" vertical="center"/>
    </xf>
    <xf numFmtId="178" fontId="0" fillId="3" borderId="38" xfId="0" applyNumberFormat="1" applyFill="1" applyBorder="1" applyAlignment="1">
      <alignment horizontal="center" vertical="center"/>
    </xf>
    <xf numFmtId="178" fontId="0" fillId="15" borderId="16" xfId="0" applyNumberFormat="1" applyFill="1" applyBorder="1" applyAlignment="1">
      <alignment horizontal="center" vertical="center"/>
    </xf>
    <xf numFmtId="176" fontId="5" fillId="3" borderId="69" xfId="0" applyNumberFormat="1" applyFont="1" applyFill="1" applyBorder="1" applyAlignment="1">
      <alignment horizontal="center" vertical="center"/>
    </xf>
    <xf numFmtId="176" fontId="5" fillId="3" borderId="56" xfId="0" applyNumberFormat="1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9" fontId="0" fillId="3" borderId="20" xfId="0" applyNumberFormat="1" applyFill="1" applyBorder="1" applyAlignment="1">
      <alignment horizontal="center"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11" xfId="0" applyNumberFormat="1" applyFill="1" applyBorder="1" applyAlignment="1">
      <alignment horizontal="center" vertical="center"/>
    </xf>
    <xf numFmtId="178" fontId="0" fillId="3" borderId="13" xfId="0" applyNumberFormat="1" applyFill="1" applyBorder="1" applyAlignment="1">
      <alignment horizontal="center" vertical="center"/>
    </xf>
    <xf numFmtId="178" fontId="0" fillId="3" borderId="60" xfId="0" applyNumberFormat="1" applyFill="1" applyBorder="1" applyAlignment="1">
      <alignment horizontal="center" vertical="center"/>
    </xf>
    <xf numFmtId="178" fontId="0" fillId="3" borderId="33" xfId="0" applyNumberFormat="1" applyFill="1" applyBorder="1" applyAlignment="1">
      <alignment horizontal="center" vertical="center"/>
    </xf>
    <xf numFmtId="178" fontId="0" fillId="3" borderId="59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9" fontId="0" fillId="16" borderId="20" xfId="0" applyNumberFormat="1" applyFill="1" applyBorder="1" applyAlignment="1">
      <alignment horizontal="center" vertical="center"/>
    </xf>
    <xf numFmtId="9" fontId="0" fillId="16" borderId="16" xfId="0" applyNumberFormat="1" applyFill="1" applyBorder="1" applyAlignment="1">
      <alignment horizontal="center" vertical="center"/>
    </xf>
    <xf numFmtId="9" fontId="0" fillId="16" borderId="18" xfId="0" applyNumberFormat="1" applyFill="1" applyBorder="1" applyAlignment="1">
      <alignment horizontal="center" vertical="center"/>
    </xf>
    <xf numFmtId="178" fontId="0" fillId="16" borderId="3" xfId="0" applyNumberFormat="1" applyFill="1" applyBorder="1" applyAlignment="1">
      <alignment horizontal="center" vertical="center"/>
    </xf>
    <xf numFmtId="178" fontId="0" fillId="16" borderId="4" xfId="0" applyNumberFormat="1" applyFill="1" applyBorder="1" applyAlignment="1">
      <alignment horizontal="center" vertical="center"/>
    </xf>
    <xf numFmtId="178" fontId="0" fillId="16" borderId="8" xfId="0" applyNumberFormat="1" applyFill="1" applyBorder="1" applyAlignment="1">
      <alignment horizontal="center" vertical="center"/>
    </xf>
    <xf numFmtId="178" fontId="0" fillId="16" borderId="11" xfId="0" applyNumberFormat="1" applyFill="1" applyBorder="1" applyAlignment="1">
      <alignment horizontal="center" vertical="center"/>
    </xf>
    <xf numFmtId="178" fontId="0" fillId="16" borderId="41" xfId="0" applyNumberFormat="1" applyFill="1" applyBorder="1" applyAlignment="1">
      <alignment horizontal="center" vertical="center"/>
    </xf>
    <xf numFmtId="178" fontId="0" fillId="16" borderId="13" xfId="0" applyNumberFormat="1" applyFill="1" applyBorder="1" applyAlignment="1">
      <alignment horizontal="center" vertical="center"/>
    </xf>
    <xf numFmtId="178" fontId="0" fillId="16" borderId="59" xfId="0" applyNumberFormat="1" applyFill="1" applyBorder="1" applyAlignment="1">
      <alignment horizontal="center" vertical="center"/>
    </xf>
    <xf numFmtId="178" fontId="0" fillId="16" borderId="42" xfId="0" applyNumberFormat="1" applyFill="1" applyBorder="1" applyAlignment="1">
      <alignment horizontal="center" vertical="center"/>
    </xf>
    <xf numFmtId="178" fontId="0" fillId="16" borderId="44" xfId="0" applyNumberFormat="1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59" xfId="0" applyNumberFormat="1" applyFont="1" applyFill="1" applyBorder="1" applyAlignment="1">
      <alignment horizontal="center" vertical="center"/>
    </xf>
    <xf numFmtId="176" fontId="5" fillId="3" borderId="44" xfId="0" applyNumberFormat="1" applyFont="1" applyFill="1" applyBorder="1" applyAlignment="1">
      <alignment horizontal="center" vertical="center"/>
    </xf>
    <xf numFmtId="176" fontId="0" fillId="3" borderId="69" xfId="0" applyNumberFormat="1" applyFill="1" applyBorder="1" applyAlignment="1">
      <alignment horizontal="center" vertical="center"/>
    </xf>
    <xf numFmtId="176" fontId="0" fillId="3" borderId="56" xfId="0" applyNumberFormat="1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59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65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6" fontId="0" fillId="16" borderId="22" xfId="0" applyNumberFormat="1" applyFill="1" applyBorder="1" applyAlignment="1">
      <alignment horizontal="center" vertical="center"/>
    </xf>
    <xf numFmtId="176" fontId="0" fillId="16" borderId="11" xfId="0" applyNumberFormat="1" applyFill="1" applyBorder="1" applyAlignment="1">
      <alignment horizontal="center" vertical="center"/>
    </xf>
    <xf numFmtId="176" fontId="0" fillId="16" borderId="41" xfId="0" applyNumberFormat="1" applyFill="1" applyBorder="1" applyAlignment="1">
      <alignment horizontal="center" vertical="center"/>
    </xf>
    <xf numFmtId="176" fontId="0" fillId="16" borderId="13" xfId="0" applyNumberFormat="1" applyFill="1" applyBorder="1" applyAlignment="1">
      <alignment horizontal="center" vertical="center"/>
    </xf>
    <xf numFmtId="176" fontId="0" fillId="16" borderId="23" xfId="0" applyNumberFormat="1" applyFill="1" applyBorder="1" applyAlignment="1">
      <alignment horizontal="center" vertical="center"/>
    </xf>
    <xf numFmtId="176" fontId="5" fillId="16" borderId="22" xfId="0" applyNumberFormat="1" applyFont="1" applyFill="1" applyBorder="1" applyAlignment="1">
      <alignment horizontal="center" vertical="center"/>
    </xf>
    <xf numFmtId="176" fontId="5" fillId="16" borderId="1" xfId="0" applyNumberFormat="1" applyFont="1" applyFill="1" applyBorder="1" applyAlignment="1">
      <alignment horizontal="center" vertical="center"/>
    </xf>
    <xf numFmtId="176" fontId="5" fillId="16" borderId="23" xfId="0" applyNumberFormat="1" applyFont="1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16" borderId="69" xfId="0" applyFill="1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16" borderId="59" xfId="0" applyFill="1" applyBorder="1" applyAlignment="1">
      <alignment horizontal="center" vertical="center"/>
    </xf>
    <xf numFmtId="0" fontId="0" fillId="16" borderId="42" xfId="0" applyFill="1" applyBorder="1" applyAlignment="1">
      <alignment horizontal="center" vertical="center"/>
    </xf>
    <xf numFmtId="0" fontId="0" fillId="16" borderId="44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1" fillId="16" borderId="20" xfId="0" applyFont="1" applyFill="1" applyBorder="1" applyAlignment="1">
      <alignment horizontal="center" vertical="center"/>
    </xf>
    <xf numFmtId="0" fontId="11" fillId="16" borderId="16" xfId="0" applyFont="1" applyFill="1" applyBorder="1" applyAlignment="1">
      <alignment horizontal="center" vertical="center"/>
    </xf>
    <xf numFmtId="0" fontId="11" fillId="16" borderId="18" xfId="0" applyFont="1" applyFill="1" applyBorder="1" applyAlignment="1">
      <alignment horizontal="center" vertical="center"/>
    </xf>
    <xf numFmtId="178" fontId="0" fillId="16" borderId="20" xfId="0" applyNumberFormat="1" applyFill="1" applyBorder="1" applyAlignment="1">
      <alignment horizontal="center" vertical="center"/>
    </xf>
    <xf numFmtId="178" fontId="0" fillId="16" borderId="16" xfId="0" applyNumberFormat="1" applyFill="1" applyBorder="1" applyAlignment="1">
      <alignment horizontal="center" vertical="center"/>
    </xf>
    <xf numFmtId="178" fontId="0" fillId="16" borderId="18" xfId="0" applyNumberFormat="1" applyFill="1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16" borderId="7" xfId="0" applyNumberFormat="1" applyFill="1" applyBorder="1" applyAlignment="1">
      <alignment horizontal="center" vertical="center"/>
    </xf>
    <xf numFmtId="178" fontId="0" fillId="16" borderId="5" xfId="0" applyNumberFormat="1" applyFill="1" applyBorder="1" applyAlignment="1">
      <alignment horizontal="center" vertical="center"/>
    </xf>
    <xf numFmtId="178" fontId="0" fillId="16" borderId="6" xfId="0" applyNumberFormat="1" applyFill="1" applyBorder="1" applyAlignment="1">
      <alignment horizontal="center" vertical="center"/>
    </xf>
    <xf numFmtId="178" fontId="0" fillId="3" borderId="7" xfId="0" applyNumberFormat="1" applyFill="1" applyBorder="1" applyAlignment="1">
      <alignment horizontal="center" vertical="center"/>
    </xf>
    <xf numFmtId="178" fontId="0" fillId="3" borderId="6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93C570"/>
      <color rgb="FFFFDC78"/>
      <color rgb="FFFFE69E"/>
      <color rgb="FFFFF2CC"/>
      <color rgb="FFB4D79C"/>
      <color rgb="FFCAE3BA"/>
      <color rgb="FFE2F0D9"/>
      <color rgb="FFE3E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67CF-CACE-41C6-B4DB-4538C74D1387}">
  <dimension ref="B1:X52"/>
  <sheetViews>
    <sheetView zoomScale="85" zoomScaleNormal="85" workbookViewId="0">
      <pane xSplit="5" topLeftCell="F1" activePane="topRight" state="frozen"/>
      <selection activeCell="X3" sqref="X3"/>
      <selection pane="topRight" activeCell="K42" sqref="K42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2.125" style="1" bestFit="1" customWidth="1"/>
    <col min="19" max="19" width="30.125" style="1" bestFit="1" customWidth="1"/>
    <col min="20" max="20" width="13.375" style="1" bestFit="1" customWidth="1"/>
    <col min="21" max="21" width="4.375" style="1" bestFit="1" customWidth="1"/>
    <col min="22" max="22" width="10.625" style="1" bestFit="1" customWidth="1"/>
    <col min="23" max="23" width="20.12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5" t="s">
        <v>115</v>
      </c>
      <c r="C2" s="415" t="s">
        <v>183</v>
      </c>
      <c r="D2" s="417"/>
      <c r="E2" s="45" t="s">
        <v>57</v>
      </c>
      <c r="F2" s="45" t="s">
        <v>215</v>
      </c>
      <c r="G2" s="45" t="s">
        <v>202</v>
      </c>
      <c r="H2" s="45" t="s">
        <v>190</v>
      </c>
      <c r="I2" s="45" t="s">
        <v>39</v>
      </c>
      <c r="J2" s="52" t="s">
        <v>134</v>
      </c>
      <c r="K2" s="415" t="s">
        <v>4</v>
      </c>
      <c r="L2" s="416"/>
      <c r="M2" s="417"/>
      <c r="N2" s="415" t="s">
        <v>61</v>
      </c>
      <c r="O2" s="416"/>
      <c r="P2" s="417"/>
      <c r="R2" s="45" t="s">
        <v>75</v>
      </c>
      <c r="S2" s="415" t="s">
        <v>119</v>
      </c>
      <c r="T2" s="416"/>
      <c r="U2" s="417"/>
      <c r="V2" s="151"/>
      <c r="W2" s="65" t="s">
        <v>73</v>
      </c>
      <c r="X2" s="60"/>
    </row>
    <row r="3" spans="2:24">
      <c r="B3" s="475"/>
      <c r="C3" s="496"/>
      <c r="D3" s="497"/>
      <c r="E3" s="475"/>
      <c r="F3" s="475"/>
      <c r="G3" s="475"/>
      <c r="H3" s="475"/>
      <c r="I3" s="475"/>
      <c r="J3" s="475"/>
      <c r="K3" s="454" t="s">
        <v>42</v>
      </c>
      <c r="L3" s="471" t="s">
        <v>59</v>
      </c>
      <c r="M3" s="473" t="s">
        <v>72</v>
      </c>
      <c r="N3" s="454" t="s">
        <v>38</v>
      </c>
      <c r="O3" s="471" t="s">
        <v>59</v>
      </c>
      <c r="P3" s="473" t="s">
        <v>72</v>
      </c>
      <c r="Q3" s="1" t="s">
        <v>39</v>
      </c>
      <c r="R3" s="54" t="s">
        <v>104</v>
      </c>
      <c r="S3" s="69"/>
      <c r="T3" s="228" t="s">
        <v>104</v>
      </c>
      <c r="U3" s="131"/>
      <c r="W3" s="43" t="s">
        <v>140</v>
      </c>
      <c r="X3" s="42">
        <f>parameter!C8</f>
        <v>5676.9848887954295</v>
      </c>
    </row>
    <row r="4" spans="2:24" ht="15" thickBot="1">
      <c r="B4" s="476"/>
      <c r="C4" s="498"/>
      <c r="D4" s="499"/>
      <c r="E4" s="476"/>
      <c r="F4" s="476"/>
      <c r="G4" s="476"/>
      <c r="H4" s="476"/>
      <c r="I4" s="476"/>
      <c r="J4" s="476"/>
      <c r="K4" s="456"/>
      <c r="L4" s="472"/>
      <c r="M4" s="474"/>
      <c r="N4" s="456"/>
      <c r="O4" s="472"/>
      <c r="P4" s="474"/>
      <c r="Q4" s="35" t="s">
        <v>50</v>
      </c>
      <c r="R4" s="243">
        <f>X3</f>
        <v>5676.9848887954295</v>
      </c>
      <c r="S4" s="130"/>
      <c r="T4" s="244">
        <f>X3</f>
        <v>5676.9848887954295</v>
      </c>
      <c r="U4" s="137"/>
      <c r="W4" s="43" t="s">
        <v>136</v>
      </c>
      <c r="X4" s="42">
        <v>681</v>
      </c>
    </row>
    <row r="5" spans="2:24" ht="15">
      <c r="B5" s="462" t="s">
        <v>185</v>
      </c>
      <c r="C5" s="454"/>
      <c r="D5" s="70" t="s">
        <v>196</v>
      </c>
      <c r="E5" s="54" t="s">
        <v>112</v>
      </c>
      <c r="F5" s="54" t="s">
        <v>249</v>
      </c>
      <c r="G5" s="475" t="s">
        <v>206</v>
      </c>
      <c r="H5" s="54"/>
      <c r="I5" s="54"/>
      <c r="J5" s="148"/>
      <c r="K5" s="152"/>
      <c r="L5" s="153"/>
      <c r="M5" s="154"/>
      <c r="N5" s="152"/>
      <c r="O5" s="369">
        <v>0.8</v>
      </c>
      <c r="P5" s="154"/>
      <c r="Q5" s="35"/>
      <c r="R5" s="327">
        <v>1</v>
      </c>
      <c r="S5" s="328"/>
      <c r="T5" s="328">
        <f>R5*O5</f>
        <v>0.8</v>
      </c>
      <c r="U5" s="334"/>
      <c r="W5" s="43" t="s">
        <v>126</v>
      </c>
      <c r="X5" s="42">
        <v>661</v>
      </c>
    </row>
    <row r="6" spans="2:24">
      <c r="B6" s="463"/>
      <c r="C6" s="461"/>
      <c r="D6" s="36" t="s">
        <v>197</v>
      </c>
      <c r="E6" s="350" t="s">
        <v>256</v>
      </c>
      <c r="F6" s="28"/>
      <c r="G6" s="495"/>
      <c r="H6" s="28"/>
      <c r="I6" s="28"/>
      <c r="J6" s="149"/>
      <c r="K6" s="157"/>
      <c r="L6" s="158"/>
      <c r="M6" s="159"/>
      <c r="N6" s="157"/>
      <c r="O6" s="158"/>
      <c r="P6" s="159"/>
      <c r="Q6" s="279"/>
      <c r="R6" s="155">
        <v>1</v>
      </c>
      <c r="S6" s="156"/>
      <c r="T6" s="156">
        <f t="shared" ref="T6:T14" si="0">R6*O6</f>
        <v>0</v>
      </c>
      <c r="U6" s="47"/>
      <c r="W6" s="43" t="s">
        <v>0</v>
      </c>
      <c r="X6" s="42">
        <f>parameter!C10</f>
        <v>3654.1161779686181</v>
      </c>
    </row>
    <row r="7" spans="2:24" ht="15" thickBot="1">
      <c r="B7" s="494"/>
      <c r="C7" s="500" t="s">
        <v>188</v>
      </c>
      <c r="D7" s="140" t="s">
        <v>106</v>
      </c>
      <c r="E7" s="121" t="s">
        <v>207</v>
      </c>
      <c r="F7" s="121"/>
      <c r="G7" s="121" t="s">
        <v>199</v>
      </c>
      <c r="H7" s="132"/>
      <c r="I7" s="121"/>
      <c r="J7" s="133"/>
      <c r="K7" s="233"/>
      <c r="L7" s="234"/>
      <c r="M7" s="235"/>
      <c r="N7" s="160"/>
      <c r="O7" s="161"/>
      <c r="P7" s="162"/>
      <c r="Q7" s="279"/>
      <c r="R7" s="330">
        <v>1</v>
      </c>
      <c r="S7" s="331"/>
      <c r="T7" s="332">
        <f t="shared" si="0"/>
        <v>0</v>
      </c>
      <c r="U7" s="335"/>
      <c r="W7" s="43" t="s">
        <v>25</v>
      </c>
      <c r="X7" s="42">
        <f>parameter!C11</f>
        <v>2022.8687108268114</v>
      </c>
    </row>
    <row r="8" spans="2:24" ht="15">
      <c r="B8" s="462" t="s">
        <v>184</v>
      </c>
      <c r="C8" s="501"/>
      <c r="D8" s="351" t="s">
        <v>257</v>
      </c>
      <c r="E8" s="120" t="s">
        <v>210</v>
      </c>
      <c r="F8" s="120"/>
      <c r="G8" s="120" t="s">
        <v>208</v>
      </c>
      <c r="H8" s="459" t="s">
        <v>191</v>
      </c>
      <c r="I8" s="128"/>
      <c r="J8" s="229">
        <v>3.3</v>
      </c>
      <c r="K8" s="193"/>
      <c r="L8" s="164">
        <v>9.3000000000000005E-4</v>
      </c>
      <c r="M8" s="165"/>
      <c r="N8" s="163"/>
      <c r="O8" s="166">
        <f>J8*L8</f>
        <v>3.0690000000000001E-3</v>
      </c>
      <c r="P8" s="167"/>
      <c r="Q8" s="35"/>
      <c r="R8" s="280">
        <v>1</v>
      </c>
      <c r="S8" s="326"/>
      <c r="T8" s="326">
        <f t="shared" si="0"/>
        <v>3.0690000000000001E-3</v>
      </c>
      <c r="U8" s="281"/>
      <c r="W8" s="43" t="s">
        <v>125</v>
      </c>
      <c r="X8" s="42">
        <v>0.3</v>
      </c>
    </row>
    <row r="9" spans="2:24" ht="15">
      <c r="B9" s="463"/>
      <c r="C9" s="460" t="s">
        <v>189</v>
      </c>
      <c r="D9" s="352" t="s">
        <v>209</v>
      </c>
      <c r="E9" s="120" t="s">
        <v>210</v>
      </c>
      <c r="F9" s="353" t="s">
        <v>258</v>
      </c>
      <c r="G9" s="412" t="s">
        <v>211</v>
      </c>
      <c r="H9" s="414"/>
      <c r="I9" s="29"/>
      <c r="J9" s="150">
        <v>3.3</v>
      </c>
      <c r="K9" s="171"/>
      <c r="L9" s="172">
        <f>O9/J9</f>
        <v>1.5151515151515154E-3</v>
      </c>
      <c r="M9" s="173"/>
      <c r="N9" s="163"/>
      <c r="O9" s="354">
        <v>5.0000000000000001E-3</v>
      </c>
      <c r="P9" s="170"/>
      <c r="Q9" s="35"/>
      <c r="R9" s="168">
        <v>1</v>
      </c>
      <c r="S9" s="169"/>
      <c r="T9" s="326">
        <f t="shared" si="0"/>
        <v>5.0000000000000001E-3</v>
      </c>
      <c r="U9" s="48"/>
      <c r="W9" s="43" t="s">
        <v>54</v>
      </c>
      <c r="X9" s="42">
        <v>0.6</v>
      </c>
    </row>
    <row r="10" spans="2:24" ht="15">
      <c r="B10" s="463"/>
      <c r="C10" s="455"/>
      <c r="D10" s="134" t="s">
        <v>200</v>
      </c>
      <c r="E10" s="30" t="s">
        <v>16</v>
      </c>
      <c r="F10" s="237"/>
      <c r="G10" s="414"/>
      <c r="H10" s="414"/>
      <c r="I10" s="30"/>
      <c r="J10" s="230">
        <v>3.3</v>
      </c>
      <c r="K10" s="171"/>
      <c r="L10" s="172">
        <f t="shared" ref="L10:L14" si="1">O10/J10</f>
        <v>3.6363636363636362E-2</v>
      </c>
      <c r="M10" s="173">
        <f t="shared" ref="M10:M13" si="2">P10/J10</f>
        <v>6.0606060606060615E-2</v>
      </c>
      <c r="N10" s="171"/>
      <c r="O10" s="174">
        <v>0.12</v>
      </c>
      <c r="P10" s="170">
        <v>0.2</v>
      </c>
      <c r="Q10" s="35"/>
      <c r="R10" s="168">
        <v>1</v>
      </c>
      <c r="S10" s="169"/>
      <c r="T10" s="169">
        <f t="shared" si="0"/>
        <v>0.12</v>
      </c>
      <c r="U10" s="48"/>
      <c r="W10" s="43" t="s">
        <v>29</v>
      </c>
      <c r="X10" s="42">
        <v>0.8</v>
      </c>
    </row>
    <row r="11" spans="2:24" ht="15">
      <c r="B11" s="463"/>
      <c r="C11" s="455"/>
      <c r="D11" s="147" t="s">
        <v>203</v>
      </c>
      <c r="E11" s="31" t="s">
        <v>83</v>
      </c>
      <c r="F11" s="30"/>
      <c r="G11" s="414"/>
      <c r="H11" s="414"/>
      <c r="I11" s="30"/>
      <c r="J11" s="230">
        <v>3.3</v>
      </c>
      <c r="K11" s="171"/>
      <c r="L11" s="172">
        <f t="shared" si="1"/>
        <v>6.0606060606060615E-2</v>
      </c>
      <c r="M11" s="173">
        <f t="shared" si="2"/>
        <v>0.12121212121212123</v>
      </c>
      <c r="N11" s="171"/>
      <c r="O11" s="174">
        <v>0.2</v>
      </c>
      <c r="P11" s="170">
        <v>0.4</v>
      </c>
      <c r="Q11" s="35"/>
      <c r="R11" s="168">
        <v>1</v>
      </c>
      <c r="S11" s="169"/>
      <c r="T11" s="169">
        <f t="shared" si="0"/>
        <v>0.2</v>
      </c>
      <c r="U11" s="48"/>
      <c r="W11" s="43" t="s">
        <v>56</v>
      </c>
      <c r="X11" s="42">
        <v>0.8</v>
      </c>
    </row>
    <row r="12" spans="2:24" ht="15">
      <c r="B12" s="463"/>
      <c r="C12" s="455"/>
      <c r="D12" s="489"/>
      <c r="E12" s="412" t="s">
        <v>12</v>
      </c>
      <c r="F12" s="30"/>
      <c r="G12" s="414"/>
      <c r="H12" s="414"/>
      <c r="I12" s="30" t="s">
        <v>266</v>
      </c>
      <c r="J12" s="230">
        <v>3.3</v>
      </c>
      <c r="K12" s="171"/>
      <c r="L12" s="172">
        <f t="shared" si="1"/>
        <v>6.0606060606060615E-2</v>
      </c>
      <c r="M12" s="173"/>
      <c r="N12" s="171"/>
      <c r="O12" s="174">
        <v>0.2</v>
      </c>
      <c r="P12" s="173"/>
      <c r="Q12" s="35"/>
      <c r="R12" s="168">
        <f>100%-R13</f>
        <v>1</v>
      </c>
      <c r="S12" s="169"/>
      <c r="T12" s="169">
        <f t="shared" si="0"/>
        <v>0.2</v>
      </c>
      <c r="U12" s="48"/>
      <c r="W12" s="43" t="s">
        <v>80</v>
      </c>
      <c r="X12" s="42">
        <v>0.2</v>
      </c>
    </row>
    <row r="13" spans="2:24" ht="15">
      <c r="B13" s="463"/>
      <c r="C13" s="455"/>
      <c r="D13" s="490"/>
      <c r="E13" s="413"/>
      <c r="F13" s="355" t="s">
        <v>216</v>
      </c>
      <c r="G13" s="414"/>
      <c r="H13" s="414"/>
      <c r="I13" s="355" t="s">
        <v>259</v>
      </c>
      <c r="J13" s="230">
        <v>3.3</v>
      </c>
      <c r="K13" s="171"/>
      <c r="L13" s="172">
        <f t="shared" si="1"/>
        <v>8.6363636363636365E-2</v>
      </c>
      <c r="M13" s="173">
        <f t="shared" si="2"/>
        <v>0.13333333333333333</v>
      </c>
      <c r="N13" s="268"/>
      <c r="O13" s="174">
        <v>0.28499999999999998</v>
      </c>
      <c r="P13" s="239">
        <v>0.44</v>
      </c>
      <c r="Q13" s="35"/>
      <c r="R13" s="168">
        <f>R16</f>
        <v>0</v>
      </c>
      <c r="S13" s="169"/>
      <c r="T13" s="169"/>
      <c r="U13" s="48"/>
      <c r="W13" s="43" t="s">
        <v>118</v>
      </c>
      <c r="X13" s="42">
        <v>0.9</v>
      </c>
    </row>
    <row r="14" spans="2:24" ht="15.75" thickBot="1">
      <c r="B14" s="463"/>
      <c r="C14" s="455"/>
      <c r="D14" s="489" t="s">
        <v>204</v>
      </c>
      <c r="E14" s="412" t="s">
        <v>31</v>
      </c>
      <c r="F14" s="30" t="s">
        <v>217</v>
      </c>
      <c r="G14" s="414"/>
      <c r="H14" s="414"/>
      <c r="I14" s="30" t="s">
        <v>266</v>
      </c>
      <c r="J14" s="230">
        <v>3.3</v>
      </c>
      <c r="K14" s="171"/>
      <c r="L14" s="172">
        <f t="shared" si="1"/>
        <v>1.0606060606060608E-2</v>
      </c>
      <c r="M14" s="173"/>
      <c r="N14" s="175"/>
      <c r="O14" s="174">
        <v>3.5000000000000003E-2</v>
      </c>
      <c r="P14" s="176"/>
      <c r="Q14" s="35"/>
      <c r="R14" s="168">
        <v>1</v>
      </c>
      <c r="S14" s="169"/>
      <c r="T14" s="169">
        <f t="shared" si="0"/>
        <v>3.5000000000000003E-2</v>
      </c>
      <c r="U14" s="48"/>
      <c r="W14" s="142" t="s">
        <v>141</v>
      </c>
      <c r="X14" s="44">
        <v>0.4</v>
      </c>
    </row>
    <row r="15" spans="2:24" ht="15">
      <c r="B15" s="463"/>
      <c r="C15" s="455"/>
      <c r="D15" s="490"/>
      <c r="E15" s="413"/>
      <c r="F15" s="286" t="s">
        <v>218</v>
      </c>
      <c r="G15" s="360" t="s">
        <v>211</v>
      </c>
      <c r="H15" s="360" t="s">
        <v>261</v>
      </c>
      <c r="I15" s="286" t="s">
        <v>250</v>
      </c>
      <c r="J15" s="365">
        <v>8</v>
      </c>
      <c r="K15" s="356"/>
      <c r="L15" s="364">
        <v>0.62</v>
      </c>
      <c r="M15" s="357"/>
      <c r="N15" s="358"/>
      <c r="O15" s="361">
        <f>J15*L15</f>
        <v>4.96</v>
      </c>
      <c r="P15" s="359"/>
      <c r="Q15" s="35"/>
      <c r="R15" s="370"/>
      <c r="S15" s="371"/>
      <c r="T15" s="371"/>
      <c r="U15" s="372"/>
    </row>
    <row r="16" spans="2:24" ht="15.75" customHeight="1">
      <c r="B16" s="463"/>
      <c r="C16" s="455"/>
      <c r="D16" s="491" t="s">
        <v>205</v>
      </c>
      <c r="E16" s="465" t="s">
        <v>212</v>
      </c>
      <c r="F16" s="502"/>
      <c r="G16" s="465" t="s">
        <v>211</v>
      </c>
      <c r="H16" s="466" t="s">
        <v>260</v>
      </c>
      <c r="I16" s="465"/>
      <c r="J16" s="486">
        <v>8.26</v>
      </c>
      <c r="K16" s="477">
        <f>0.065*3/J16</f>
        <v>2.3607748184019371E-2</v>
      </c>
      <c r="L16" s="478">
        <f>0.19*3/J16</f>
        <v>6.9007263922518172E-2</v>
      </c>
      <c r="M16" s="481">
        <f>2.3*3/J16</f>
        <v>0.83535108958837767</v>
      </c>
      <c r="N16" s="482">
        <v>6.5000000000000002E-2</v>
      </c>
      <c r="O16" s="483">
        <v>0.19</v>
      </c>
      <c r="P16" s="484">
        <v>2.2999999999999998</v>
      </c>
      <c r="Q16" s="35"/>
      <c r="R16" s="426">
        <v>0</v>
      </c>
      <c r="S16" s="429"/>
      <c r="T16" s="432">
        <f>O16*R16</f>
        <v>0</v>
      </c>
      <c r="U16" s="435"/>
    </row>
    <row r="17" spans="2:21" ht="14.25" customHeight="1">
      <c r="B17" s="463"/>
      <c r="C17" s="455"/>
      <c r="D17" s="492"/>
      <c r="E17" s="466"/>
      <c r="F17" s="503"/>
      <c r="G17" s="466"/>
      <c r="H17" s="466"/>
      <c r="I17" s="466"/>
      <c r="J17" s="487"/>
      <c r="K17" s="477"/>
      <c r="L17" s="479"/>
      <c r="M17" s="481"/>
      <c r="N17" s="482"/>
      <c r="O17" s="483"/>
      <c r="P17" s="484"/>
      <c r="Q17" s="35"/>
      <c r="R17" s="427"/>
      <c r="S17" s="430"/>
      <c r="T17" s="433"/>
      <c r="U17" s="436"/>
    </row>
    <row r="18" spans="2:21" ht="14.25" customHeight="1">
      <c r="B18" s="463"/>
      <c r="C18" s="455"/>
      <c r="D18" s="493"/>
      <c r="E18" s="467"/>
      <c r="F18" s="504"/>
      <c r="G18" s="467"/>
      <c r="H18" s="467"/>
      <c r="I18" s="467"/>
      <c r="J18" s="488"/>
      <c r="K18" s="477"/>
      <c r="L18" s="480"/>
      <c r="M18" s="481"/>
      <c r="N18" s="482"/>
      <c r="O18" s="483"/>
      <c r="P18" s="484"/>
      <c r="Q18" s="35"/>
      <c r="R18" s="428"/>
      <c r="S18" s="431"/>
      <c r="T18" s="434"/>
      <c r="U18" s="437"/>
    </row>
    <row r="19" spans="2:21" ht="15">
      <c r="B19" s="463"/>
      <c r="C19" s="455"/>
      <c r="D19" s="451" t="s">
        <v>201</v>
      </c>
      <c r="E19" s="34" t="s">
        <v>194</v>
      </c>
      <c r="F19" s="362" t="s">
        <v>263</v>
      </c>
      <c r="G19" s="449" t="s">
        <v>211</v>
      </c>
      <c r="H19" s="448" t="s">
        <v>192</v>
      </c>
      <c r="I19" s="138"/>
      <c r="J19" s="231">
        <v>5</v>
      </c>
      <c r="K19" s="223"/>
      <c r="L19" s="224">
        <f>0.07*2</f>
        <v>0.14000000000000001</v>
      </c>
      <c r="M19" s="236">
        <f>0.167*2</f>
        <v>0.33400000000000002</v>
      </c>
      <c r="N19" s="177"/>
      <c r="O19" s="178">
        <f>L19*J19</f>
        <v>0.70000000000000007</v>
      </c>
      <c r="P19" s="179">
        <f>M19*J19</f>
        <v>1.6700000000000002</v>
      </c>
      <c r="Q19" s="35"/>
      <c r="R19" s="180">
        <v>0</v>
      </c>
      <c r="S19" s="181"/>
      <c r="T19" s="181">
        <f>R19*O19</f>
        <v>0</v>
      </c>
      <c r="U19" s="49"/>
    </row>
    <row r="20" spans="2:21" ht="15">
      <c r="B20" s="463"/>
      <c r="C20" s="461"/>
      <c r="D20" s="485"/>
      <c r="E20" s="34" t="s">
        <v>195</v>
      </c>
      <c r="F20" s="363" t="s">
        <v>262</v>
      </c>
      <c r="G20" s="468"/>
      <c r="H20" s="468"/>
      <c r="I20" s="34"/>
      <c r="J20" s="139">
        <v>5</v>
      </c>
      <c r="K20" s="223"/>
      <c r="L20" s="224">
        <v>6.4000000000000001E-2</v>
      </c>
      <c r="M20" s="226"/>
      <c r="N20" s="223"/>
      <c r="O20" s="227">
        <f>L20*J20</f>
        <v>0.32</v>
      </c>
      <c r="P20" s="226"/>
      <c r="Q20" s="35"/>
      <c r="R20" s="180">
        <v>0</v>
      </c>
      <c r="S20" s="336"/>
      <c r="T20" s="262">
        <f>R20*O20</f>
        <v>0</v>
      </c>
      <c r="U20" s="255"/>
    </row>
    <row r="21" spans="2:21" ht="15">
      <c r="B21" s="463"/>
      <c r="C21" s="460"/>
      <c r="D21" s="145" t="s">
        <v>235</v>
      </c>
      <c r="E21" s="120" t="s">
        <v>48</v>
      </c>
      <c r="F21" s="120" t="s">
        <v>236</v>
      </c>
      <c r="G21" s="120" t="s">
        <v>214</v>
      </c>
      <c r="H21" s="120" t="s">
        <v>191</v>
      </c>
      <c r="I21" s="120"/>
      <c r="J21" s="232">
        <v>3.3</v>
      </c>
      <c r="K21" s="171"/>
      <c r="L21" s="172">
        <f>O21/J21</f>
        <v>3.6363636363636368E-3</v>
      </c>
      <c r="M21" s="173"/>
      <c r="N21" s="163"/>
      <c r="O21" s="166">
        <v>1.2E-2</v>
      </c>
      <c r="P21" s="225"/>
      <c r="Q21" s="35"/>
      <c r="R21" s="280">
        <v>1</v>
      </c>
      <c r="S21" s="326"/>
      <c r="T21" s="326">
        <f>R21*O21</f>
        <v>1.2E-2</v>
      </c>
      <c r="U21" s="48"/>
    </row>
    <row r="22" spans="2:21" ht="15.75" thickBot="1">
      <c r="B22" s="464"/>
      <c r="C22" s="456"/>
      <c r="D22" s="146" t="s">
        <v>198</v>
      </c>
      <c r="E22" s="129" t="s">
        <v>47</v>
      </c>
      <c r="F22" s="245"/>
      <c r="G22" s="129" t="s">
        <v>213</v>
      </c>
      <c r="H22" s="129" t="s">
        <v>193</v>
      </c>
      <c r="I22" s="129"/>
      <c r="J22" s="144">
        <v>3.3</v>
      </c>
      <c r="K22" s="188"/>
      <c r="L22" s="189">
        <f>O22/J22</f>
        <v>0.39393939393939398</v>
      </c>
      <c r="M22" s="190"/>
      <c r="N22" s="188"/>
      <c r="O22" s="366">
        <v>1.3</v>
      </c>
      <c r="P22" s="190"/>
      <c r="Q22" s="35"/>
      <c r="R22" s="191">
        <v>0</v>
      </c>
      <c r="S22" s="192"/>
      <c r="T22" s="192">
        <f>R22*O22</f>
        <v>0</v>
      </c>
      <c r="U22" s="143"/>
    </row>
    <row r="23" spans="2:21" ht="15.75" thickBot="1">
      <c r="B23" s="122" t="s">
        <v>14</v>
      </c>
      <c r="C23" s="51"/>
      <c r="D23" s="136" t="s">
        <v>223</v>
      </c>
      <c r="E23" s="123" t="s">
        <v>224</v>
      </c>
      <c r="F23" s="123"/>
      <c r="G23" s="123" t="s">
        <v>219</v>
      </c>
      <c r="H23" s="123" t="s">
        <v>191</v>
      </c>
      <c r="I23" s="123"/>
      <c r="J23" s="123">
        <v>3.3</v>
      </c>
      <c r="K23" s="199"/>
      <c r="L23" s="200">
        <f>0.13</f>
        <v>0.13</v>
      </c>
      <c r="M23" s="201"/>
      <c r="N23" s="199"/>
      <c r="O23" s="202">
        <f>L23*J23</f>
        <v>0.42899999999999999</v>
      </c>
      <c r="P23" s="201"/>
      <c r="Q23" s="35"/>
      <c r="R23" s="337">
        <v>1</v>
      </c>
      <c r="S23" s="338"/>
      <c r="T23" s="338">
        <f t="shared" ref="T23" si="3">R23*O23</f>
        <v>0.42899999999999999</v>
      </c>
      <c r="U23" s="339"/>
    </row>
    <row r="24" spans="2:21" ht="15" customHeight="1">
      <c r="B24" s="462" t="s">
        <v>34</v>
      </c>
      <c r="C24" s="454"/>
      <c r="D24" s="469" t="s">
        <v>225</v>
      </c>
      <c r="E24" s="459" t="s">
        <v>226</v>
      </c>
      <c r="F24" s="282"/>
      <c r="G24" s="459" t="s">
        <v>220</v>
      </c>
      <c r="H24" s="459" t="s">
        <v>191</v>
      </c>
      <c r="I24" s="128" t="s">
        <v>237</v>
      </c>
      <c r="J24" s="127">
        <v>3.3</v>
      </c>
      <c r="K24" s="193"/>
      <c r="L24" s="194">
        <v>1.2999999999999999E-2</v>
      </c>
      <c r="M24" s="249"/>
      <c r="N24" s="193"/>
      <c r="O24" s="367">
        <f>L24*J24</f>
        <v>4.2899999999999994E-2</v>
      </c>
      <c r="P24" s="249"/>
      <c r="Q24" s="278"/>
      <c r="R24" s="280">
        <v>1</v>
      </c>
      <c r="S24" s="326"/>
      <c r="T24" s="326">
        <f t="shared" ref="T24" si="4">R24*O24</f>
        <v>4.2899999999999994E-2</v>
      </c>
      <c r="U24" s="281"/>
    </row>
    <row r="25" spans="2:21" ht="15">
      <c r="B25" s="463"/>
      <c r="C25" s="455"/>
      <c r="D25" s="458"/>
      <c r="E25" s="414"/>
      <c r="F25" s="150" t="s">
        <v>241</v>
      </c>
      <c r="G25" s="414"/>
      <c r="H25" s="414"/>
      <c r="I25" s="30" t="s">
        <v>238</v>
      </c>
      <c r="J25" s="31">
        <v>3.3</v>
      </c>
      <c r="K25" s="248"/>
      <c r="L25" s="174">
        <v>1.0999999999999999E-2</v>
      </c>
      <c r="M25" s="250"/>
      <c r="N25" s="248"/>
      <c r="O25" s="247">
        <f t="shared" ref="O25:O26" si="5">L25*J25</f>
        <v>3.6299999999999999E-2</v>
      </c>
      <c r="P25" s="173"/>
      <c r="Q25" s="278"/>
      <c r="R25" s="168"/>
      <c r="S25" s="169"/>
      <c r="T25" s="169"/>
      <c r="U25" s="48"/>
    </row>
    <row r="26" spans="2:21" ht="15">
      <c r="B26" s="463"/>
      <c r="C26" s="455"/>
      <c r="D26" s="470"/>
      <c r="E26" s="413"/>
      <c r="F26" s="230" t="s">
        <v>240</v>
      </c>
      <c r="G26" s="413"/>
      <c r="H26" s="414"/>
      <c r="I26" s="29" t="s">
        <v>239</v>
      </c>
      <c r="J26" s="30">
        <v>3.3</v>
      </c>
      <c r="K26" s="171"/>
      <c r="L26" s="242">
        <v>0.55000000000000004</v>
      </c>
      <c r="M26" s="173"/>
      <c r="N26" s="171"/>
      <c r="O26" s="172">
        <f t="shared" si="5"/>
        <v>1.8149999999999999</v>
      </c>
      <c r="P26" s="225"/>
      <c r="Q26" s="278"/>
      <c r="R26" s="168"/>
      <c r="S26" s="169"/>
      <c r="T26" s="169"/>
      <c r="U26" s="48"/>
    </row>
    <row r="27" spans="2:21" ht="15">
      <c r="B27" s="463"/>
      <c r="C27" s="455"/>
      <c r="D27" s="457" t="s">
        <v>52</v>
      </c>
      <c r="E27" s="412" t="s">
        <v>221</v>
      </c>
      <c r="F27" s="230"/>
      <c r="G27" s="412" t="s">
        <v>208</v>
      </c>
      <c r="H27" s="414"/>
      <c r="I27" s="30" t="s">
        <v>90</v>
      </c>
      <c r="J27" s="30">
        <v>3.3</v>
      </c>
      <c r="K27" s="195">
        <v>4.4999999999999998E-2</v>
      </c>
      <c r="L27" s="174">
        <v>5.5000000000000007E-2</v>
      </c>
      <c r="M27" s="170">
        <v>0.12</v>
      </c>
      <c r="N27" s="171">
        <f>J27*K27</f>
        <v>0.14849999999999999</v>
      </c>
      <c r="O27" s="172">
        <f>L27*J27</f>
        <v>0.18150000000000002</v>
      </c>
      <c r="P27" s="173">
        <f>M27*J27</f>
        <v>0.39599999999999996</v>
      </c>
      <c r="Q27" s="35"/>
      <c r="R27" s="168">
        <v>1</v>
      </c>
      <c r="S27" s="169"/>
      <c r="T27" s="169">
        <f>R27*O27</f>
        <v>0.18150000000000002</v>
      </c>
      <c r="U27" s="48"/>
    </row>
    <row r="28" spans="2:21" ht="15" customHeight="1">
      <c r="B28" s="463"/>
      <c r="C28" s="455"/>
      <c r="D28" s="458"/>
      <c r="E28" s="414"/>
      <c r="F28" s="232" t="s">
        <v>265</v>
      </c>
      <c r="G28" s="414"/>
      <c r="H28" s="414"/>
      <c r="I28" s="412" t="s">
        <v>87</v>
      </c>
      <c r="J28" s="412">
        <v>3.3</v>
      </c>
      <c r="K28" s="410">
        <v>0.6</v>
      </c>
      <c r="L28" s="438">
        <v>0.8</v>
      </c>
      <c r="M28" s="440">
        <v>1</v>
      </c>
      <c r="N28" s="442">
        <f>J28*K28</f>
        <v>1.9799999999999998</v>
      </c>
      <c r="O28" s="444">
        <f>L28*J28</f>
        <v>2.64</v>
      </c>
      <c r="P28" s="446">
        <f>M28*J28</f>
        <v>3.3</v>
      </c>
      <c r="Q28" s="35"/>
      <c r="R28" s="418">
        <f>100%-R27</f>
        <v>0</v>
      </c>
      <c r="S28" s="422"/>
      <c r="T28" s="420">
        <f>R28*O28</f>
        <v>0</v>
      </c>
      <c r="U28" s="424"/>
    </row>
    <row r="29" spans="2:21" ht="14.25" customHeight="1">
      <c r="B29" s="463"/>
      <c r="C29" s="455"/>
      <c r="D29" s="458"/>
      <c r="E29" s="414"/>
      <c r="F29" s="277" t="s">
        <v>244</v>
      </c>
      <c r="G29" s="413"/>
      <c r="H29" s="413"/>
      <c r="I29" s="413"/>
      <c r="J29" s="414"/>
      <c r="K29" s="411"/>
      <c r="L29" s="439"/>
      <c r="M29" s="441"/>
      <c r="N29" s="443"/>
      <c r="O29" s="445"/>
      <c r="P29" s="447"/>
      <c r="Q29" s="35"/>
      <c r="R29" s="419"/>
      <c r="S29" s="423"/>
      <c r="T29" s="421"/>
      <c r="U29" s="425"/>
    </row>
    <row r="30" spans="2:21">
      <c r="B30" s="463"/>
      <c r="C30" s="455"/>
      <c r="D30" s="240" t="s">
        <v>227</v>
      </c>
      <c r="E30" s="34" t="s">
        <v>229</v>
      </c>
      <c r="F30" s="139"/>
      <c r="G30" s="448" t="s">
        <v>206</v>
      </c>
      <c r="H30" s="448" t="s">
        <v>192</v>
      </c>
      <c r="I30" s="32"/>
      <c r="J30" s="34">
        <v>5</v>
      </c>
      <c r="K30" s="269"/>
      <c r="L30" s="252">
        <v>0</v>
      </c>
      <c r="M30" s="226"/>
      <c r="N30" s="269"/>
      <c r="O30" s="241">
        <v>0</v>
      </c>
      <c r="P30" s="251"/>
      <c r="R30" s="261">
        <v>0</v>
      </c>
      <c r="S30" s="238"/>
      <c r="T30" s="262">
        <f>R30*O30</f>
        <v>0</v>
      </c>
      <c r="U30" s="135"/>
    </row>
    <row r="31" spans="2:21" ht="15">
      <c r="B31" s="463"/>
      <c r="C31" s="455"/>
      <c r="D31" s="451" t="s">
        <v>228</v>
      </c>
      <c r="E31" s="448" t="s">
        <v>222</v>
      </c>
      <c r="F31" s="257"/>
      <c r="G31" s="449"/>
      <c r="H31" s="449"/>
      <c r="I31" s="34" t="s">
        <v>245</v>
      </c>
      <c r="J31" s="34">
        <v>5</v>
      </c>
      <c r="K31" s="223"/>
      <c r="L31" s="227">
        <f>O31/5</f>
        <v>0.122</v>
      </c>
      <c r="M31" s="226"/>
      <c r="N31" s="256"/>
      <c r="O31" s="224">
        <v>0.61</v>
      </c>
      <c r="P31" s="236"/>
      <c r="Q31" s="35"/>
      <c r="R31" s="253">
        <v>0</v>
      </c>
      <c r="S31" s="254"/>
      <c r="T31" s="254">
        <f>R31*O31</f>
        <v>0</v>
      </c>
      <c r="U31" s="255"/>
    </row>
    <row r="32" spans="2:21" ht="15">
      <c r="B32" s="463"/>
      <c r="C32" s="455"/>
      <c r="D32" s="452"/>
      <c r="E32" s="449"/>
      <c r="F32" s="257"/>
      <c r="G32" s="449"/>
      <c r="H32" s="449"/>
      <c r="I32" s="34" t="s">
        <v>242</v>
      </c>
      <c r="J32" s="34">
        <v>5</v>
      </c>
      <c r="K32" s="223"/>
      <c r="L32" s="227">
        <f>O32/5</f>
        <v>0.54</v>
      </c>
      <c r="M32" s="226"/>
      <c r="N32" s="256"/>
      <c r="O32" s="224">
        <v>2.7</v>
      </c>
      <c r="P32" s="236"/>
      <c r="Q32" s="35"/>
      <c r="R32" s="253">
        <v>0</v>
      </c>
      <c r="S32" s="254"/>
      <c r="T32" s="254">
        <f t="shared" ref="T32:T33" si="6">R32*O32</f>
        <v>0</v>
      </c>
      <c r="U32" s="255"/>
    </row>
    <row r="33" spans="2:22" ht="15.75" thickBot="1">
      <c r="B33" s="464"/>
      <c r="C33" s="456"/>
      <c r="D33" s="453"/>
      <c r="E33" s="450"/>
      <c r="F33" s="258"/>
      <c r="G33" s="450"/>
      <c r="H33" s="450"/>
      <c r="I33" s="33" t="s">
        <v>243</v>
      </c>
      <c r="J33" s="33">
        <v>5</v>
      </c>
      <c r="K33" s="182"/>
      <c r="L33" s="185">
        <f>O33/5</f>
        <v>0.91999999999999993</v>
      </c>
      <c r="M33" s="184">
        <f>P33/5</f>
        <v>1</v>
      </c>
      <c r="N33" s="196"/>
      <c r="O33" s="183">
        <v>4.5999999999999996</v>
      </c>
      <c r="P33" s="197">
        <v>5</v>
      </c>
      <c r="Q33" s="35"/>
      <c r="R33" s="186">
        <v>0</v>
      </c>
      <c r="S33" s="187"/>
      <c r="T33" s="267">
        <f t="shared" si="6"/>
        <v>0</v>
      </c>
      <c r="U33" s="61"/>
    </row>
    <row r="34" spans="2:22">
      <c r="B34" s="462" t="s">
        <v>53</v>
      </c>
      <c r="C34" s="141" t="s">
        <v>53</v>
      </c>
      <c r="D34" s="272" t="s">
        <v>246</v>
      </c>
      <c r="E34" s="124" t="s">
        <v>234</v>
      </c>
      <c r="F34" s="124"/>
      <c r="G34" s="124" t="s">
        <v>231</v>
      </c>
      <c r="H34" s="124" t="s">
        <v>186</v>
      </c>
      <c r="I34" s="124"/>
      <c r="J34" s="124">
        <v>5</v>
      </c>
      <c r="K34" s="203"/>
      <c r="L34" s="204">
        <f>O34/J34</f>
        <v>0.2</v>
      </c>
      <c r="M34" s="205"/>
      <c r="N34" s="203"/>
      <c r="O34" s="204">
        <v>1</v>
      </c>
      <c r="P34" s="205"/>
      <c r="Q34" s="46"/>
      <c r="R34" s="206">
        <v>0</v>
      </c>
      <c r="S34" s="207"/>
      <c r="T34" s="208">
        <f>R34*O34</f>
        <v>0</v>
      </c>
      <c r="U34" s="66"/>
    </row>
    <row r="35" spans="2:22">
      <c r="B35" s="463"/>
      <c r="C35" s="460" t="s">
        <v>15</v>
      </c>
      <c r="D35" s="273" t="s">
        <v>247</v>
      </c>
      <c r="E35" s="64" t="s">
        <v>233</v>
      </c>
      <c r="F35" s="64"/>
      <c r="G35" s="64" t="s">
        <v>230</v>
      </c>
      <c r="H35" s="64" t="s">
        <v>187</v>
      </c>
      <c r="I35" s="57"/>
      <c r="J35" s="57">
        <v>5</v>
      </c>
      <c r="K35" s="209"/>
      <c r="L35" s="210">
        <f>O35/J35</f>
        <v>0.2</v>
      </c>
      <c r="M35" s="211"/>
      <c r="N35" s="209"/>
      <c r="O35" s="210">
        <v>1</v>
      </c>
      <c r="P35" s="211"/>
      <c r="Q35" s="46"/>
      <c r="R35" s="212">
        <v>0</v>
      </c>
      <c r="S35" s="213"/>
      <c r="T35" s="214">
        <f>R35*O35</f>
        <v>0</v>
      </c>
      <c r="U35" s="58"/>
    </row>
    <row r="36" spans="2:22">
      <c r="B36" s="463"/>
      <c r="C36" s="461"/>
      <c r="D36" s="274" t="s">
        <v>247</v>
      </c>
      <c r="E36" s="63" t="s">
        <v>233</v>
      </c>
      <c r="F36" s="63"/>
      <c r="G36" s="63" t="s">
        <v>230</v>
      </c>
      <c r="H36" s="63" t="s">
        <v>51</v>
      </c>
      <c r="I36" s="55"/>
      <c r="J36" s="55">
        <v>3.3</v>
      </c>
      <c r="K36" s="270"/>
      <c r="L36" s="215"/>
      <c r="M36" s="271">
        <f>P36/J36</f>
        <v>0.60606060606060608</v>
      </c>
      <c r="N36" s="270"/>
      <c r="O36" s="215"/>
      <c r="P36" s="216">
        <v>2</v>
      </c>
      <c r="R36" s="217">
        <v>0</v>
      </c>
      <c r="S36" s="56"/>
      <c r="T36" s="218">
        <f>R36*O36</f>
        <v>0</v>
      </c>
      <c r="U36" s="59"/>
    </row>
    <row r="37" spans="2:22" ht="15.75" thickBot="1">
      <c r="B37" s="464"/>
      <c r="C37" s="275" t="s">
        <v>13</v>
      </c>
      <c r="D37" s="276" t="s">
        <v>248</v>
      </c>
      <c r="E37" s="126" t="s">
        <v>232</v>
      </c>
      <c r="F37" s="126" t="s">
        <v>264</v>
      </c>
      <c r="G37" s="126" t="s">
        <v>208</v>
      </c>
      <c r="H37" s="126" t="s">
        <v>60</v>
      </c>
      <c r="I37" s="125"/>
      <c r="J37" s="125">
        <v>3.3</v>
      </c>
      <c r="K37" s="219">
        <f>N37/J37</f>
        <v>0.11515151515151516</v>
      </c>
      <c r="L37" s="220">
        <f>O37/J37</f>
        <v>0.24242424242424246</v>
      </c>
      <c r="M37" s="221">
        <f>P37/J37</f>
        <v>0.54545454545454553</v>
      </c>
      <c r="N37" s="259">
        <v>0.38</v>
      </c>
      <c r="O37" s="222">
        <v>0.8</v>
      </c>
      <c r="P37" s="260">
        <v>1.8</v>
      </c>
      <c r="Q37" s="46"/>
      <c r="R37" s="263">
        <v>0</v>
      </c>
      <c r="S37" s="264"/>
      <c r="T37" s="265">
        <f>R37*O37</f>
        <v>0</v>
      </c>
      <c r="U37" s="266"/>
    </row>
    <row r="38" spans="2:22">
      <c r="O38" s="35"/>
      <c r="P38" s="35"/>
      <c r="Q38" s="35"/>
      <c r="S38" s="50" t="s">
        <v>124</v>
      </c>
      <c r="T38" s="198">
        <f>SUM(T5:T37)/X13</f>
        <v>2.2538544444444444</v>
      </c>
      <c r="U38" s="62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5">
        <f>1.135*(6*3+6*3+4*3+4*3)/(3+3+3+3+1+1)*X6/3600</f>
        <v>4.9374069785647396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3.5541937840709803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1.3832131944937593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38.917776534666729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28.014972241479008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3.4580329862343979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8">
    <mergeCell ref="C2:D2"/>
    <mergeCell ref="B5:B7"/>
    <mergeCell ref="G5:G6"/>
    <mergeCell ref="B8:B22"/>
    <mergeCell ref="C9:C20"/>
    <mergeCell ref="C5:C6"/>
    <mergeCell ref="G3:G4"/>
    <mergeCell ref="F3:F4"/>
    <mergeCell ref="B3:B4"/>
    <mergeCell ref="C3:D4"/>
    <mergeCell ref="E3:E4"/>
    <mergeCell ref="C7:C8"/>
    <mergeCell ref="G9:G14"/>
    <mergeCell ref="F16:F18"/>
    <mergeCell ref="H19:H20"/>
    <mergeCell ref="D19:D20"/>
    <mergeCell ref="J16:J18"/>
    <mergeCell ref="E12:E13"/>
    <mergeCell ref="E14:E15"/>
    <mergeCell ref="E16:E18"/>
    <mergeCell ref="D12:D13"/>
    <mergeCell ref="D14:D15"/>
    <mergeCell ref="D16:D18"/>
    <mergeCell ref="H8:H14"/>
    <mergeCell ref="I16:I18"/>
    <mergeCell ref="L16:L18"/>
    <mergeCell ref="M16:M18"/>
    <mergeCell ref="N16:N18"/>
    <mergeCell ref="O16:O18"/>
    <mergeCell ref="P16:P18"/>
    <mergeCell ref="I3:I4"/>
    <mergeCell ref="H3:H4"/>
    <mergeCell ref="J3:J4"/>
    <mergeCell ref="K3:K4"/>
    <mergeCell ref="K16:K18"/>
    <mergeCell ref="H16:H18"/>
    <mergeCell ref="N3:N4"/>
    <mergeCell ref="O3:O4"/>
    <mergeCell ref="P3:P4"/>
    <mergeCell ref="K2:M2"/>
    <mergeCell ref="N2:P2"/>
    <mergeCell ref="L3:L4"/>
    <mergeCell ref="M3:M4"/>
    <mergeCell ref="C35:C36"/>
    <mergeCell ref="B34:B37"/>
    <mergeCell ref="G16:G18"/>
    <mergeCell ref="G19:G20"/>
    <mergeCell ref="E24:E26"/>
    <mergeCell ref="G24:G26"/>
    <mergeCell ref="C21:C22"/>
    <mergeCell ref="D24:D26"/>
    <mergeCell ref="B24:B33"/>
    <mergeCell ref="C24:C33"/>
    <mergeCell ref="D27:D29"/>
    <mergeCell ref="E27:E29"/>
    <mergeCell ref="G27:G29"/>
    <mergeCell ref="H24:H29"/>
    <mergeCell ref="P28:P29"/>
    <mergeCell ref="H30:H33"/>
    <mergeCell ref="G30:G33"/>
    <mergeCell ref="D31:D33"/>
    <mergeCell ref="E31:E33"/>
    <mergeCell ref="K28:K29"/>
    <mergeCell ref="I28:I29"/>
    <mergeCell ref="J28:J29"/>
    <mergeCell ref="S2:U2"/>
    <mergeCell ref="R28:R29"/>
    <mergeCell ref="T28:T29"/>
    <mergeCell ref="S28:S29"/>
    <mergeCell ref="U28:U29"/>
    <mergeCell ref="R16:R18"/>
    <mergeCell ref="S16:S18"/>
    <mergeCell ref="T16:T18"/>
    <mergeCell ref="U16:U18"/>
    <mergeCell ref="L28:L29"/>
    <mergeCell ref="M28:M29"/>
    <mergeCell ref="N28:N29"/>
    <mergeCell ref="O28:O29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A112-0330-4C63-BDC0-3C4623F4194E}">
  <dimension ref="B1:AC52"/>
  <sheetViews>
    <sheetView zoomScale="85" zoomScaleNormal="85" workbookViewId="0">
      <pane xSplit="5" topLeftCell="F1" activePane="topRight" state="frozen"/>
      <selection activeCell="X3" sqref="X3"/>
      <selection pane="topRight" activeCell="X40" sqref="X40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2.125" style="1" bestFit="1" customWidth="1"/>
    <col min="19" max="19" width="12.125" style="1" customWidth="1"/>
    <col min="20" max="20" width="19.25" style="1" bestFit="1" customWidth="1"/>
    <col min="21" max="21" width="30.125" style="1" bestFit="1" customWidth="1"/>
    <col min="22" max="22" width="13.375" style="1" bestFit="1" customWidth="1"/>
    <col min="23" max="23" width="11.5" style="1" bestFit="1" customWidth="1"/>
    <col min="24" max="24" width="19.25" style="1" bestFit="1" customWidth="1"/>
    <col min="25" max="25" width="14.25" style="1" bestFit="1" customWidth="1"/>
    <col min="26" max="26" width="4.375" style="1" bestFit="1" customWidth="1"/>
    <col min="27" max="27" width="10.625" style="1" bestFit="1" customWidth="1"/>
    <col min="28" max="28" width="20.125" style="1" bestFit="1" customWidth="1"/>
    <col min="29" max="16384" width="9.125" style="1"/>
  </cols>
  <sheetData>
    <row r="1" spans="2:29" ht="15" thickBot="1"/>
    <row r="2" spans="2:29" ht="13.9" customHeight="1" thickBot="1">
      <c r="B2" s="45" t="s">
        <v>115</v>
      </c>
      <c r="C2" s="415" t="s">
        <v>183</v>
      </c>
      <c r="D2" s="417"/>
      <c r="E2" s="45" t="s">
        <v>57</v>
      </c>
      <c r="F2" s="45" t="s">
        <v>215</v>
      </c>
      <c r="G2" s="45" t="s">
        <v>202</v>
      </c>
      <c r="H2" s="45" t="s">
        <v>190</v>
      </c>
      <c r="I2" s="45" t="s">
        <v>39</v>
      </c>
      <c r="J2" s="52" t="s">
        <v>134</v>
      </c>
      <c r="K2" s="415" t="s">
        <v>4</v>
      </c>
      <c r="L2" s="416"/>
      <c r="M2" s="417"/>
      <c r="N2" s="415" t="s">
        <v>61</v>
      </c>
      <c r="O2" s="416"/>
      <c r="P2" s="417"/>
      <c r="R2" s="415" t="s">
        <v>75</v>
      </c>
      <c r="S2" s="416"/>
      <c r="T2" s="417"/>
      <c r="U2" s="415" t="s">
        <v>119</v>
      </c>
      <c r="V2" s="416"/>
      <c r="W2" s="416"/>
      <c r="X2" s="416"/>
      <c r="Y2" s="416"/>
      <c r="Z2" s="417"/>
      <c r="AA2" s="151"/>
      <c r="AB2" s="65" t="s">
        <v>73</v>
      </c>
      <c r="AC2" s="60"/>
    </row>
    <row r="3" spans="2:29">
      <c r="B3" s="475"/>
      <c r="C3" s="496"/>
      <c r="D3" s="497"/>
      <c r="E3" s="475"/>
      <c r="F3" s="475"/>
      <c r="G3" s="475"/>
      <c r="H3" s="475"/>
      <c r="I3" s="475"/>
      <c r="J3" s="475"/>
      <c r="K3" s="454" t="s">
        <v>42</v>
      </c>
      <c r="L3" s="471" t="s">
        <v>59</v>
      </c>
      <c r="M3" s="473" t="s">
        <v>72</v>
      </c>
      <c r="N3" s="454" t="s">
        <v>38</v>
      </c>
      <c r="O3" s="471" t="s">
        <v>59</v>
      </c>
      <c r="P3" s="473" t="s">
        <v>72</v>
      </c>
      <c r="Q3" s="1" t="s">
        <v>39</v>
      </c>
      <c r="R3" s="54" t="s">
        <v>252</v>
      </c>
      <c r="S3" s="54" t="s">
        <v>251</v>
      </c>
      <c r="T3" s="54" t="s">
        <v>253</v>
      </c>
      <c r="U3" s="69"/>
      <c r="V3" s="283" t="s">
        <v>252</v>
      </c>
      <c r="W3" s="284" t="s">
        <v>251</v>
      </c>
      <c r="X3" s="289" t="s">
        <v>253</v>
      </c>
      <c r="Y3" s="53" t="s">
        <v>267</v>
      </c>
      <c r="Z3" s="131"/>
      <c r="AB3" s="43" t="s">
        <v>140</v>
      </c>
      <c r="AC3" s="42">
        <f>parameter!C8</f>
        <v>5676.9848887954295</v>
      </c>
    </row>
    <row r="4" spans="2:29" ht="15" thickBot="1">
      <c r="B4" s="476"/>
      <c r="C4" s="498"/>
      <c r="D4" s="499"/>
      <c r="E4" s="476"/>
      <c r="F4" s="476"/>
      <c r="G4" s="476"/>
      <c r="H4" s="476"/>
      <c r="I4" s="476"/>
      <c r="J4" s="476"/>
      <c r="K4" s="456"/>
      <c r="L4" s="472"/>
      <c r="M4" s="474"/>
      <c r="N4" s="456"/>
      <c r="O4" s="472"/>
      <c r="P4" s="474"/>
      <c r="Q4" s="35" t="s">
        <v>50</v>
      </c>
      <c r="R4" s="243">
        <f>AC6-AC4</f>
        <v>2973.1161779686181</v>
      </c>
      <c r="S4" s="243">
        <f>AC7</f>
        <v>2022.8687108268114</v>
      </c>
      <c r="T4" s="243">
        <f>AC4</f>
        <v>681</v>
      </c>
      <c r="U4" s="130"/>
      <c r="V4" s="244">
        <f>AC6-AC4</f>
        <v>2973.1161779686181</v>
      </c>
      <c r="W4" s="244">
        <f>AC7</f>
        <v>2022.8687108268114</v>
      </c>
      <c r="X4" s="287">
        <f>AC4</f>
        <v>681</v>
      </c>
      <c r="Y4" s="368">
        <f>V4+W4+X4</f>
        <v>5676.9848887954295</v>
      </c>
      <c r="Z4" s="288"/>
      <c r="AB4" s="43" t="s">
        <v>136</v>
      </c>
      <c r="AC4" s="42">
        <v>681</v>
      </c>
    </row>
    <row r="5" spans="2:29" ht="15">
      <c r="B5" s="462" t="s">
        <v>185</v>
      </c>
      <c r="C5" s="454"/>
      <c r="D5" s="70" t="s">
        <v>196</v>
      </c>
      <c r="E5" s="54" t="s">
        <v>112</v>
      </c>
      <c r="F5" s="54" t="s">
        <v>249</v>
      </c>
      <c r="G5" s="475" t="s">
        <v>206</v>
      </c>
      <c r="H5" s="54"/>
      <c r="I5" s="54"/>
      <c r="J5" s="148"/>
      <c r="K5" s="152"/>
      <c r="L5" s="153"/>
      <c r="M5" s="154"/>
      <c r="N5" s="152"/>
      <c r="O5" s="369">
        <v>0.8</v>
      </c>
      <c r="P5" s="154"/>
      <c r="Q5" s="35"/>
      <c r="R5" s="327">
        <v>1</v>
      </c>
      <c r="S5" s="327">
        <v>1</v>
      </c>
      <c r="T5" s="327">
        <v>1</v>
      </c>
      <c r="U5" s="328"/>
      <c r="V5" s="378">
        <f>R5*O5*V4/Y4</f>
        <v>0.41897115968536158</v>
      </c>
      <c r="W5" s="378">
        <f>O5*S5*W4/Y4</f>
        <v>0.28506240554831336</v>
      </c>
      <c r="X5" s="379">
        <f>O5*T5*X4/Y4</f>
        <v>9.5966434766325118E-2</v>
      </c>
      <c r="Y5" s="313">
        <f>V5+W5+X5</f>
        <v>0.8</v>
      </c>
      <c r="Z5" s="329"/>
      <c r="AB5" s="43" t="s">
        <v>126</v>
      </c>
      <c r="AC5" s="42">
        <v>661</v>
      </c>
    </row>
    <row r="6" spans="2:29">
      <c r="B6" s="463"/>
      <c r="C6" s="461"/>
      <c r="D6" s="36" t="s">
        <v>197</v>
      </c>
      <c r="E6" s="350" t="s">
        <v>256</v>
      </c>
      <c r="F6" s="28"/>
      <c r="G6" s="495"/>
      <c r="H6" s="28"/>
      <c r="I6" s="28"/>
      <c r="J6" s="149"/>
      <c r="K6" s="157"/>
      <c r="L6" s="158"/>
      <c r="M6" s="159"/>
      <c r="N6" s="157"/>
      <c r="O6" s="158"/>
      <c r="P6" s="159"/>
      <c r="Q6" s="279"/>
      <c r="R6" s="155">
        <v>1</v>
      </c>
      <c r="S6" s="155">
        <v>1</v>
      </c>
      <c r="T6" s="155">
        <v>1</v>
      </c>
      <c r="U6" s="156"/>
      <c r="V6" s="381">
        <f>R6*O6*V4/Y4</f>
        <v>0</v>
      </c>
      <c r="W6" s="156">
        <f>O6*S6*W4/Y4</f>
        <v>0</v>
      </c>
      <c r="X6" s="290">
        <f>O6*T6*X4/Y4</f>
        <v>0</v>
      </c>
      <c r="Y6" s="383">
        <f t="shared" ref="Y6:Y37" si="0">V6+W6+X6</f>
        <v>0</v>
      </c>
      <c r="Z6" s="300"/>
      <c r="AB6" s="43" t="s">
        <v>0</v>
      </c>
      <c r="AC6" s="42">
        <f>parameter!C10</f>
        <v>3654.1161779686181</v>
      </c>
    </row>
    <row r="7" spans="2:29" ht="15" thickBot="1">
      <c r="B7" s="494"/>
      <c r="C7" s="500" t="s">
        <v>188</v>
      </c>
      <c r="D7" s="140" t="s">
        <v>106</v>
      </c>
      <c r="E7" s="121" t="s">
        <v>207</v>
      </c>
      <c r="F7" s="121"/>
      <c r="G7" s="121" t="s">
        <v>199</v>
      </c>
      <c r="H7" s="132"/>
      <c r="I7" s="121"/>
      <c r="J7" s="133"/>
      <c r="K7" s="233"/>
      <c r="L7" s="234"/>
      <c r="M7" s="235"/>
      <c r="N7" s="160"/>
      <c r="O7" s="161"/>
      <c r="P7" s="162"/>
      <c r="Q7" s="279"/>
      <c r="R7" s="330">
        <v>1</v>
      </c>
      <c r="S7" s="330">
        <v>1</v>
      </c>
      <c r="T7" s="341">
        <v>1</v>
      </c>
      <c r="U7" s="331"/>
      <c r="V7" s="380">
        <f>R7*O7*V4/Y4</f>
        <v>0</v>
      </c>
      <c r="W7" s="332">
        <f>O7*S7*W4/Y4</f>
        <v>0</v>
      </c>
      <c r="X7" s="342">
        <f>O7*T7*X4/Y4</f>
        <v>0</v>
      </c>
      <c r="Y7" s="397">
        <f t="shared" si="0"/>
        <v>0</v>
      </c>
      <c r="Z7" s="343"/>
      <c r="AB7" s="43" t="s">
        <v>25</v>
      </c>
      <c r="AC7" s="42">
        <f>parameter!C11</f>
        <v>2022.8687108268114</v>
      </c>
    </row>
    <row r="8" spans="2:29" ht="15">
      <c r="B8" s="462" t="s">
        <v>184</v>
      </c>
      <c r="C8" s="501"/>
      <c r="D8" s="351" t="s">
        <v>257</v>
      </c>
      <c r="E8" s="120" t="s">
        <v>210</v>
      </c>
      <c r="F8" s="120"/>
      <c r="G8" s="120" t="s">
        <v>208</v>
      </c>
      <c r="H8" s="459" t="s">
        <v>191</v>
      </c>
      <c r="I8" s="128"/>
      <c r="J8" s="229">
        <v>3.3</v>
      </c>
      <c r="K8" s="193"/>
      <c r="L8" s="164">
        <v>9.3000000000000005E-4</v>
      </c>
      <c r="M8" s="165"/>
      <c r="N8" s="163"/>
      <c r="O8" s="166">
        <f>J8*L8</f>
        <v>3.0690000000000001E-3</v>
      </c>
      <c r="P8" s="167"/>
      <c r="Q8" s="35"/>
      <c r="R8" s="280">
        <v>1</v>
      </c>
      <c r="S8" s="280">
        <v>1</v>
      </c>
      <c r="T8" s="280">
        <v>1</v>
      </c>
      <c r="U8" s="326"/>
      <c r="V8" s="326">
        <f>R8*O8*V4/Y4</f>
        <v>1.6072781113429684E-3</v>
      </c>
      <c r="W8" s="326">
        <f>O8*S8*W4/Y4</f>
        <v>1.093570653284717E-3</v>
      </c>
      <c r="X8" s="340">
        <f>O8*T8*X4/Y4</f>
        <v>3.6815123537231473E-4</v>
      </c>
      <c r="Y8" s="386">
        <f t="shared" si="0"/>
        <v>3.0690000000000001E-3</v>
      </c>
      <c r="Z8" s="307"/>
      <c r="AB8" s="246" t="s">
        <v>125</v>
      </c>
      <c r="AC8" s="42">
        <v>0.3</v>
      </c>
    </row>
    <row r="9" spans="2:29" ht="15">
      <c r="B9" s="463"/>
      <c r="C9" s="460" t="s">
        <v>189</v>
      </c>
      <c r="D9" s="352" t="s">
        <v>209</v>
      </c>
      <c r="E9" s="120" t="s">
        <v>210</v>
      </c>
      <c r="F9" s="353" t="s">
        <v>258</v>
      </c>
      <c r="G9" s="412" t="s">
        <v>211</v>
      </c>
      <c r="H9" s="414"/>
      <c r="I9" s="29"/>
      <c r="J9" s="150">
        <v>3.3</v>
      </c>
      <c r="K9" s="171"/>
      <c r="L9" s="172">
        <f>O9/J9</f>
        <v>1.5151515151515154E-3</v>
      </c>
      <c r="M9" s="173"/>
      <c r="N9" s="163"/>
      <c r="O9" s="354">
        <v>5.0000000000000001E-3</v>
      </c>
      <c r="P9" s="170"/>
      <c r="Q9" s="35"/>
      <c r="R9" s="168">
        <v>1</v>
      </c>
      <c r="S9" s="168">
        <v>1</v>
      </c>
      <c r="T9" s="168">
        <v>1</v>
      </c>
      <c r="U9" s="169"/>
      <c r="V9" s="326">
        <f>R9*O9*V4/Y4</f>
        <v>2.61856974803351E-3</v>
      </c>
      <c r="W9" s="326">
        <f>O9*S9*W4/Y4</f>
        <v>1.7816400346769583E-3</v>
      </c>
      <c r="X9" s="340">
        <f>O9*T9*X4/Y4</f>
        <v>5.9979021728953196E-4</v>
      </c>
      <c r="Y9" s="317">
        <f t="shared" si="0"/>
        <v>5.0000000000000001E-3</v>
      </c>
      <c r="Z9" s="302"/>
      <c r="AB9" s="43" t="s">
        <v>54</v>
      </c>
      <c r="AC9" s="42">
        <v>0.6</v>
      </c>
    </row>
    <row r="10" spans="2:29" ht="15">
      <c r="B10" s="463"/>
      <c r="C10" s="455"/>
      <c r="D10" s="134" t="s">
        <v>200</v>
      </c>
      <c r="E10" s="30" t="s">
        <v>16</v>
      </c>
      <c r="F10" s="237"/>
      <c r="G10" s="414"/>
      <c r="H10" s="414"/>
      <c r="I10" s="30"/>
      <c r="J10" s="230">
        <v>3.3</v>
      </c>
      <c r="K10" s="171"/>
      <c r="L10" s="172">
        <f t="shared" ref="L10:L14" si="1">O10/J10</f>
        <v>3.6363636363636362E-2</v>
      </c>
      <c r="M10" s="173">
        <f t="shared" ref="M10:M13" si="2">P10/J10</f>
        <v>6.0606060606060615E-2</v>
      </c>
      <c r="N10" s="171"/>
      <c r="O10" s="174">
        <v>0.12</v>
      </c>
      <c r="P10" s="170">
        <v>0.2</v>
      </c>
      <c r="Q10" s="35"/>
      <c r="R10" s="168">
        <v>1</v>
      </c>
      <c r="S10" s="168">
        <v>1</v>
      </c>
      <c r="T10" s="168">
        <v>1</v>
      </c>
      <c r="U10" s="169"/>
      <c r="V10" s="169">
        <f>R10*O10*V4/Y4</f>
        <v>6.2845673952804229E-2</v>
      </c>
      <c r="W10" s="169">
        <f>O10*S10*W4/Y4</f>
        <v>4.2759360832246997E-2</v>
      </c>
      <c r="X10" s="291">
        <f>P10*T10*X4/Y4</f>
        <v>2.3991608691581279E-2</v>
      </c>
      <c r="Y10" s="317">
        <f t="shared" si="0"/>
        <v>0.12959664347663252</v>
      </c>
      <c r="Z10" s="302"/>
      <c r="AB10" s="43" t="s">
        <v>29</v>
      </c>
      <c r="AC10" s="42">
        <v>0.8</v>
      </c>
    </row>
    <row r="11" spans="2:29" ht="15">
      <c r="B11" s="463"/>
      <c r="C11" s="455"/>
      <c r="D11" s="147" t="s">
        <v>203</v>
      </c>
      <c r="E11" s="31" t="s">
        <v>83</v>
      </c>
      <c r="F11" s="30"/>
      <c r="G11" s="414"/>
      <c r="H11" s="414"/>
      <c r="I11" s="30"/>
      <c r="J11" s="230">
        <v>3.3</v>
      </c>
      <c r="K11" s="171"/>
      <c r="L11" s="172">
        <f t="shared" si="1"/>
        <v>6.0606060606060615E-2</v>
      </c>
      <c r="M11" s="173">
        <f t="shared" si="2"/>
        <v>0.12121212121212123</v>
      </c>
      <c r="N11" s="171"/>
      <c r="O11" s="174">
        <v>0.2</v>
      </c>
      <c r="P11" s="170">
        <v>0.4</v>
      </c>
      <c r="Q11" s="35"/>
      <c r="R11" s="168">
        <v>1</v>
      </c>
      <c r="S11" s="168">
        <v>1</v>
      </c>
      <c r="T11" s="168">
        <v>1</v>
      </c>
      <c r="U11" s="169"/>
      <c r="V11" s="169">
        <f>R11*O11*V4/Y4</f>
        <v>0.1047427899213404</v>
      </c>
      <c r="W11" s="169">
        <f>O11*S11*W4/Y4</f>
        <v>7.1265601387078339E-2</v>
      </c>
      <c r="X11" s="291">
        <f>P11*T11*X4/Y4</f>
        <v>4.7983217383162559E-2</v>
      </c>
      <c r="Y11" s="317">
        <f t="shared" si="0"/>
        <v>0.22399160869158127</v>
      </c>
      <c r="Z11" s="302"/>
      <c r="AB11" s="43" t="s">
        <v>56</v>
      </c>
      <c r="AC11" s="42">
        <v>0.8</v>
      </c>
    </row>
    <row r="12" spans="2:29" ht="15">
      <c r="B12" s="463"/>
      <c r="C12" s="455"/>
      <c r="D12" s="489"/>
      <c r="E12" s="412" t="s">
        <v>12</v>
      </c>
      <c r="F12" s="30"/>
      <c r="G12" s="414"/>
      <c r="H12" s="414"/>
      <c r="I12" s="30" t="s">
        <v>266</v>
      </c>
      <c r="J12" s="230">
        <v>3.3</v>
      </c>
      <c r="K12" s="171"/>
      <c r="L12" s="172">
        <f t="shared" si="1"/>
        <v>6.0606060606060615E-2</v>
      </c>
      <c r="M12" s="173"/>
      <c r="N12" s="171"/>
      <c r="O12" s="174">
        <v>0.2</v>
      </c>
      <c r="P12" s="173"/>
      <c r="Q12" s="35"/>
      <c r="R12" s="168">
        <f>100%-R13</f>
        <v>0</v>
      </c>
      <c r="S12" s="168">
        <f>100%-S13</f>
        <v>0</v>
      </c>
      <c r="T12" s="168">
        <f>100%-T13</f>
        <v>0</v>
      </c>
      <c r="U12" s="169"/>
      <c r="V12" s="169">
        <f>R12*O12*V4/Y4</f>
        <v>0</v>
      </c>
      <c r="W12" s="169">
        <f>O12*S12*W4/Y4</f>
        <v>0</v>
      </c>
      <c r="X12" s="291">
        <f>T12*P12*X4/Y4</f>
        <v>0</v>
      </c>
      <c r="Y12" s="317">
        <f t="shared" si="0"/>
        <v>0</v>
      </c>
      <c r="Z12" s="302"/>
      <c r="AB12" s="43" t="s">
        <v>80</v>
      </c>
      <c r="AC12" s="42">
        <v>0.2</v>
      </c>
    </row>
    <row r="13" spans="2:29" ht="15">
      <c r="B13" s="463"/>
      <c r="C13" s="455"/>
      <c r="D13" s="490"/>
      <c r="E13" s="413"/>
      <c r="F13" s="355" t="s">
        <v>216</v>
      </c>
      <c r="G13" s="414"/>
      <c r="H13" s="414"/>
      <c r="I13" s="355" t="s">
        <v>259</v>
      </c>
      <c r="J13" s="230">
        <v>3.3</v>
      </c>
      <c r="K13" s="171"/>
      <c r="L13" s="172">
        <f t="shared" si="1"/>
        <v>8.6363636363636365E-2</v>
      </c>
      <c r="M13" s="173">
        <f t="shared" si="2"/>
        <v>0.13333333333333333</v>
      </c>
      <c r="N13" s="268"/>
      <c r="O13" s="174">
        <v>0.28499999999999998</v>
      </c>
      <c r="P13" s="239">
        <v>0.44</v>
      </c>
      <c r="Q13" s="35"/>
      <c r="R13" s="168">
        <f>R16</f>
        <v>1</v>
      </c>
      <c r="S13" s="168">
        <f>S16</f>
        <v>1</v>
      </c>
      <c r="T13" s="168">
        <f>T16</f>
        <v>1</v>
      </c>
      <c r="U13" s="169"/>
      <c r="V13" s="169">
        <f>R13*O13*V4/Y4</f>
        <v>0.14925847563791003</v>
      </c>
      <c r="W13" s="169">
        <f>O13*S13*W4/Y4</f>
        <v>0.10155348197658662</v>
      </c>
      <c r="X13" s="291">
        <f>P13*T13*X4/Y4</f>
        <v>5.2781539121478808E-2</v>
      </c>
      <c r="Y13" s="317">
        <f t="shared" si="0"/>
        <v>0.30359349673597547</v>
      </c>
      <c r="Z13" s="302"/>
      <c r="AB13" s="43" t="s">
        <v>118</v>
      </c>
      <c r="AC13" s="42">
        <v>0.9</v>
      </c>
    </row>
    <row r="14" spans="2:29" ht="15.75" thickBot="1">
      <c r="B14" s="463"/>
      <c r="C14" s="455"/>
      <c r="D14" s="489" t="s">
        <v>204</v>
      </c>
      <c r="E14" s="412" t="s">
        <v>31</v>
      </c>
      <c r="F14" s="30" t="s">
        <v>217</v>
      </c>
      <c r="G14" s="414"/>
      <c r="H14" s="414"/>
      <c r="I14" s="30" t="s">
        <v>266</v>
      </c>
      <c r="J14" s="230">
        <v>3.3</v>
      </c>
      <c r="K14" s="171"/>
      <c r="L14" s="172">
        <f t="shared" si="1"/>
        <v>1.0606060606060608E-2</v>
      </c>
      <c r="M14" s="173"/>
      <c r="N14" s="175"/>
      <c r="O14" s="174">
        <v>3.5000000000000003E-2</v>
      </c>
      <c r="P14" s="176"/>
      <c r="Q14" s="35"/>
      <c r="R14" s="168">
        <v>1</v>
      </c>
      <c r="S14" s="168">
        <v>1</v>
      </c>
      <c r="T14" s="168">
        <v>1</v>
      </c>
      <c r="U14" s="169"/>
      <c r="V14" s="169">
        <f>R14*O14*V4/Y4</f>
        <v>1.8329988236234569E-2</v>
      </c>
      <c r="W14" s="169">
        <f>O14*S14*W4/Y4</f>
        <v>1.2471480242738709E-2</v>
      </c>
      <c r="X14" s="291">
        <f>T14*O14*X4/Y4</f>
        <v>4.1985315210267236E-3</v>
      </c>
      <c r="Y14" s="317">
        <f t="shared" si="0"/>
        <v>3.5000000000000003E-2</v>
      </c>
      <c r="Z14" s="302"/>
      <c r="AB14" s="142" t="s">
        <v>141</v>
      </c>
      <c r="AC14" s="44">
        <v>0.4</v>
      </c>
    </row>
    <row r="15" spans="2:29" ht="15">
      <c r="B15" s="463"/>
      <c r="C15" s="455"/>
      <c r="D15" s="490"/>
      <c r="E15" s="413"/>
      <c r="F15" s="286" t="s">
        <v>218</v>
      </c>
      <c r="G15" s="360" t="s">
        <v>211</v>
      </c>
      <c r="H15" s="360" t="s">
        <v>261</v>
      </c>
      <c r="I15" s="286" t="s">
        <v>250</v>
      </c>
      <c r="J15" s="365">
        <v>8</v>
      </c>
      <c r="K15" s="356"/>
      <c r="L15" s="364">
        <v>0.62</v>
      </c>
      <c r="M15" s="357"/>
      <c r="N15" s="358"/>
      <c r="O15" s="361">
        <f>J15*L15</f>
        <v>4.96</v>
      </c>
      <c r="P15" s="359"/>
      <c r="Q15" s="35"/>
      <c r="R15" s="370"/>
      <c r="S15" s="370"/>
      <c r="T15" s="370"/>
      <c r="U15" s="371"/>
      <c r="V15" s="371"/>
      <c r="W15" s="371"/>
      <c r="X15" s="376"/>
      <c r="Y15" s="398"/>
      <c r="Z15" s="377"/>
    </row>
    <row r="16" spans="2:29" ht="15.75" customHeight="1">
      <c r="B16" s="463"/>
      <c r="C16" s="455"/>
      <c r="D16" s="491" t="s">
        <v>205</v>
      </c>
      <c r="E16" s="465" t="s">
        <v>212</v>
      </c>
      <c r="F16" s="502"/>
      <c r="G16" s="465" t="s">
        <v>211</v>
      </c>
      <c r="H16" s="466" t="s">
        <v>260</v>
      </c>
      <c r="I16" s="465"/>
      <c r="J16" s="486">
        <v>8.26</v>
      </c>
      <c r="K16" s="477">
        <f>0.065*3/J16</f>
        <v>2.3607748184019371E-2</v>
      </c>
      <c r="L16" s="478">
        <f>0.19*3/J16</f>
        <v>6.9007263922518172E-2</v>
      </c>
      <c r="M16" s="481">
        <f>2.3*3/J16</f>
        <v>0.83535108958837767</v>
      </c>
      <c r="N16" s="482">
        <v>6.5000000000000002E-2</v>
      </c>
      <c r="O16" s="483">
        <v>0.19</v>
      </c>
      <c r="P16" s="484">
        <v>2.2999999999999998</v>
      </c>
      <c r="Q16" s="35"/>
      <c r="R16" s="426">
        <v>1</v>
      </c>
      <c r="S16" s="426">
        <v>1</v>
      </c>
      <c r="T16" s="426">
        <v>1</v>
      </c>
      <c r="U16" s="429"/>
      <c r="V16" s="432">
        <f>R16*O16*V4/Y4</f>
        <v>9.9505650425273373E-2</v>
      </c>
      <c r="W16" s="432">
        <f>O16*S16*W4/Y4</f>
        <v>6.7702321317724412E-2</v>
      </c>
      <c r="X16" s="510">
        <f>P16*T16*X4/Y4</f>
        <v>0.27590349995318469</v>
      </c>
      <c r="Y16" s="505">
        <f t="shared" si="0"/>
        <v>0.44311147169618248</v>
      </c>
      <c r="Z16" s="373"/>
    </row>
    <row r="17" spans="2:26" ht="14.25" customHeight="1">
      <c r="B17" s="463"/>
      <c r="C17" s="455"/>
      <c r="D17" s="492"/>
      <c r="E17" s="466"/>
      <c r="F17" s="503"/>
      <c r="G17" s="466"/>
      <c r="H17" s="466"/>
      <c r="I17" s="466"/>
      <c r="J17" s="487"/>
      <c r="K17" s="477"/>
      <c r="L17" s="479"/>
      <c r="M17" s="481"/>
      <c r="N17" s="482"/>
      <c r="O17" s="483"/>
      <c r="P17" s="484"/>
      <c r="Q17" s="35"/>
      <c r="R17" s="427"/>
      <c r="S17" s="427"/>
      <c r="T17" s="427"/>
      <c r="U17" s="430"/>
      <c r="V17" s="433"/>
      <c r="W17" s="433"/>
      <c r="X17" s="511"/>
      <c r="Y17" s="506"/>
      <c r="Z17" s="374"/>
    </row>
    <row r="18" spans="2:26" ht="14.25" customHeight="1">
      <c r="B18" s="463"/>
      <c r="C18" s="455"/>
      <c r="D18" s="493"/>
      <c r="E18" s="467"/>
      <c r="F18" s="504"/>
      <c r="G18" s="467"/>
      <c r="H18" s="467"/>
      <c r="I18" s="467"/>
      <c r="J18" s="488"/>
      <c r="K18" s="477"/>
      <c r="L18" s="480"/>
      <c r="M18" s="481"/>
      <c r="N18" s="482"/>
      <c r="O18" s="483"/>
      <c r="P18" s="484"/>
      <c r="Q18" s="35"/>
      <c r="R18" s="428"/>
      <c r="S18" s="428"/>
      <c r="T18" s="428"/>
      <c r="U18" s="431"/>
      <c r="V18" s="434"/>
      <c r="W18" s="434"/>
      <c r="X18" s="512"/>
      <c r="Y18" s="507"/>
      <c r="Z18" s="375"/>
    </row>
    <row r="19" spans="2:26" ht="15">
      <c r="B19" s="463"/>
      <c r="C19" s="455"/>
      <c r="D19" s="451" t="s">
        <v>201</v>
      </c>
      <c r="E19" s="34" t="s">
        <v>194</v>
      </c>
      <c r="F19" s="362" t="s">
        <v>263</v>
      </c>
      <c r="G19" s="449" t="s">
        <v>211</v>
      </c>
      <c r="H19" s="448" t="s">
        <v>192</v>
      </c>
      <c r="I19" s="138"/>
      <c r="J19" s="231">
        <v>5</v>
      </c>
      <c r="K19" s="223"/>
      <c r="L19" s="224">
        <f>0.07*2</f>
        <v>0.14000000000000001</v>
      </c>
      <c r="M19" s="236">
        <f>0.167*2</f>
        <v>0.33400000000000002</v>
      </c>
      <c r="N19" s="177"/>
      <c r="O19" s="178">
        <f>L19*J19</f>
        <v>0.70000000000000007</v>
      </c>
      <c r="P19" s="179">
        <f>M19*J19</f>
        <v>1.6700000000000002</v>
      </c>
      <c r="Q19" s="35"/>
      <c r="R19" s="180">
        <v>0</v>
      </c>
      <c r="S19" s="180">
        <v>0</v>
      </c>
      <c r="T19" s="180">
        <v>0</v>
      </c>
      <c r="U19" s="181"/>
      <c r="V19" s="181">
        <f>R19*O19*V4/Y4</f>
        <v>0</v>
      </c>
      <c r="W19" s="181">
        <f>S19*O19*W4/Y4</f>
        <v>0</v>
      </c>
      <c r="X19" s="292">
        <f>T19*O19*X4/Y4</f>
        <v>0</v>
      </c>
      <c r="Y19" s="385">
        <f t="shared" si="0"/>
        <v>0</v>
      </c>
      <c r="Z19" s="303"/>
    </row>
    <row r="20" spans="2:26" ht="15">
      <c r="B20" s="463"/>
      <c r="C20" s="461"/>
      <c r="D20" s="485"/>
      <c r="E20" s="34" t="s">
        <v>195</v>
      </c>
      <c r="F20" s="363" t="s">
        <v>262</v>
      </c>
      <c r="G20" s="468"/>
      <c r="H20" s="468"/>
      <c r="I20" s="34"/>
      <c r="J20" s="139">
        <v>5</v>
      </c>
      <c r="K20" s="223"/>
      <c r="L20" s="224">
        <v>6.4000000000000001E-2</v>
      </c>
      <c r="M20" s="226"/>
      <c r="N20" s="223"/>
      <c r="O20" s="227">
        <f>L20*J20</f>
        <v>0.32</v>
      </c>
      <c r="P20" s="226"/>
      <c r="Q20" s="35"/>
      <c r="R20" s="253">
        <v>0</v>
      </c>
      <c r="S20" s="253">
        <v>0</v>
      </c>
      <c r="T20" s="253">
        <v>0</v>
      </c>
      <c r="U20" s="254"/>
      <c r="V20" s="262">
        <f>R20*O20*V4/Y4</f>
        <v>0</v>
      </c>
      <c r="W20" s="262">
        <f>S20*O20*W4/Y4</f>
        <v>0</v>
      </c>
      <c r="X20" s="294">
        <f>T20*O20*X4/Y4</f>
        <v>0</v>
      </c>
      <c r="Y20" s="385">
        <f t="shared" si="0"/>
        <v>0</v>
      </c>
      <c r="Z20" s="308"/>
    </row>
    <row r="21" spans="2:26" ht="15">
      <c r="B21" s="463"/>
      <c r="C21" s="460"/>
      <c r="D21" s="145" t="s">
        <v>235</v>
      </c>
      <c r="E21" s="120" t="s">
        <v>48</v>
      </c>
      <c r="F21" s="120" t="s">
        <v>236</v>
      </c>
      <c r="G21" s="120" t="s">
        <v>214</v>
      </c>
      <c r="H21" s="120" t="s">
        <v>191</v>
      </c>
      <c r="I21" s="120"/>
      <c r="J21" s="232">
        <v>3.3</v>
      </c>
      <c r="K21" s="171"/>
      <c r="L21" s="172">
        <f>O21/J21</f>
        <v>3.6363636363636368E-3</v>
      </c>
      <c r="M21" s="173"/>
      <c r="N21" s="163"/>
      <c r="O21" s="166">
        <v>1.2E-2</v>
      </c>
      <c r="P21" s="225"/>
      <c r="Q21" s="35"/>
      <c r="R21" s="168">
        <v>1</v>
      </c>
      <c r="S21" s="168">
        <v>1</v>
      </c>
      <c r="T21" s="168">
        <v>1</v>
      </c>
      <c r="U21" s="344"/>
      <c r="V21" s="326">
        <f>R21*O21*V4/Y4</f>
        <v>6.2845673952804234E-3</v>
      </c>
      <c r="W21" s="326">
        <f>S21*O21*W4/Y4</f>
        <v>4.2759360832246998E-3</v>
      </c>
      <c r="X21" s="340">
        <f>T21*O21*X4/Y4</f>
        <v>1.4394965214948768E-3</v>
      </c>
      <c r="Y21" s="317">
        <f t="shared" si="0"/>
        <v>1.2E-2</v>
      </c>
      <c r="Z21" s="302"/>
    </row>
    <row r="22" spans="2:26" ht="15.75" thickBot="1">
      <c r="B22" s="464"/>
      <c r="C22" s="456"/>
      <c r="D22" s="146" t="s">
        <v>198</v>
      </c>
      <c r="E22" s="129" t="s">
        <v>47</v>
      </c>
      <c r="F22" s="245"/>
      <c r="G22" s="129" t="s">
        <v>213</v>
      </c>
      <c r="H22" s="129" t="s">
        <v>193</v>
      </c>
      <c r="I22" s="129"/>
      <c r="J22" s="144">
        <v>3.3</v>
      </c>
      <c r="K22" s="188"/>
      <c r="L22" s="189">
        <f>O22/J22</f>
        <v>0.39393939393939398</v>
      </c>
      <c r="M22" s="190"/>
      <c r="N22" s="188"/>
      <c r="O22" s="366">
        <v>1.3</v>
      </c>
      <c r="P22" s="190"/>
      <c r="Q22" s="35"/>
      <c r="R22" s="191">
        <v>0.5</v>
      </c>
      <c r="S22" s="191">
        <v>0.5</v>
      </c>
      <c r="T22" s="191">
        <v>1</v>
      </c>
      <c r="U22" s="192"/>
      <c r="V22" s="192">
        <f>R22*O22*V4/Y4</f>
        <v>0.3404140672443563</v>
      </c>
      <c r="W22" s="192">
        <f>S22*O22*W4/Y4</f>
        <v>0.2316132045080046</v>
      </c>
      <c r="X22" s="293">
        <f>T22*O22*X4/Y4</f>
        <v>0.15594545649527833</v>
      </c>
      <c r="Y22" s="319">
        <f t="shared" si="0"/>
        <v>0.72797272824763926</v>
      </c>
      <c r="Z22" s="305"/>
    </row>
    <row r="23" spans="2:26" ht="15.75" thickBot="1">
      <c r="B23" s="122" t="s">
        <v>14</v>
      </c>
      <c r="C23" s="51"/>
      <c r="D23" s="136" t="s">
        <v>223</v>
      </c>
      <c r="E23" s="123" t="s">
        <v>224</v>
      </c>
      <c r="F23" s="123"/>
      <c r="G23" s="123" t="s">
        <v>219</v>
      </c>
      <c r="H23" s="123" t="s">
        <v>191</v>
      </c>
      <c r="I23" s="123"/>
      <c r="J23" s="123">
        <v>3.3</v>
      </c>
      <c r="K23" s="199"/>
      <c r="L23" s="200">
        <f>0.13</f>
        <v>0.13</v>
      </c>
      <c r="M23" s="201"/>
      <c r="N23" s="199"/>
      <c r="O23" s="202">
        <f>L23*J23</f>
        <v>0.42899999999999999</v>
      </c>
      <c r="P23" s="201"/>
      <c r="Q23" s="35"/>
      <c r="R23" s="337">
        <v>1</v>
      </c>
      <c r="S23" s="337">
        <v>1</v>
      </c>
      <c r="T23" s="337">
        <v>1</v>
      </c>
      <c r="U23" s="338"/>
      <c r="V23" s="338">
        <f>R23*O23*V4/Y4</f>
        <v>0.22467328438127512</v>
      </c>
      <c r="W23" s="338">
        <f>S23*O23*W4/Y4</f>
        <v>0.15286471497528301</v>
      </c>
      <c r="X23" s="345">
        <f>T23*O23*X4/Y4</f>
        <v>5.1462000643441842E-2</v>
      </c>
      <c r="Y23" s="346">
        <f t="shared" si="0"/>
        <v>0.42899999999999999</v>
      </c>
      <c r="Z23" s="347"/>
    </row>
    <row r="24" spans="2:26" ht="15" customHeight="1">
      <c r="B24" s="462" t="s">
        <v>34</v>
      </c>
      <c r="C24" s="454"/>
      <c r="D24" s="469" t="s">
        <v>225</v>
      </c>
      <c r="E24" s="459" t="s">
        <v>226</v>
      </c>
      <c r="F24" s="282"/>
      <c r="G24" s="459" t="s">
        <v>220</v>
      </c>
      <c r="H24" s="459" t="s">
        <v>191</v>
      </c>
      <c r="I24" s="128" t="s">
        <v>237</v>
      </c>
      <c r="J24" s="127">
        <v>3.3</v>
      </c>
      <c r="K24" s="193"/>
      <c r="L24" s="194">
        <v>1.2999999999999999E-2</v>
      </c>
      <c r="M24" s="249"/>
      <c r="N24" s="193"/>
      <c r="O24" s="367">
        <f>L24*J24</f>
        <v>4.2899999999999994E-2</v>
      </c>
      <c r="P24" s="249"/>
      <c r="Q24" s="278"/>
      <c r="R24" s="280"/>
      <c r="S24" s="280"/>
      <c r="T24" s="280"/>
      <c r="U24" s="326"/>
      <c r="V24" s="326">
        <f>R24*O24*V4/Y4</f>
        <v>0</v>
      </c>
      <c r="W24" s="326">
        <f>S24*O24*W4/Y4</f>
        <v>0</v>
      </c>
      <c r="X24" s="340">
        <f>T24*O24*X4/Y4</f>
        <v>0</v>
      </c>
      <c r="Y24" s="386">
        <f t="shared" si="0"/>
        <v>0</v>
      </c>
      <c r="Z24" s="307"/>
    </row>
    <row r="25" spans="2:26" ht="15">
      <c r="B25" s="463"/>
      <c r="C25" s="455"/>
      <c r="D25" s="458"/>
      <c r="E25" s="414"/>
      <c r="F25" s="150" t="s">
        <v>241</v>
      </c>
      <c r="G25" s="414"/>
      <c r="H25" s="414"/>
      <c r="I25" s="30" t="s">
        <v>238</v>
      </c>
      <c r="J25" s="31">
        <v>3.3</v>
      </c>
      <c r="K25" s="248"/>
      <c r="L25" s="174">
        <v>1.0999999999999999E-2</v>
      </c>
      <c r="M25" s="250"/>
      <c r="N25" s="248"/>
      <c r="O25" s="247">
        <f t="shared" ref="O25:O26" si="3">L25*J25</f>
        <v>3.6299999999999999E-2</v>
      </c>
      <c r="P25" s="173"/>
      <c r="Q25" s="278"/>
      <c r="R25" s="168">
        <v>1</v>
      </c>
      <c r="S25" s="168">
        <v>1</v>
      </c>
      <c r="T25" s="168">
        <v>1</v>
      </c>
      <c r="U25" s="169"/>
      <c r="V25" s="169">
        <f>R25*O25*V4/Y4</f>
        <v>1.9010816370723278E-2</v>
      </c>
      <c r="W25" s="169">
        <f>S25*O25*W4/Y4</f>
        <v>1.2934706651754717E-2</v>
      </c>
      <c r="X25" s="291">
        <f>T25*O25*X4/Y4</f>
        <v>4.3544769775220012E-3</v>
      </c>
      <c r="Y25" s="317">
        <f t="shared" si="0"/>
        <v>3.6299999999999999E-2</v>
      </c>
      <c r="Z25" s="302"/>
    </row>
    <row r="26" spans="2:26" ht="15">
      <c r="B26" s="463"/>
      <c r="C26" s="455"/>
      <c r="D26" s="470"/>
      <c r="E26" s="413"/>
      <c r="F26" s="230" t="s">
        <v>240</v>
      </c>
      <c r="G26" s="413"/>
      <c r="H26" s="414"/>
      <c r="I26" s="29" t="s">
        <v>239</v>
      </c>
      <c r="J26" s="30">
        <v>3.3</v>
      </c>
      <c r="K26" s="171"/>
      <c r="L26" s="242">
        <v>0.55000000000000004</v>
      </c>
      <c r="M26" s="173"/>
      <c r="N26" s="171"/>
      <c r="O26" s="172">
        <f t="shared" si="3"/>
        <v>1.8149999999999999</v>
      </c>
      <c r="P26" s="225"/>
      <c r="Q26" s="278"/>
      <c r="R26" s="168"/>
      <c r="S26" s="168"/>
      <c r="T26" s="168"/>
      <c r="U26" s="169"/>
      <c r="V26" s="169">
        <f>R26*O26*V4/Y4</f>
        <v>0</v>
      </c>
      <c r="W26" s="169">
        <f>S26*O26*W4/Y4</f>
        <v>0</v>
      </c>
      <c r="X26" s="291">
        <f>T26*O26*X4/Y4</f>
        <v>0</v>
      </c>
      <c r="Y26" s="317">
        <f t="shared" si="0"/>
        <v>0</v>
      </c>
      <c r="Z26" s="302"/>
    </row>
    <row r="27" spans="2:26" ht="15">
      <c r="B27" s="463"/>
      <c r="C27" s="455"/>
      <c r="D27" s="457" t="s">
        <v>52</v>
      </c>
      <c r="E27" s="412" t="s">
        <v>221</v>
      </c>
      <c r="F27" s="230"/>
      <c r="G27" s="412" t="s">
        <v>208</v>
      </c>
      <c r="H27" s="414"/>
      <c r="I27" s="30" t="s">
        <v>90</v>
      </c>
      <c r="J27" s="30">
        <v>3.3</v>
      </c>
      <c r="K27" s="195">
        <v>4.4999999999999998E-2</v>
      </c>
      <c r="L27" s="174">
        <v>5.5000000000000007E-2</v>
      </c>
      <c r="M27" s="170">
        <v>0.12</v>
      </c>
      <c r="N27" s="171">
        <f>J27*K27</f>
        <v>0.14849999999999999</v>
      </c>
      <c r="O27" s="172">
        <f>L27*J27</f>
        <v>0.18150000000000002</v>
      </c>
      <c r="P27" s="173">
        <f>M27*J27</f>
        <v>0.39599999999999996</v>
      </c>
      <c r="Q27" s="35"/>
      <c r="R27" s="168">
        <v>0.9</v>
      </c>
      <c r="S27" s="168">
        <v>0.9</v>
      </c>
      <c r="T27" s="168">
        <v>0.8</v>
      </c>
      <c r="U27" s="169"/>
      <c r="V27" s="169">
        <f>R27*O27*V4/Y4</f>
        <v>8.5548673668254777E-2</v>
      </c>
      <c r="W27" s="169">
        <f>S27*O27*W4/Y4</f>
        <v>5.8206179932896236E-2</v>
      </c>
      <c r="X27" s="291">
        <f>T27*P27*X4/Y4</f>
        <v>3.800270816746474E-2</v>
      </c>
      <c r="Y27" s="317">
        <f t="shared" si="0"/>
        <v>0.18175756176861574</v>
      </c>
      <c r="Z27" s="302"/>
    </row>
    <row r="28" spans="2:26" ht="15" customHeight="1">
      <c r="B28" s="463"/>
      <c r="C28" s="455"/>
      <c r="D28" s="458"/>
      <c r="E28" s="414"/>
      <c r="F28" s="232" t="s">
        <v>265</v>
      </c>
      <c r="G28" s="414"/>
      <c r="H28" s="414"/>
      <c r="I28" s="412" t="s">
        <v>87</v>
      </c>
      <c r="J28" s="412">
        <v>3.3</v>
      </c>
      <c r="K28" s="410">
        <v>0.6</v>
      </c>
      <c r="L28" s="438">
        <v>0.8</v>
      </c>
      <c r="M28" s="440">
        <v>1</v>
      </c>
      <c r="N28" s="442">
        <f>J28*K28</f>
        <v>1.9799999999999998</v>
      </c>
      <c r="O28" s="444">
        <f>L28*J28</f>
        <v>2.64</v>
      </c>
      <c r="P28" s="446">
        <f>M28*J28</f>
        <v>3.3</v>
      </c>
      <c r="Q28" s="35"/>
      <c r="R28" s="418">
        <f>100%-R27</f>
        <v>9.9999999999999978E-2</v>
      </c>
      <c r="S28" s="418">
        <f t="shared" ref="S28:T28" si="4">100%-S27</f>
        <v>9.9999999999999978E-2</v>
      </c>
      <c r="T28" s="418">
        <f t="shared" si="4"/>
        <v>0.19999999999999996</v>
      </c>
      <c r="U28" s="422"/>
      <c r="V28" s="420">
        <f>R28*O28*V4/Y4</f>
        <v>0.13826048269616931</v>
      </c>
      <c r="W28" s="420">
        <f>S28*O28*W4/Y4</f>
        <v>9.4070593830943378E-2</v>
      </c>
      <c r="X28" s="513">
        <f>T28*P28*X4/Y4</f>
        <v>7.9172308682218195E-2</v>
      </c>
      <c r="Y28" s="508">
        <f t="shared" si="0"/>
        <v>0.31150338520933085</v>
      </c>
      <c r="Z28" s="306"/>
    </row>
    <row r="29" spans="2:26" ht="14.25" customHeight="1">
      <c r="B29" s="463"/>
      <c r="C29" s="455"/>
      <c r="D29" s="458"/>
      <c r="E29" s="414"/>
      <c r="F29" s="277" t="s">
        <v>244</v>
      </c>
      <c r="G29" s="413"/>
      <c r="H29" s="413"/>
      <c r="I29" s="413"/>
      <c r="J29" s="414"/>
      <c r="K29" s="411"/>
      <c r="L29" s="439"/>
      <c r="M29" s="441"/>
      <c r="N29" s="443"/>
      <c r="O29" s="445"/>
      <c r="P29" s="447"/>
      <c r="Q29" s="35"/>
      <c r="R29" s="419"/>
      <c r="S29" s="419"/>
      <c r="T29" s="419"/>
      <c r="U29" s="423"/>
      <c r="V29" s="421"/>
      <c r="W29" s="421"/>
      <c r="X29" s="514"/>
      <c r="Y29" s="509"/>
      <c r="Z29" s="307"/>
    </row>
    <row r="30" spans="2:26">
      <c r="B30" s="463"/>
      <c r="C30" s="455"/>
      <c r="D30" s="240" t="s">
        <v>227</v>
      </c>
      <c r="E30" s="34" t="s">
        <v>229</v>
      </c>
      <c r="F30" s="139"/>
      <c r="G30" s="448" t="s">
        <v>206</v>
      </c>
      <c r="H30" s="448" t="s">
        <v>192</v>
      </c>
      <c r="I30" s="32"/>
      <c r="J30" s="34">
        <v>5</v>
      </c>
      <c r="K30" s="269"/>
      <c r="L30" s="252">
        <v>0</v>
      </c>
      <c r="M30" s="226"/>
      <c r="N30" s="269"/>
      <c r="O30" s="241">
        <v>0</v>
      </c>
      <c r="P30" s="251"/>
      <c r="R30" s="261">
        <v>0</v>
      </c>
      <c r="S30" s="261">
        <v>0</v>
      </c>
      <c r="T30" s="261">
        <v>0</v>
      </c>
      <c r="U30" s="238"/>
      <c r="V30" s="262">
        <f>R30*O30*V4/Y4</f>
        <v>0</v>
      </c>
      <c r="W30" s="262">
        <f>S30*O30*W4/Y4</f>
        <v>0</v>
      </c>
      <c r="X30" s="294">
        <f>T30*O30*X4/Y4</f>
        <v>0</v>
      </c>
      <c r="Y30" s="385">
        <f t="shared" si="0"/>
        <v>0</v>
      </c>
      <c r="Z30" s="135"/>
    </row>
    <row r="31" spans="2:26" ht="15">
      <c r="B31" s="463"/>
      <c r="C31" s="455"/>
      <c r="D31" s="451" t="s">
        <v>228</v>
      </c>
      <c r="E31" s="448" t="s">
        <v>222</v>
      </c>
      <c r="F31" s="257"/>
      <c r="G31" s="449"/>
      <c r="H31" s="449"/>
      <c r="I31" s="34" t="s">
        <v>245</v>
      </c>
      <c r="J31" s="34">
        <v>5</v>
      </c>
      <c r="K31" s="223"/>
      <c r="L31" s="227">
        <f>O31/5</f>
        <v>0.122</v>
      </c>
      <c r="M31" s="226"/>
      <c r="N31" s="256"/>
      <c r="O31" s="224">
        <v>0.61</v>
      </c>
      <c r="P31" s="236"/>
      <c r="Q31" s="35"/>
      <c r="R31" s="253">
        <v>0</v>
      </c>
      <c r="S31" s="253">
        <v>0</v>
      </c>
      <c r="T31" s="253">
        <v>0</v>
      </c>
      <c r="U31" s="254"/>
      <c r="V31" s="254">
        <f>R31*O31*V4/Y4</f>
        <v>0</v>
      </c>
      <c r="W31" s="262">
        <f>S31*O31*W4/Y4</f>
        <v>0</v>
      </c>
      <c r="X31" s="294">
        <f>T31*O31*X4/Y4</f>
        <v>0</v>
      </c>
      <c r="Y31" s="385">
        <f t="shared" si="0"/>
        <v>0</v>
      </c>
      <c r="Z31" s="308"/>
    </row>
    <row r="32" spans="2:26" ht="15">
      <c r="B32" s="463"/>
      <c r="C32" s="455"/>
      <c r="D32" s="452"/>
      <c r="E32" s="449"/>
      <c r="F32" s="257"/>
      <c r="G32" s="449"/>
      <c r="H32" s="449"/>
      <c r="I32" s="34" t="s">
        <v>242</v>
      </c>
      <c r="J32" s="34">
        <v>5</v>
      </c>
      <c r="K32" s="223"/>
      <c r="L32" s="227">
        <f>O32/5</f>
        <v>0.54</v>
      </c>
      <c r="M32" s="226"/>
      <c r="N32" s="256"/>
      <c r="O32" s="224">
        <v>2.7</v>
      </c>
      <c r="P32" s="236"/>
      <c r="Q32" s="35"/>
      <c r="R32" s="253">
        <v>0</v>
      </c>
      <c r="S32" s="253">
        <v>0</v>
      </c>
      <c r="T32" s="253">
        <v>0</v>
      </c>
      <c r="U32" s="254"/>
      <c r="V32" s="254">
        <f>R32*O32*V4/Y4</f>
        <v>0</v>
      </c>
      <c r="W32" s="262">
        <f>S32*O32*W4/Y4</f>
        <v>0</v>
      </c>
      <c r="X32" s="294">
        <f>T32*O32*X4/Y4</f>
        <v>0</v>
      </c>
      <c r="Y32" s="385">
        <f t="shared" si="0"/>
        <v>0</v>
      </c>
      <c r="Z32" s="308"/>
    </row>
    <row r="33" spans="2:27" ht="15.75" thickBot="1">
      <c r="B33" s="464"/>
      <c r="C33" s="456"/>
      <c r="D33" s="453"/>
      <c r="E33" s="450"/>
      <c r="F33" s="258"/>
      <c r="G33" s="450"/>
      <c r="H33" s="450"/>
      <c r="I33" s="33" t="s">
        <v>243</v>
      </c>
      <c r="J33" s="33">
        <v>5</v>
      </c>
      <c r="K33" s="182"/>
      <c r="L33" s="185">
        <f>O33/5</f>
        <v>0.91999999999999993</v>
      </c>
      <c r="M33" s="184">
        <f>P33/5</f>
        <v>1</v>
      </c>
      <c r="N33" s="196"/>
      <c r="O33" s="183">
        <v>4.5999999999999996</v>
      </c>
      <c r="P33" s="197">
        <v>5</v>
      </c>
      <c r="Q33" s="35"/>
      <c r="R33" s="186">
        <v>0</v>
      </c>
      <c r="S33" s="186">
        <v>0</v>
      </c>
      <c r="T33" s="186">
        <v>0</v>
      </c>
      <c r="U33" s="187"/>
      <c r="V33" s="267">
        <f>R33*O33*V4/Y4</f>
        <v>0</v>
      </c>
      <c r="W33" s="267">
        <f>S33*O33*W4/Y4</f>
        <v>0</v>
      </c>
      <c r="X33" s="295">
        <f>T33*P33*X4/Y4</f>
        <v>0</v>
      </c>
      <c r="Y33" s="312">
        <f t="shared" si="0"/>
        <v>0</v>
      </c>
      <c r="Z33" s="304"/>
    </row>
    <row r="34" spans="2:27">
      <c r="B34" s="462" t="s">
        <v>53</v>
      </c>
      <c r="C34" s="141" t="s">
        <v>53</v>
      </c>
      <c r="D34" s="272" t="s">
        <v>246</v>
      </c>
      <c r="E34" s="124" t="s">
        <v>234</v>
      </c>
      <c r="F34" s="124"/>
      <c r="G34" s="124" t="s">
        <v>231</v>
      </c>
      <c r="H34" s="124" t="s">
        <v>186</v>
      </c>
      <c r="I34" s="124"/>
      <c r="J34" s="124">
        <v>5</v>
      </c>
      <c r="K34" s="203"/>
      <c r="L34" s="204">
        <f>O34/J34</f>
        <v>0.2</v>
      </c>
      <c r="M34" s="205"/>
      <c r="N34" s="203"/>
      <c r="O34" s="204">
        <v>1</v>
      </c>
      <c r="P34" s="205"/>
      <c r="Q34" s="46"/>
      <c r="R34" s="206">
        <v>0</v>
      </c>
      <c r="S34" s="206">
        <v>0</v>
      </c>
      <c r="T34" s="206">
        <v>1</v>
      </c>
      <c r="U34" s="207"/>
      <c r="V34" s="208">
        <f>R34*O34*V4/Y4</f>
        <v>0</v>
      </c>
      <c r="W34" s="208">
        <f>S34*O34*W4/Y4</f>
        <v>0</v>
      </c>
      <c r="X34" s="296">
        <f>T34*O34*X4/Y4</f>
        <v>0.11995804345790639</v>
      </c>
      <c r="Y34" s="387">
        <f t="shared" si="0"/>
        <v>0.11995804345790639</v>
      </c>
      <c r="Z34" s="309"/>
    </row>
    <row r="35" spans="2:27">
      <c r="B35" s="463"/>
      <c r="C35" s="460" t="s">
        <v>15</v>
      </c>
      <c r="D35" s="273" t="s">
        <v>247</v>
      </c>
      <c r="E35" s="64" t="s">
        <v>233</v>
      </c>
      <c r="F35" s="64"/>
      <c r="G35" s="64" t="s">
        <v>230</v>
      </c>
      <c r="H35" s="64" t="s">
        <v>187</v>
      </c>
      <c r="I35" s="57"/>
      <c r="J35" s="57">
        <v>5</v>
      </c>
      <c r="K35" s="209"/>
      <c r="L35" s="210">
        <f>O35/J35</f>
        <v>0.2</v>
      </c>
      <c r="M35" s="211"/>
      <c r="N35" s="209"/>
      <c r="O35" s="210">
        <v>1</v>
      </c>
      <c r="P35" s="211"/>
      <c r="Q35" s="46"/>
      <c r="R35" s="212">
        <v>0</v>
      </c>
      <c r="S35" s="212">
        <v>0</v>
      </c>
      <c r="T35" s="212">
        <v>1</v>
      </c>
      <c r="U35" s="213"/>
      <c r="V35" s="214">
        <f>R35*O35*V4/Y4</f>
        <v>0</v>
      </c>
      <c r="W35" s="214">
        <f>S35*O35*W4/Y4</f>
        <v>0</v>
      </c>
      <c r="X35" s="297">
        <f>T35*O35*X4/Y4</f>
        <v>0.11995804345790639</v>
      </c>
      <c r="Y35" s="392">
        <f t="shared" si="0"/>
        <v>0.11995804345790639</v>
      </c>
      <c r="Z35" s="310"/>
    </row>
    <row r="36" spans="2:27">
      <c r="B36" s="463"/>
      <c r="C36" s="461"/>
      <c r="D36" s="274" t="s">
        <v>247</v>
      </c>
      <c r="E36" s="63" t="s">
        <v>233</v>
      </c>
      <c r="F36" s="63"/>
      <c r="G36" s="63" t="s">
        <v>230</v>
      </c>
      <c r="H36" s="63" t="s">
        <v>51</v>
      </c>
      <c r="I36" s="55"/>
      <c r="J36" s="55">
        <v>3.3</v>
      </c>
      <c r="K36" s="270"/>
      <c r="L36" s="215"/>
      <c r="M36" s="271">
        <f>P36/J36</f>
        <v>0.60606060606060608</v>
      </c>
      <c r="N36" s="270"/>
      <c r="O36" s="215"/>
      <c r="P36" s="216">
        <v>2</v>
      </c>
      <c r="R36" s="217">
        <v>0</v>
      </c>
      <c r="S36" s="217">
        <v>0</v>
      </c>
      <c r="T36" s="217">
        <v>0</v>
      </c>
      <c r="U36" s="56"/>
      <c r="V36" s="218">
        <f>R36*O36*V4/Y4</f>
        <v>0</v>
      </c>
      <c r="W36" s="218">
        <f>S36*O36*W4/Y4</f>
        <v>0</v>
      </c>
      <c r="X36" s="298">
        <f>T36*P36*X4/Y4</f>
        <v>0</v>
      </c>
      <c r="Y36" s="393">
        <f t="shared" si="0"/>
        <v>0</v>
      </c>
      <c r="Z36" s="59"/>
    </row>
    <row r="37" spans="2:27" ht="15.75" thickBot="1">
      <c r="B37" s="464"/>
      <c r="C37" s="275" t="s">
        <v>13</v>
      </c>
      <c r="D37" s="276" t="s">
        <v>248</v>
      </c>
      <c r="E37" s="126" t="s">
        <v>232</v>
      </c>
      <c r="F37" s="126" t="s">
        <v>264</v>
      </c>
      <c r="G37" s="126" t="s">
        <v>208</v>
      </c>
      <c r="H37" s="126" t="s">
        <v>60</v>
      </c>
      <c r="I37" s="125"/>
      <c r="J37" s="125">
        <v>3.3</v>
      </c>
      <c r="K37" s="219">
        <f>N37/J37</f>
        <v>0.11515151515151516</v>
      </c>
      <c r="L37" s="220">
        <f>O37/J37</f>
        <v>0.24242424242424246</v>
      </c>
      <c r="M37" s="221">
        <f>P37/J37</f>
        <v>0.54545454545454553</v>
      </c>
      <c r="N37" s="259">
        <v>0.38</v>
      </c>
      <c r="O37" s="222">
        <v>0.8</v>
      </c>
      <c r="P37" s="260">
        <v>1.8</v>
      </c>
      <c r="Q37" s="46"/>
      <c r="R37" s="263">
        <v>0</v>
      </c>
      <c r="S37" s="263">
        <v>0</v>
      </c>
      <c r="T37" s="263">
        <v>1</v>
      </c>
      <c r="U37" s="264"/>
      <c r="V37" s="265">
        <f>R37*O37*V4/Y4</f>
        <v>0</v>
      </c>
      <c r="W37" s="265">
        <f>S37*O37*W4/Y4</f>
        <v>0</v>
      </c>
      <c r="X37" s="299">
        <f>T37*P37*X4/Y4</f>
        <v>0.2159244782242315</v>
      </c>
      <c r="Y37" s="394">
        <f t="shared" si="0"/>
        <v>0.2159244782242315</v>
      </c>
      <c r="Z37" s="311"/>
    </row>
    <row r="38" spans="2:27">
      <c r="O38" s="35"/>
      <c r="P38" s="35"/>
      <c r="Q38" s="35"/>
      <c r="U38" s="50" t="s">
        <v>124</v>
      </c>
      <c r="V38" s="198">
        <f>SUM(V5:V37)/0.9</f>
        <v>1.857857197193733</v>
      </c>
      <c r="W38" s="198">
        <f>SUM(W5:W37)/0.9</f>
        <v>1.2640613310830628</v>
      </c>
      <c r="X38" s="390">
        <f>SUM(X5:X37)/0.9</f>
        <v>1.4311219839076506</v>
      </c>
      <c r="Y38" s="401">
        <f>SUM(Y5:Y37)/0.9</f>
        <v>4.5530405121844462</v>
      </c>
      <c r="Z38" s="396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5">
        <f>1.135*20*V4/3600</f>
        <v>18.747149233302121</v>
      </c>
      <c r="W39" s="285">
        <v>0</v>
      </c>
      <c r="X39" s="399">
        <v>0</v>
      </c>
      <c r="Y39" s="384">
        <f t="shared" ref="Y39:Y44" si="5">V39+W39+X39</f>
        <v>18.747149233302121</v>
      </c>
      <c r="Z39" s="67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2.9297297872246255</v>
      </c>
      <c r="W40" s="4">
        <f>W38*Y4/3600</f>
        <v>1.9933491875192177</v>
      </c>
      <c r="X40" s="6">
        <f>X38*Y4/3600</f>
        <v>2.2567938546296302</v>
      </c>
      <c r="Y40" s="402">
        <f t="shared" si="5"/>
        <v>7.1798728293734735</v>
      </c>
      <c r="Z40" s="67" t="s">
        <v>99</v>
      </c>
    </row>
    <row r="41" spans="2:27">
      <c r="O41" s="35"/>
      <c r="P41" s="35"/>
      <c r="Q41" s="35"/>
      <c r="R41" s="35"/>
      <c r="U41" s="37" t="s">
        <v>79</v>
      </c>
      <c r="V41" s="320">
        <f>Y39-Y40</f>
        <v>11.567276403928648</v>
      </c>
      <c r="W41" s="4"/>
      <c r="X41" s="6"/>
      <c r="Y41" s="402">
        <f t="shared" si="5"/>
        <v>11.567276403928648</v>
      </c>
      <c r="Z41" s="67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161.10698168087225</v>
      </c>
      <c r="W42" s="4"/>
      <c r="X42" s="6"/>
      <c r="Y42" s="402">
        <f t="shared" si="5"/>
        <v>161.10698168087225</v>
      </c>
      <c r="Z42" s="67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61.70152197530242</v>
      </c>
      <c r="W43" s="4"/>
      <c r="X43" s="6"/>
      <c r="Y43" s="402">
        <f t="shared" si="5"/>
        <v>61.70152197530242</v>
      </c>
      <c r="Z43" s="67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39.543548615193743</v>
      </c>
      <c r="W44" s="40">
        <f>(W39-W40)/40*100</f>
        <v>-4.9833729687980446</v>
      </c>
      <c r="X44" s="400">
        <f>(X39-X40)/40*100</f>
        <v>-5.6419846365740751</v>
      </c>
      <c r="Y44" s="403">
        <f t="shared" si="5"/>
        <v>28.918191009821623</v>
      </c>
      <c r="Z44" s="68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7">
    <mergeCell ref="W16:W18"/>
    <mergeCell ref="W28:W29"/>
    <mergeCell ref="X16:X18"/>
    <mergeCell ref="X28:X29"/>
    <mergeCell ref="U28:U29"/>
    <mergeCell ref="V28:V29"/>
    <mergeCell ref="U16:U18"/>
    <mergeCell ref="B34:B37"/>
    <mergeCell ref="C35:C36"/>
    <mergeCell ref="R2:T2"/>
    <mergeCell ref="S16:S18"/>
    <mergeCell ref="T16:T18"/>
    <mergeCell ref="S28:S29"/>
    <mergeCell ref="T28:T29"/>
    <mergeCell ref="R28:R29"/>
    <mergeCell ref="G30:G33"/>
    <mergeCell ref="H30:H33"/>
    <mergeCell ref="K28:K29"/>
    <mergeCell ref="L28:L29"/>
    <mergeCell ref="M28:M29"/>
    <mergeCell ref="N28:N29"/>
    <mergeCell ref="H8:H14"/>
    <mergeCell ref="G9:G14"/>
    <mergeCell ref="O28:O29"/>
    <mergeCell ref="P28:P29"/>
    <mergeCell ref="H24:H29"/>
    <mergeCell ref="D27:D29"/>
    <mergeCell ref="E27:E29"/>
    <mergeCell ref="G27:G29"/>
    <mergeCell ref="I28:I29"/>
    <mergeCell ref="J28:J29"/>
    <mergeCell ref="H19:H20"/>
    <mergeCell ref="C21:C22"/>
    <mergeCell ref="B24:B33"/>
    <mergeCell ref="C24:C33"/>
    <mergeCell ref="D24:D26"/>
    <mergeCell ref="E24:E26"/>
    <mergeCell ref="G24:G26"/>
    <mergeCell ref="D31:D33"/>
    <mergeCell ref="E31:E33"/>
    <mergeCell ref="N16:N18"/>
    <mergeCell ref="O16:O18"/>
    <mergeCell ref="P16:P18"/>
    <mergeCell ref="R16:R18"/>
    <mergeCell ref="V16:V18"/>
    <mergeCell ref="H16:H18"/>
    <mergeCell ref="I16:I18"/>
    <mergeCell ref="J16:J18"/>
    <mergeCell ref="K16:K18"/>
    <mergeCell ref="L16:L18"/>
    <mergeCell ref="B5:B7"/>
    <mergeCell ref="C5:C6"/>
    <mergeCell ref="G5:G6"/>
    <mergeCell ref="C7:C8"/>
    <mergeCell ref="B8:B22"/>
    <mergeCell ref="C9:C20"/>
    <mergeCell ref="D12:D13"/>
    <mergeCell ref="D19:D20"/>
    <mergeCell ref="G19:G20"/>
    <mergeCell ref="E12:E13"/>
    <mergeCell ref="D14:D15"/>
    <mergeCell ref="E14:E15"/>
    <mergeCell ref="D16:D18"/>
    <mergeCell ref="E16:E18"/>
    <mergeCell ref="G16:G18"/>
    <mergeCell ref="F16:F18"/>
    <mergeCell ref="B3:B4"/>
    <mergeCell ref="C3:D4"/>
    <mergeCell ref="E3:E4"/>
    <mergeCell ref="F3:F4"/>
    <mergeCell ref="G3:G4"/>
    <mergeCell ref="U2:Z2"/>
    <mergeCell ref="Y16:Y18"/>
    <mergeCell ref="Y28:Y29"/>
    <mergeCell ref="C2:D2"/>
    <mergeCell ref="K2:M2"/>
    <mergeCell ref="N2:P2"/>
    <mergeCell ref="H3:H4"/>
    <mergeCell ref="I3:I4"/>
    <mergeCell ref="P3:P4"/>
    <mergeCell ref="J3:J4"/>
    <mergeCell ref="K3:K4"/>
    <mergeCell ref="L3:L4"/>
    <mergeCell ref="M3:M4"/>
    <mergeCell ref="N3:N4"/>
    <mergeCell ref="O3:O4"/>
    <mergeCell ref="M16:M18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685B-0EE9-471A-AC97-465D76ED836A}">
  <dimension ref="B1:AC52"/>
  <sheetViews>
    <sheetView zoomScale="85" zoomScaleNormal="85" workbookViewId="0">
      <pane xSplit="5" topLeftCell="M1" activePane="topRight" state="frozen"/>
      <selection activeCell="X3" sqref="X3"/>
      <selection pane="topRight" activeCell="V28" sqref="V28:V29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9" width="12.125" style="1" bestFit="1" customWidth="1"/>
    <col min="20" max="20" width="12.375" style="1" bestFit="1" customWidth="1"/>
    <col min="21" max="21" width="30" style="1" bestFit="1" customWidth="1"/>
    <col min="22" max="22" width="13.375" style="1" bestFit="1" customWidth="1"/>
    <col min="23" max="23" width="11.5" style="1" bestFit="1" customWidth="1"/>
    <col min="24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0.12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5" t="s">
        <v>115</v>
      </c>
      <c r="C2" s="415" t="s">
        <v>183</v>
      </c>
      <c r="D2" s="417"/>
      <c r="E2" s="45" t="s">
        <v>57</v>
      </c>
      <c r="F2" s="45" t="s">
        <v>215</v>
      </c>
      <c r="G2" s="45" t="s">
        <v>202</v>
      </c>
      <c r="H2" s="45" t="s">
        <v>190</v>
      </c>
      <c r="I2" s="45" t="s">
        <v>39</v>
      </c>
      <c r="J2" s="52" t="s">
        <v>134</v>
      </c>
      <c r="K2" s="415" t="s">
        <v>4</v>
      </c>
      <c r="L2" s="416"/>
      <c r="M2" s="417"/>
      <c r="N2" s="415" t="s">
        <v>61</v>
      </c>
      <c r="O2" s="416"/>
      <c r="P2" s="417"/>
      <c r="R2" s="415" t="s">
        <v>75</v>
      </c>
      <c r="S2" s="416"/>
      <c r="T2" s="417"/>
      <c r="U2" s="415" t="s">
        <v>119</v>
      </c>
      <c r="V2" s="416"/>
      <c r="W2" s="416"/>
      <c r="X2" s="416"/>
      <c r="Y2" s="416"/>
      <c r="Z2" s="417"/>
      <c r="AB2" s="65" t="s">
        <v>73</v>
      </c>
      <c r="AC2" s="60"/>
    </row>
    <row r="3" spans="2:29">
      <c r="B3" s="475"/>
      <c r="C3" s="496"/>
      <c r="D3" s="497"/>
      <c r="E3" s="475"/>
      <c r="F3" s="475"/>
      <c r="G3" s="475"/>
      <c r="H3" s="475"/>
      <c r="I3" s="475"/>
      <c r="J3" s="475"/>
      <c r="K3" s="454" t="s">
        <v>42</v>
      </c>
      <c r="L3" s="471" t="s">
        <v>59</v>
      </c>
      <c r="M3" s="473" t="s">
        <v>72</v>
      </c>
      <c r="N3" s="454" t="s">
        <v>38</v>
      </c>
      <c r="O3" s="471" t="s">
        <v>59</v>
      </c>
      <c r="P3" s="473" t="s">
        <v>72</v>
      </c>
      <c r="Q3" s="1" t="s">
        <v>39</v>
      </c>
      <c r="R3" s="54" t="s">
        <v>252</v>
      </c>
      <c r="S3" s="54" t="s">
        <v>251</v>
      </c>
      <c r="T3" s="54" t="s">
        <v>254</v>
      </c>
      <c r="U3" s="69"/>
      <c r="V3" s="283" t="s">
        <v>252</v>
      </c>
      <c r="W3" s="284" t="s">
        <v>251</v>
      </c>
      <c r="X3" s="283" t="s">
        <v>254</v>
      </c>
      <c r="Y3" s="53" t="s">
        <v>255</v>
      </c>
      <c r="Z3" s="131"/>
      <c r="AB3" s="43" t="s">
        <v>140</v>
      </c>
      <c r="AC3" s="42">
        <f>parameter!C8</f>
        <v>5676.9848887954295</v>
      </c>
    </row>
    <row r="4" spans="2:29" ht="15" thickBot="1">
      <c r="B4" s="476"/>
      <c r="C4" s="498"/>
      <c r="D4" s="499"/>
      <c r="E4" s="476"/>
      <c r="F4" s="476"/>
      <c r="G4" s="476"/>
      <c r="H4" s="476"/>
      <c r="I4" s="476"/>
      <c r="J4" s="476"/>
      <c r="K4" s="456"/>
      <c r="L4" s="472"/>
      <c r="M4" s="474"/>
      <c r="N4" s="456"/>
      <c r="O4" s="472"/>
      <c r="P4" s="474"/>
      <c r="Q4" s="35" t="s">
        <v>50</v>
      </c>
      <c r="R4" s="243">
        <f>AC6</f>
        <v>3654.1161779686181</v>
      </c>
      <c r="S4" s="243">
        <f>AC7-AC5</f>
        <v>1361.8687108268114</v>
      </c>
      <c r="T4" s="243">
        <f>AC5</f>
        <v>661</v>
      </c>
      <c r="U4" s="130"/>
      <c r="V4" s="244">
        <f>AC6</f>
        <v>3654.1161779686181</v>
      </c>
      <c r="W4" s="244">
        <f>AC7-AC5</f>
        <v>1361.8687108268114</v>
      </c>
      <c r="X4" s="244">
        <f>AC5</f>
        <v>661</v>
      </c>
      <c r="Y4" s="368">
        <f>V4+W4+X4</f>
        <v>5676.9848887954295</v>
      </c>
      <c r="Z4" s="288"/>
      <c r="AB4" s="43" t="s">
        <v>136</v>
      </c>
      <c r="AC4" s="42">
        <v>681</v>
      </c>
    </row>
    <row r="5" spans="2:29" ht="15">
      <c r="B5" s="462" t="s">
        <v>185</v>
      </c>
      <c r="C5" s="454"/>
      <c r="D5" s="70" t="s">
        <v>196</v>
      </c>
      <c r="E5" s="54" t="s">
        <v>112</v>
      </c>
      <c r="F5" s="54" t="s">
        <v>249</v>
      </c>
      <c r="G5" s="475" t="s">
        <v>206</v>
      </c>
      <c r="H5" s="54"/>
      <c r="I5" s="54"/>
      <c r="J5" s="148"/>
      <c r="K5" s="152"/>
      <c r="L5" s="153"/>
      <c r="M5" s="154"/>
      <c r="N5" s="152"/>
      <c r="O5" s="369">
        <v>0.8</v>
      </c>
      <c r="P5" s="154"/>
      <c r="Q5" s="35"/>
      <c r="R5" s="327">
        <v>1</v>
      </c>
      <c r="S5" s="327">
        <v>1</v>
      </c>
      <c r="T5" s="327">
        <v>1</v>
      </c>
      <c r="U5" s="328"/>
      <c r="V5" s="378">
        <f>R5*O5*V4/Y4</f>
        <v>0.51493759445168674</v>
      </c>
      <c r="W5" s="378">
        <f>O5*S5*W4/Y4</f>
        <v>0.19191436827879657</v>
      </c>
      <c r="X5" s="379">
        <f>O5*T5*X4/Y4</f>
        <v>9.3148037269516745E-2</v>
      </c>
      <c r="Y5" s="313">
        <f>V5+W5+X5</f>
        <v>0.8</v>
      </c>
      <c r="Z5" s="329"/>
      <c r="AB5" s="43" t="s">
        <v>126</v>
      </c>
      <c r="AC5" s="42">
        <v>661</v>
      </c>
    </row>
    <row r="6" spans="2:29">
      <c r="B6" s="463"/>
      <c r="C6" s="461"/>
      <c r="D6" s="36" t="s">
        <v>197</v>
      </c>
      <c r="E6" s="350" t="s">
        <v>256</v>
      </c>
      <c r="F6" s="28"/>
      <c r="G6" s="495"/>
      <c r="H6" s="28"/>
      <c r="I6" s="28"/>
      <c r="J6" s="149"/>
      <c r="K6" s="157"/>
      <c r="L6" s="158"/>
      <c r="M6" s="159"/>
      <c r="N6" s="157"/>
      <c r="O6" s="158"/>
      <c r="P6" s="159"/>
      <c r="Q6" s="279"/>
      <c r="R6" s="155">
        <v>1</v>
      </c>
      <c r="S6" s="155">
        <v>1</v>
      </c>
      <c r="T6" s="155">
        <v>1</v>
      </c>
      <c r="U6" s="156"/>
      <c r="V6" s="381">
        <f>R6*O6*V4/Y4</f>
        <v>0</v>
      </c>
      <c r="W6" s="156">
        <f>O6*S6*W4/Y4</f>
        <v>0</v>
      </c>
      <c r="X6" s="290">
        <f>O6*T6*X4/Y4</f>
        <v>0</v>
      </c>
      <c r="Y6" s="383">
        <f t="shared" ref="Y6:Y37" si="0">V6+W6+X6</f>
        <v>0</v>
      </c>
      <c r="Z6" s="300"/>
      <c r="AB6" s="43" t="s">
        <v>0</v>
      </c>
      <c r="AC6" s="42">
        <f>parameter!C10</f>
        <v>3654.1161779686181</v>
      </c>
    </row>
    <row r="7" spans="2:29" ht="15" thickBot="1">
      <c r="B7" s="494"/>
      <c r="C7" s="500" t="s">
        <v>188</v>
      </c>
      <c r="D7" s="140" t="s">
        <v>106</v>
      </c>
      <c r="E7" s="121" t="s">
        <v>207</v>
      </c>
      <c r="F7" s="121"/>
      <c r="G7" s="121" t="s">
        <v>199</v>
      </c>
      <c r="H7" s="132"/>
      <c r="I7" s="121"/>
      <c r="J7" s="133"/>
      <c r="K7" s="233"/>
      <c r="L7" s="234"/>
      <c r="M7" s="235"/>
      <c r="N7" s="160"/>
      <c r="O7" s="161"/>
      <c r="P7" s="162"/>
      <c r="Q7" s="279"/>
      <c r="R7" s="330">
        <v>1</v>
      </c>
      <c r="S7" s="330">
        <v>1</v>
      </c>
      <c r="T7" s="341">
        <v>1</v>
      </c>
      <c r="U7" s="331"/>
      <c r="V7" s="380">
        <f>R7*O7*V4/Y4</f>
        <v>0</v>
      </c>
      <c r="W7" s="332">
        <f>O7*S7*W4/Y4</f>
        <v>0</v>
      </c>
      <c r="X7" s="342">
        <f>O7*T7*X4/Y4</f>
        <v>0</v>
      </c>
      <c r="Y7" s="397">
        <f t="shared" si="0"/>
        <v>0</v>
      </c>
      <c r="Z7" s="343"/>
      <c r="AB7" s="43" t="s">
        <v>25</v>
      </c>
      <c r="AC7" s="42">
        <f>parameter!C11</f>
        <v>2022.8687108268114</v>
      </c>
    </row>
    <row r="8" spans="2:29" ht="15">
      <c r="B8" s="462" t="s">
        <v>184</v>
      </c>
      <c r="C8" s="501"/>
      <c r="D8" s="351" t="s">
        <v>257</v>
      </c>
      <c r="E8" s="120" t="s">
        <v>210</v>
      </c>
      <c r="F8" s="120"/>
      <c r="G8" s="120" t="s">
        <v>208</v>
      </c>
      <c r="H8" s="459" t="s">
        <v>191</v>
      </c>
      <c r="I8" s="128"/>
      <c r="J8" s="229">
        <v>3.3</v>
      </c>
      <c r="K8" s="193"/>
      <c r="L8" s="164">
        <v>9.3000000000000005E-4</v>
      </c>
      <c r="M8" s="165"/>
      <c r="N8" s="163"/>
      <c r="O8" s="166">
        <f>J8*L8</f>
        <v>3.0690000000000001E-3</v>
      </c>
      <c r="P8" s="167"/>
      <c r="Q8" s="35"/>
      <c r="R8" s="280">
        <v>1</v>
      </c>
      <c r="S8" s="280">
        <v>1</v>
      </c>
      <c r="T8" s="280">
        <v>1</v>
      </c>
      <c r="U8" s="326"/>
      <c r="V8" s="326">
        <f>R8*O8*V4/Y4</f>
        <v>1.9754293467152831E-3</v>
      </c>
      <c r="W8" s="326">
        <f>O8*S8*W4/Y4</f>
        <v>7.3623149530953347E-4</v>
      </c>
      <c r="X8" s="340">
        <f>O8*T8*X4/Y4</f>
        <v>3.5733915797518358E-4</v>
      </c>
      <c r="Y8" s="386">
        <f t="shared" si="0"/>
        <v>3.0690000000000001E-3</v>
      </c>
      <c r="Z8" s="307"/>
      <c r="AB8" s="246" t="s">
        <v>125</v>
      </c>
      <c r="AC8" s="42">
        <v>0.3</v>
      </c>
    </row>
    <row r="9" spans="2:29" ht="15">
      <c r="B9" s="463"/>
      <c r="C9" s="460" t="s">
        <v>189</v>
      </c>
      <c r="D9" s="352" t="s">
        <v>209</v>
      </c>
      <c r="E9" s="120" t="s">
        <v>210</v>
      </c>
      <c r="F9" s="353" t="s">
        <v>258</v>
      </c>
      <c r="G9" s="412" t="s">
        <v>211</v>
      </c>
      <c r="H9" s="414"/>
      <c r="I9" s="29"/>
      <c r="J9" s="150">
        <v>3.3</v>
      </c>
      <c r="K9" s="171"/>
      <c r="L9" s="172">
        <f>O9/J9</f>
        <v>1.5151515151515154E-3</v>
      </c>
      <c r="M9" s="173"/>
      <c r="N9" s="163"/>
      <c r="O9" s="354">
        <v>5.0000000000000001E-3</v>
      </c>
      <c r="P9" s="170"/>
      <c r="Q9" s="35"/>
      <c r="R9" s="168">
        <v>1</v>
      </c>
      <c r="S9" s="168">
        <v>1</v>
      </c>
      <c r="T9" s="168">
        <v>1</v>
      </c>
      <c r="U9" s="169"/>
      <c r="V9" s="326">
        <f>R9*O9*V4/Y4</f>
        <v>3.2183599653230421E-3</v>
      </c>
      <c r="W9" s="326">
        <f>O9*S9*W4/Y4</f>
        <v>1.1994648017424787E-3</v>
      </c>
      <c r="X9" s="340">
        <f>O9*T9*X4/Y4</f>
        <v>5.8217523293447964E-4</v>
      </c>
      <c r="Y9" s="317">
        <f t="shared" si="0"/>
        <v>5.000000000000001E-3</v>
      </c>
      <c r="Z9" s="302"/>
      <c r="AB9" s="43" t="s">
        <v>54</v>
      </c>
      <c r="AC9" s="42">
        <v>0.6</v>
      </c>
    </row>
    <row r="10" spans="2:29" ht="15">
      <c r="B10" s="463"/>
      <c r="C10" s="455"/>
      <c r="D10" s="134" t="s">
        <v>200</v>
      </c>
      <c r="E10" s="30" t="s">
        <v>16</v>
      </c>
      <c r="F10" s="237"/>
      <c r="G10" s="414"/>
      <c r="H10" s="414"/>
      <c r="I10" s="30"/>
      <c r="J10" s="230">
        <v>3.3</v>
      </c>
      <c r="K10" s="171"/>
      <c r="L10" s="172">
        <f t="shared" ref="L10:L14" si="1">O10/J10</f>
        <v>3.6363636363636362E-2</v>
      </c>
      <c r="M10" s="173">
        <f t="shared" ref="M10:M13" si="2">P10/J10</f>
        <v>6.0606060606060615E-2</v>
      </c>
      <c r="N10" s="171"/>
      <c r="O10" s="174">
        <v>0.12</v>
      </c>
      <c r="P10" s="170">
        <v>0.2</v>
      </c>
      <c r="Q10" s="35"/>
      <c r="R10" s="168">
        <v>1</v>
      </c>
      <c r="S10" s="168">
        <v>1</v>
      </c>
      <c r="T10" s="168">
        <v>1</v>
      </c>
      <c r="U10" s="169"/>
      <c r="V10" s="169">
        <f>R10*O10*V4/Y4</f>
        <v>7.7240639167752992E-2</v>
      </c>
      <c r="W10" s="169">
        <f>O10*S10*W4/Y4</f>
        <v>2.8787155241819483E-2</v>
      </c>
      <c r="X10" s="291">
        <f>P10*T10*X4/Y4</f>
        <v>2.3287009317379186E-2</v>
      </c>
      <c r="Y10" s="317">
        <f t="shared" si="0"/>
        <v>0.12931480372695164</v>
      </c>
      <c r="Z10" s="302"/>
      <c r="AB10" s="43" t="s">
        <v>29</v>
      </c>
      <c r="AC10" s="42">
        <v>0.8</v>
      </c>
    </row>
    <row r="11" spans="2:29" ht="15">
      <c r="B11" s="463"/>
      <c r="C11" s="455"/>
      <c r="D11" s="147" t="s">
        <v>203</v>
      </c>
      <c r="E11" s="31" t="s">
        <v>83</v>
      </c>
      <c r="F11" s="30"/>
      <c r="G11" s="414"/>
      <c r="H11" s="414"/>
      <c r="I11" s="30"/>
      <c r="J11" s="230">
        <v>3.3</v>
      </c>
      <c r="K11" s="171"/>
      <c r="L11" s="172">
        <f t="shared" si="1"/>
        <v>6.0606060606060615E-2</v>
      </c>
      <c r="M11" s="173">
        <f t="shared" si="2"/>
        <v>0.12121212121212123</v>
      </c>
      <c r="N11" s="171"/>
      <c r="O11" s="174">
        <v>0.2</v>
      </c>
      <c r="P11" s="170">
        <v>0.4</v>
      </c>
      <c r="Q11" s="35"/>
      <c r="R11" s="168">
        <v>1</v>
      </c>
      <c r="S11" s="168">
        <v>1</v>
      </c>
      <c r="T11" s="168">
        <v>1</v>
      </c>
      <c r="U11" s="169"/>
      <c r="V11" s="169">
        <f>R11*O11*V4/Y4</f>
        <v>0.12873439861292169</v>
      </c>
      <c r="W11" s="169">
        <f>O11*S11*W4/Y4</f>
        <v>4.7978592069699143E-2</v>
      </c>
      <c r="X11" s="291">
        <f>P11*T11*X4/Y4</f>
        <v>4.6574018634758373E-2</v>
      </c>
      <c r="Y11" s="317">
        <f t="shared" si="0"/>
        <v>0.22328700931737921</v>
      </c>
      <c r="Z11" s="302"/>
      <c r="AB11" s="43" t="s">
        <v>56</v>
      </c>
      <c r="AC11" s="42">
        <v>0.8</v>
      </c>
    </row>
    <row r="12" spans="2:29" ht="15">
      <c r="B12" s="463"/>
      <c r="C12" s="455"/>
      <c r="D12" s="489"/>
      <c r="E12" s="412" t="s">
        <v>12</v>
      </c>
      <c r="F12" s="30"/>
      <c r="G12" s="414"/>
      <c r="H12" s="414"/>
      <c r="I12" s="30" t="s">
        <v>266</v>
      </c>
      <c r="J12" s="230">
        <v>3.3</v>
      </c>
      <c r="K12" s="171"/>
      <c r="L12" s="172">
        <f t="shared" si="1"/>
        <v>6.0606060606060615E-2</v>
      </c>
      <c r="M12" s="173"/>
      <c r="N12" s="171"/>
      <c r="O12" s="174">
        <v>0.2</v>
      </c>
      <c r="P12" s="173"/>
      <c r="Q12" s="35"/>
      <c r="R12" s="168">
        <f>100%-R13</f>
        <v>0</v>
      </c>
      <c r="S12" s="168">
        <f>100%-S13</f>
        <v>0</v>
      </c>
      <c r="T12" s="168">
        <f>100%-T13</f>
        <v>0</v>
      </c>
      <c r="U12" s="169"/>
      <c r="V12" s="169">
        <f>R12*O12*V4/Y4</f>
        <v>0</v>
      </c>
      <c r="W12" s="169">
        <f>O12*S12*W4/Y4</f>
        <v>0</v>
      </c>
      <c r="X12" s="291">
        <f>T12*P12*X4/Y4</f>
        <v>0</v>
      </c>
      <c r="Y12" s="317">
        <f t="shared" si="0"/>
        <v>0</v>
      </c>
      <c r="Z12" s="302"/>
      <c r="AB12" s="43" t="s">
        <v>80</v>
      </c>
      <c r="AC12" s="42">
        <v>0.2</v>
      </c>
    </row>
    <row r="13" spans="2:29" ht="15">
      <c r="B13" s="463"/>
      <c r="C13" s="455"/>
      <c r="D13" s="490"/>
      <c r="E13" s="413"/>
      <c r="F13" s="355" t="s">
        <v>216</v>
      </c>
      <c r="G13" s="414"/>
      <c r="H13" s="414"/>
      <c r="I13" s="355" t="s">
        <v>259</v>
      </c>
      <c r="J13" s="230">
        <v>3.3</v>
      </c>
      <c r="K13" s="171"/>
      <c r="L13" s="172">
        <f t="shared" si="1"/>
        <v>8.6363636363636365E-2</v>
      </c>
      <c r="M13" s="173">
        <f t="shared" si="2"/>
        <v>0.13333333333333333</v>
      </c>
      <c r="N13" s="268"/>
      <c r="O13" s="174">
        <v>0.28499999999999998</v>
      </c>
      <c r="P13" s="239">
        <v>0.44</v>
      </c>
      <c r="Q13" s="35"/>
      <c r="R13" s="168">
        <f>R16</f>
        <v>1</v>
      </c>
      <c r="S13" s="168">
        <f>S16</f>
        <v>1</v>
      </c>
      <c r="T13" s="168">
        <f>T16</f>
        <v>1</v>
      </c>
      <c r="U13" s="169"/>
      <c r="V13" s="169">
        <f>R13*O13*V4/Y4</f>
        <v>0.18344651802341336</v>
      </c>
      <c r="W13" s="169">
        <f>O13*S13*W4/Y4</f>
        <v>6.8369493699321271E-2</v>
      </c>
      <c r="X13" s="291">
        <f>P13*T13*X4/Y4</f>
        <v>5.1231420498234204E-2</v>
      </c>
      <c r="Y13" s="317">
        <f t="shared" si="0"/>
        <v>0.3030474322209688</v>
      </c>
      <c r="Z13" s="302"/>
      <c r="AB13" s="43" t="s">
        <v>118</v>
      </c>
      <c r="AC13" s="42">
        <v>0.9</v>
      </c>
    </row>
    <row r="14" spans="2:29" ht="15.75" thickBot="1">
      <c r="B14" s="463"/>
      <c r="C14" s="455"/>
      <c r="D14" s="489" t="s">
        <v>204</v>
      </c>
      <c r="E14" s="412" t="s">
        <v>31</v>
      </c>
      <c r="F14" s="30" t="s">
        <v>217</v>
      </c>
      <c r="G14" s="414"/>
      <c r="H14" s="414"/>
      <c r="I14" s="30" t="s">
        <v>266</v>
      </c>
      <c r="J14" s="230">
        <v>3.3</v>
      </c>
      <c r="K14" s="171"/>
      <c r="L14" s="172">
        <f t="shared" si="1"/>
        <v>1.0606060606060608E-2</v>
      </c>
      <c r="M14" s="173"/>
      <c r="N14" s="175"/>
      <c r="O14" s="174">
        <v>3.5000000000000003E-2</v>
      </c>
      <c r="P14" s="176"/>
      <c r="Q14" s="35"/>
      <c r="R14" s="168">
        <v>1</v>
      </c>
      <c r="S14" s="168">
        <v>1</v>
      </c>
      <c r="T14" s="168">
        <v>1</v>
      </c>
      <c r="U14" s="169"/>
      <c r="V14" s="169">
        <f>R14*O14*V4/Y4</f>
        <v>2.2528519757261296E-2</v>
      </c>
      <c r="W14" s="169">
        <f>O14*S14*W4/Y4</f>
        <v>8.3962536121973512E-3</v>
      </c>
      <c r="X14" s="291">
        <f>T14*O14*X4/Y4</f>
        <v>4.0752266305413573E-3</v>
      </c>
      <c r="Y14" s="317">
        <f t="shared" si="0"/>
        <v>3.5000000000000003E-2</v>
      </c>
      <c r="Z14" s="302"/>
      <c r="AB14" s="142" t="s">
        <v>141</v>
      </c>
      <c r="AC14" s="44">
        <v>0.4</v>
      </c>
    </row>
    <row r="15" spans="2:29" ht="15">
      <c r="B15" s="463"/>
      <c r="C15" s="455"/>
      <c r="D15" s="490"/>
      <c r="E15" s="413"/>
      <c r="F15" s="286" t="s">
        <v>218</v>
      </c>
      <c r="G15" s="360" t="s">
        <v>211</v>
      </c>
      <c r="H15" s="360" t="s">
        <v>261</v>
      </c>
      <c r="I15" s="286" t="s">
        <v>250</v>
      </c>
      <c r="J15" s="365">
        <v>8</v>
      </c>
      <c r="K15" s="356"/>
      <c r="L15" s="364">
        <v>0.62</v>
      </c>
      <c r="M15" s="357"/>
      <c r="N15" s="358"/>
      <c r="O15" s="361">
        <f>J15*L15</f>
        <v>4.96</v>
      </c>
      <c r="P15" s="359"/>
      <c r="Q15" s="35"/>
      <c r="R15" s="370"/>
      <c r="S15" s="370"/>
      <c r="T15" s="370"/>
      <c r="U15" s="371"/>
      <c r="V15" s="371"/>
      <c r="W15" s="371"/>
      <c r="X15" s="376"/>
      <c r="Y15" s="398"/>
      <c r="Z15" s="377"/>
    </row>
    <row r="16" spans="2:29" ht="15.75" customHeight="1">
      <c r="B16" s="463"/>
      <c r="C16" s="455"/>
      <c r="D16" s="491" t="s">
        <v>205</v>
      </c>
      <c r="E16" s="465" t="s">
        <v>212</v>
      </c>
      <c r="F16" s="502"/>
      <c r="G16" s="465" t="s">
        <v>211</v>
      </c>
      <c r="H16" s="466" t="s">
        <v>260</v>
      </c>
      <c r="I16" s="465"/>
      <c r="J16" s="486">
        <v>8.26</v>
      </c>
      <c r="K16" s="477">
        <f>0.065*3/J16</f>
        <v>2.3607748184019371E-2</v>
      </c>
      <c r="L16" s="478">
        <f>0.19*3/J16</f>
        <v>6.9007263922518172E-2</v>
      </c>
      <c r="M16" s="481">
        <f>2.3*3/J16</f>
        <v>0.83535108958837767</v>
      </c>
      <c r="N16" s="482">
        <v>6.5000000000000002E-2</v>
      </c>
      <c r="O16" s="483">
        <v>0.19</v>
      </c>
      <c r="P16" s="484">
        <v>2.2999999999999998</v>
      </c>
      <c r="Q16" s="35"/>
      <c r="R16" s="426">
        <v>1</v>
      </c>
      <c r="S16" s="426">
        <v>1</v>
      </c>
      <c r="T16" s="426">
        <v>1</v>
      </c>
      <c r="U16" s="429"/>
      <c r="V16" s="432">
        <f>R16*O16*V4/Y4</f>
        <v>0.12229767868227558</v>
      </c>
      <c r="W16" s="432">
        <f>O16*S16*W4/Y4</f>
        <v>4.5579662466214192E-2</v>
      </c>
      <c r="X16" s="510">
        <f>P16*T16*X4/Y4</f>
        <v>0.26780060714986059</v>
      </c>
      <c r="Y16" s="505">
        <f t="shared" si="0"/>
        <v>0.43567794829835038</v>
      </c>
      <c r="Z16" s="373"/>
    </row>
    <row r="17" spans="2:26" ht="14.25" customHeight="1">
      <c r="B17" s="463"/>
      <c r="C17" s="455"/>
      <c r="D17" s="492"/>
      <c r="E17" s="466"/>
      <c r="F17" s="503"/>
      <c r="G17" s="466"/>
      <c r="H17" s="466"/>
      <c r="I17" s="466"/>
      <c r="J17" s="487"/>
      <c r="K17" s="477"/>
      <c r="L17" s="479"/>
      <c r="M17" s="481"/>
      <c r="N17" s="482"/>
      <c r="O17" s="483"/>
      <c r="P17" s="484"/>
      <c r="Q17" s="35"/>
      <c r="R17" s="427"/>
      <c r="S17" s="427"/>
      <c r="T17" s="427"/>
      <c r="U17" s="430"/>
      <c r="V17" s="433"/>
      <c r="W17" s="433"/>
      <c r="X17" s="511"/>
      <c r="Y17" s="506"/>
      <c r="Z17" s="374"/>
    </row>
    <row r="18" spans="2:26" ht="14.25" customHeight="1">
      <c r="B18" s="463"/>
      <c r="C18" s="455"/>
      <c r="D18" s="493"/>
      <c r="E18" s="467"/>
      <c r="F18" s="504"/>
      <c r="G18" s="467"/>
      <c r="H18" s="467"/>
      <c r="I18" s="467"/>
      <c r="J18" s="488"/>
      <c r="K18" s="477"/>
      <c r="L18" s="480"/>
      <c r="M18" s="481"/>
      <c r="N18" s="482"/>
      <c r="O18" s="483"/>
      <c r="P18" s="484"/>
      <c r="Q18" s="35"/>
      <c r="R18" s="428"/>
      <c r="S18" s="428"/>
      <c r="T18" s="428"/>
      <c r="U18" s="431"/>
      <c r="V18" s="434"/>
      <c r="W18" s="434"/>
      <c r="X18" s="512"/>
      <c r="Y18" s="507"/>
      <c r="Z18" s="375"/>
    </row>
    <row r="19" spans="2:26" ht="15">
      <c r="B19" s="463"/>
      <c r="C19" s="455"/>
      <c r="D19" s="451" t="s">
        <v>201</v>
      </c>
      <c r="E19" s="34" t="s">
        <v>194</v>
      </c>
      <c r="F19" s="362" t="s">
        <v>263</v>
      </c>
      <c r="G19" s="449" t="s">
        <v>211</v>
      </c>
      <c r="H19" s="448" t="s">
        <v>192</v>
      </c>
      <c r="I19" s="138"/>
      <c r="J19" s="231">
        <v>5</v>
      </c>
      <c r="K19" s="223"/>
      <c r="L19" s="224">
        <f>0.07*2</f>
        <v>0.14000000000000001</v>
      </c>
      <c r="M19" s="236">
        <f>0.167*2</f>
        <v>0.33400000000000002</v>
      </c>
      <c r="N19" s="177"/>
      <c r="O19" s="178">
        <f>L19*J19</f>
        <v>0.70000000000000007</v>
      </c>
      <c r="P19" s="179">
        <f>M19*J19</f>
        <v>1.6700000000000002</v>
      </c>
      <c r="Q19" s="35"/>
      <c r="R19" s="180">
        <v>0</v>
      </c>
      <c r="S19" s="180">
        <v>0</v>
      </c>
      <c r="T19" s="180">
        <v>1</v>
      </c>
      <c r="U19" s="181"/>
      <c r="V19" s="181">
        <f>R19*O19*V4/Y4</f>
        <v>0</v>
      </c>
      <c r="W19" s="181">
        <f>S19*O19*W4/Y4</f>
        <v>0</v>
      </c>
      <c r="X19" s="292">
        <f>T19*O19*X4/Y4</f>
        <v>8.1504532610827157E-2</v>
      </c>
      <c r="Y19" s="385">
        <f t="shared" si="0"/>
        <v>8.1504532610827157E-2</v>
      </c>
      <c r="Z19" s="303"/>
    </row>
    <row r="20" spans="2:26" ht="15">
      <c r="B20" s="463"/>
      <c r="C20" s="461"/>
      <c r="D20" s="485"/>
      <c r="E20" s="34" t="s">
        <v>195</v>
      </c>
      <c r="F20" s="363" t="s">
        <v>262</v>
      </c>
      <c r="G20" s="468"/>
      <c r="H20" s="468"/>
      <c r="I20" s="34"/>
      <c r="J20" s="139">
        <v>5</v>
      </c>
      <c r="K20" s="223"/>
      <c r="L20" s="224">
        <v>6.4000000000000001E-2</v>
      </c>
      <c r="M20" s="226"/>
      <c r="N20" s="223"/>
      <c r="O20" s="227">
        <f>L20*J20</f>
        <v>0.32</v>
      </c>
      <c r="P20" s="226"/>
      <c r="Q20" s="35"/>
      <c r="R20" s="253">
        <v>0</v>
      </c>
      <c r="S20" s="253">
        <v>0</v>
      </c>
      <c r="T20" s="253">
        <v>1</v>
      </c>
      <c r="U20" s="254"/>
      <c r="V20" s="262">
        <f>R20*O20*V4/Y4</f>
        <v>0</v>
      </c>
      <c r="W20" s="262">
        <f>S20*O20*W4/Y4</f>
        <v>0</v>
      </c>
      <c r="X20" s="294">
        <f>T20*O20*X4/Y4</f>
        <v>3.7259214907806697E-2</v>
      </c>
      <c r="Y20" s="385">
        <f t="shared" si="0"/>
        <v>3.7259214907806697E-2</v>
      </c>
      <c r="Z20" s="308"/>
    </row>
    <row r="21" spans="2:26" ht="15">
      <c r="B21" s="463"/>
      <c r="C21" s="460"/>
      <c r="D21" s="145" t="s">
        <v>235</v>
      </c>
      <c r="E21" s="120" t="s">
        <v>48</v>
      </c>
      <c r="F21" s="120" t="s">
        <v>236</v>
      </c>
      <c r="G21" s="120" t="s">
        <v>214</v>
      </c>
      <c r="H21" s="120" t="s">
        <v>191</v>
      </c>
      <c r="I21" s="120"/>
      <c r="J21" s="232">
        <v>3.3</v>
      </c>
      <c r="K21" s="171"/>
      <c r="L21" s="172">
        <f>O21/J21</f>
        <v>3.6363636363636368E-3</v>
      </c>
      <c r="M21" s="173"/>
      <c r="N21" s="163"/>
      <c r="O21" s="166">
        <v>1.2E-2</v>
      </c>
      <c r="P21" s="225"/>
      <c r="Q21" s="35"/>
      <c r="R21" s="168">
        <v>1</v>
      </c>
      <c r="S21" s="168">
        <v>1</v>
      </c>
      <c r="T21" s="168">
        <v>1</v>
      </c>
      <c r="U21" s="344"/>
      <c r="V21" s="326">
        <f>R21*O21*V4/Y4</f>
        <v>7.7240639167753004E-3</v>
      </c>
      <c r="W21" s="326">
        <f>S21*O21*W4/Y4</f>
        <v>2.8787155241819487E-3</v>
      </c>
      <c r="X21" s="340">
        <f>T21*O21*X4/Y4</f>
        <v>1.3972205590427511E-3</v>
      </c>
      <c r="Y21" s="317">
        <f t="shared" si="0"/>
        <v>1.2E-2</v>
      </c>
      <c r="Z21" s="302"/>
    </row>
    <row r="22" spans="2:26" ht="15.75" thickBot="1">
      <c r="B22" s="464"/>
      <c r="C22" s="456"/>
      <c r="D22" s="146" t="s">
        <v>198</v>
      </c>
      <c r="E22" s="129" t="s">
        <v>47</v>
      </c>
      <c r="F22" s="245"/>
      <c r="G22" s="129" t="s">
        <v>213</v>
      </c>
      <c r="H22" s="129" t="s">
        <v>193</v>
      </c>
      <c r="I22" s="129"/>
      <c r="J22" s="144">
        <v>3.3</v>
      </c>
      <c r="K22" s="188"/>
      <c r="L22" s="189">
        <f>O22/J22</f>
        <v>0.39393939393939398</v>
      </c>
      <c r="M22" s="190"/>
      <c r="N22" s="188"/>
      <c r="O22" s="366">
        <v>1.3</v>
      </c>
      <c r="P22" s="190"/>
      <c r="Q22" s="35"/>
      <c r="R22" s="191">
        <v>0.5</v>
      </c>
      <c r="S22" s="191">
        <v>0.5</v>
      </c>
      <c r="T22" s="191">
        <v>1</v>
      </c>
      <c r="U22" s="192"/>
      <c r="V22" s="192">
        <f>R22*O22*V4/Y4</f>
        <v>0.41838679549199542</v>
      </c>
      <c r="W22" s="192">
        <f>S22*O22*W4/Y4</f>
        <v>0.15593042422652223</v>
      </c>
      <c r="X22" s="293">
        <f>T22*O22*X4/Y4</f>
        <v>0.15136556056296471</v>
      </c>
      <c r="Y22" s="319">
        <f t="shared" si="0"/>
        <v>0.72568278028148236</v>
      </c>
      <c r="Z22" s="305"/>
    </row>
    <row r="23" spans="2:26" ht="15.75" thickBot="1">
      <c r="B23" s="122" t="s">
        <v>14</v>
      </c>
      <c r="C23" s="51"/>
      <c r="D23" s="136" t="s">
        <v>223</v>
      </c>
      <c r="E23" s="123" t="s">
        <v>224</v>
      </c>
      <c r="F23" s="123"/>
      <c r="G23" s="123" t="s">
        <v>219</v>
      </c>
      <c r="H23" s="123" t="s">
        <v>191</v>
      </c>
      <c r="I23" s="123"/>
      <c r="J23" s="123">
        <v>3.3</v>
      </c>
      <c r="K23" s="199"/>
      <c r="L23" s="200">
        <f>0.13</f>
        <v>0.13</v>
      </c>
      <c r="M23" s="201"/>
      <c r="N23" s="199"/>
      <c r="O23" s="202">
        <f>L23*J23</f>
        <v>0.42899999999999999</v>
      </c>
      <c r="P23" s="201"/>
      <c r="Q23" s="35"/>
      <c r="R23" s="337">
        <v>1</v>
      </c>
      <c r="S23" s="337">
        <v>1</v>
      </c>
      <c r="T23" s="337">
        <v>1</v>
      </c>
      <c r="U23" s="338"/>
      <c r="V23" s="338">
        <f>R23*O23*V4/Y4</f>
        <v>0.27613528502471696</v>
      </c>
      <c r="W23" s="338">
        <f>S23*O23*W4/Y4</f>
        <v>0.10291407998950465</v>
      </c>
      <c r="X23" s="345">
        <f>T23*O23*X4/Y4</f>
        <v>4.9950634985778355E-2</v>
      </c>
      <c r="Y23" s="346">
        <f t="shared" si="0"/>
        <v>0.42899999999999994</v>
      </c>
      <c r="Z23" s="347"/>
    </row>
    <row r="24" spans="2:26" ht="15" customHeight="1">
      <c r="B24" s="462" t="s">
        <v>34</v>
      </c>
      <c r="C24" s="454"/>
      <c r="D24" s="469" t="s">
        <v>225</v>
      </c>
      <c r="E24" s="459" t="s">
        <v>226</v>
      </c>
      <c r="F24" s="282"/>
      <c r="G24" s="459" t="s">
        <v>220</v>
      </c>
      <c r="H24" s="459" t="s">
        <v>191</v>
      </c>
      <c r="I24" s="128" t="s">
        <v>237</v>
      </c>
      <c r="J24" s="127">
        <v>3.3</v>
      </c>
      <c r="K24" s="193"/>
      <c r="L24" s="194">
        <v>1.2999999999999999E-2</v>
      </c>
      <c r="M24" s="249"/>
      <c r="N24" s="193"/>
      <c r="O24" s="367">
        <f>L24*J24</f>
        <v>4.2899999999999994E-2</v>
      </c>
      <c r="P24" s="249"/>
      <c r="Q24" s="278"/>
      <c r="R24" s="280"/>
      <c r="S24" s="280"/>
      <c r="T24" s="280"/>
      <c r="U24" s="326"/>
      <c r="V24" s="326">
        <f>R24*O24*V4/Y4</f>
        <v>0</v>
      </c>
      <c r="W24" s="326">
        <f>S24*O24*W4/Y4</f>
        <v>0</v>
      </c>
      <c r="X24" s="340">
        <f>T24*O24*X4/Y4</f>
        <v>0</v>
      </c>
      <c r="Y24" s="386">
        <f t="shared" si="0"/>
        <v>0</v>
      </c>
      <c r="Z24" s="307"/>
    </row>
    <row r="25" spans="2:26" ht="15">
      <c r="B25" s="463"/>
      <c r="C25" s="455"/>
      <c r="D25" s="458"/>
      <c r="E25" s="414"/>
      <c r="F25" s="150" t="s">
        <v>241</v>
      </c>
      <c r="G25" s="414"/>
      <c r="H25" s="414"/>
      <c r="I25" s="30" t="s">
        <v>238</v>
      </c>
      <c r="J25" s="31">
        <v>3.3</v>
      </c>
      <c r="K25" s="248"/>
      <c r="L25" s="174">
        <v>1.0999999999999999E-2</v>
      </c>
      <c r="M25" s="250"/>
      <c r="N25" s="248"/>
      <c r="O25" s="247">
        <f t="shared" ref="O25:O26" si="3">L25*J25</f>
        <v>3.6299999999999999E-2</v>
      </c>
      <c r="P25" s="173"/>
      <c r="Q25" s="278"/>
      <c r="R25" s="168">
        <v>1</v>
      </c>
      <c r="S25" s="168">
        <v>1</v>
      </c>
      <c r="T25" s="168">
        <v>1</v>
      </c>
      <c r="U25" s="169"/>
      <c r="V25" s="169">
        <f>R25*O25*V4/Y4</f>
        <v>2.3365293348245282E-2</v>
      </c>
      <c r="W25" s="169">
        <f>S25*O25*W4/Y4</f>
        <v>8.708114460650394E-3</v>
      </c>
      <c r="X25" s="291">
        <f>T25*O25*X4/Y4</f>
        <v>4.226592191104322E-3</v>
      </c>
      <c r="Y25" s="317">
        <f t="shared" si="0"/>
        <v>3.6299999999999999E-2</v>
      </c>
      <c r="Z25" s="302"/>
    </row>
    <row r="26" spans="2:26" ht="15">
      <c r="B26" s="463"/>
      <c r="C26" s="455"/>
      <c r="D26" s="470"/>
      <c r="E26" s="413"/>
      <c r="F26" s="230" t="s">
        <v>240</v>
      </c>
      <c r="G26" s="413"/>
      <c r="H26" s="414"/>
      <c r="I26" s="29" t="s">
        <v>239</v>
      </c>
      <c r="J26" s="30">
        <v>3.3</v>
      </c>
      <c r="K26" s="171"/>
      <c r="L26" s="242">
        <v>0.55000000000000004</v>
      </c>
      <c r="M26" s="173"/>
      <c r="N26" s="171"/>
      <c r="O26" s="172">
        <f t="shared" si="3"/>
        <v>1.8149999999999999</v>
      </c>
      <c r="P26" s="225"/>
      <c r="Q26" s="278"/>
      <c r="R26" s="168"/>
      <c r="S26" s="168"/>
      <c r="T26" s="168"/>
      <c r="U26" s="169"/>
      <c r="V26" s="169">
        <f>R26*O26*V4/Y4</f>
        <v>0</v>
      </c>
      <c r="W26" s="169">
        <f>S26*O26*W4/Y4</f>
        <v>0</v>
      </c>
      <c r="X26" s="291">
        <f>T26*O26*X4/Y4</f>
        <v>0</v>
      </c>
      <c r="Y26" s="317">
        <f t="shared" si="0"/>
        <v>0</v>
      </c>
      <c r="Z26" s="302"/>
    </row>
    <row r="27" spans="2:26" ht="15">
      <c r="B27" s="463"/>
      <c r="C27" s="455"/>
      <c r="D27" s="457" t="s">
        <v>52</v>
      </c>
      <c r="E27" s="412" t="s">
        <v>221</v>
      </c>
      <c r="F27" s="230"/>
      <c r="G27" s="412" t="s">
        <v>208</v>
      </c>
      <c r="H27" s="414"/>
      <c r="I27" s="30" t="s">
        <v>90</v>
      </c>
      <c r="J27" s="30">
        <v>3.3</v>
      </c>
      <c r="K27" s="195">
        <v>4.4999999999999998E-2</v>
      </c>
      <c r="L27" s="174">
        <v>5.5000000000000007E-2</v>
      </c>
      <c r="M27" s="170">
        <v>0.12</v>
      </c>
      <c r="N27" s="171">
        <f>J27*K27</f>
        <v>0.14849999999999999</v>
      </c>
      <c r="O27" s="172">
        <f>L27*J27</f>
        <v>0.18150000000000002</v>
      </c>
      <c r="P27" s="173">
        <f>M27*J27</f>
        <v>0.39599999999999996</v>
      </c>
      <c r="Q27" s="35"/>
      <c r="R27" s="168">
        <v>1</v>
      </c>
      <c r="S27" s="168">
        <v>1</v>
      </c>
      <c r="T27" s="168">
        <v>1</v>
      </c>
      <c r="U27" s="169"/>
      <c r="V27" s="169">
        <f>R27*O27*V4/Y4</f>
        <v>0.11682646674122642</v>
      </c>
      <c r="W27" s="169">
        <f>S27*O27*W4/Y4</f>
        <v>4.3540572303251979E-2</v>
      </c>
      <c r="X27" s="291">
        <f>T27*P27*X4/Y4</f>
        <v>4.6108278448410783E-2</v>
      </c>
      <c r="Y27" s="317">
        <f t="shared" si="0"/>
        <v>0.20647531749288919</v>
      </c>
      <c r="Z27" s="302"/>
    </row>
    <row r="28" spans="2:26" ht="15" customHeight="1">
      <c r="B28" s="463"/>
      <c r="C28" s="455"/>
      <c r="D28" s="458"/>
      <c r="E28" s="414"/>
      <c r="F28" s="232" t="s">
        <v>265</v>
      </c>
      <c r="G28" s="414"/>
      <c r="H28" s="414"/>
      <c r="I28" s="412" t="s">
        <v>87</v>
      </c>
      <c r="J28" s="412">
        <v>3.3</v>
      </c>
      <c r="K28" s="410">
        <v>0.6</v>
      </c>
      <c r="L28" s="438">
        <v>0.8</v>
      </c>
      <c r="M28" s="440">
        <v>1</v>
      </c>
      <c r="N28" s="442">
        <f>J28*K28</f>
        <v>1.9799999999999998</v>
      </c>
      <c r="O28" s="444">
        <f>L28*J28</f>
        <v>2.64</v>
      </c>
      <c r="P28" s="446">
        <f>M28*J28</f>
        <v>3.3</v>
      </c>
      <c r="Q28" s="35"/>
      <c r="R28" s="418">
        <f>100%-R27</f>
        <v>0</v>
      </c>
      <c r="S28" s="418">
        <f t="shared" ref="S28:T28" si="4">100%-S27</f>
        <v>0</v>
      </c>
      <c r="T28" s="418">
        <f t="shared" si="4"/>
        <v>0</v>
      </c>
      <c r="U28" s="422"/>
      <c r="V28" s="420">
        <f>R28*O28*V4/Y4</f>
        <v>0</v>
      </c>
      <c r="W28" s="420">
        <f>S28*O28*W4/Y4</f>
        <v>0</v>
      </c>
      <c r="X28" s="513">
        <f>T28*P28*X4/Y4</f>
        <v>0</v>
      </c>
      <c r="Y28" s="508">
        <f t="shared" si="0"/>
        <v>0</v>
      </c>
      <c r="Z28" s="306"/>
    </row>
    <row r="29" spans="2:26" ht="14.25" customHeight="1">
      <c r="B29" s="463"/>
      <c r="C29" s="455"/>
      <c r="D29" s="458"/>
      <c r="E29" s="414"/>
      <c r="F29" s="277" t="s">
        <v>244</v>
      </c>
      <c r="G29" s="413"/>
      <c r="H29" s="413"/>
      <c r="I29" s="413"/>
      <c r="J29" s="414"/>
      <c r="K29" s="411"/>
      <c r="L29" s="439"/>
      <c r="M29" s="441"/>
      <c r="N29" s="443"/>
      <c r="O29" s="445"/>
      <c r="P29" s="447"/>
      <c r="Q29" s="35"/>
      <c r="R29" s="419"/>
      <c r="S29" s="419"/>
      <c r="T29" s="419"/>
      <c r="U29" s="423"/>
      <c r="V29" s="421"/>
      <c r="W29" s="421"/>
      <c r="X29" s="514"/>
      <c r="Y29" s="509"/>
      <c r="Z29" s="307"/>
    </row>
    <row r="30" spans="2:26">
      <c r="B30" s="463"/>
      <c r="C30" s="455"/>
      <c r="D30" s="240" t="s">
        <v>227</v>
      </c>
      <c r="E30" s="34" t="s">
        <v>229</v>
      </c>
      <c r="F30" s="139"/>
      <c r="G30" s="448" t="s">
        <v>206</v>
      </c>
      <c r="H30" s="448" t="s">
        <v>192</v>
      </c>
      <c r="I30" s="32"/>
      <c r="J30" s="34">
        <v>5</v>
      </c>
      <c r="K30" s="269"/>
      <c r="L30" s="252">
        <v>0</v>
      </c>
      <c r="M30" s="226"/>
      <c r="N30" s="269"/>
      <c r="O30" s="241">
        <v>0</v>
      </c>
      <c r="P30" s="251"/>
      <c r="R30" s="261">
        <v>0</v>
      </c>
      <c r="S30" s="261">
        <v>0</v>
      </c>
      <c r="T30" s="261">
        <v>1</v>
      </c>
      <c r="U30" s="238"/>
      <c r="V30" s="262">
        <f>R30*O30*V4/Y4</f>
        <v>0</v>
      </c>
      <c r="W30" s="262">
        <f>S30*O30*W4/Y4</f>
        <v>0</v>
      </c>
      <c r="X30" s="294">
        <f>T30*O30*X4/Y4</f>
        <v>0</v>
      </c>
      <c r="Y30" s="385">
        <f t="shared" si="0"/>
        <v>0</v>
      </c>
      <c r="Z30" s="135"/>
    </row>
    <row r="31" spans="2:26" ht="15">
      <c r="B31" s="463"/>
      <c r="C31" s="455"/>
      <c r="D31" s="451" t="s">
        <v>228</v>
      </c>
      <c r="E31" s="448" t="s">
        <v>222</v>
      </c>
      <c r="F31" s="257"/>
      <c r="G31" s="449"/>
      <c r="H31" s="449"/>
      <c r="I31" s="34" t="s">
        <v>245</v>
      </c>
      <c r="J31" s="34">
        <v>5</v>
      </c>
      <c r="K31" s="223"/>
      <c r="L31" s="227">
        <f>O31/5</f>
        <v>0.122</v>
      </c>
      <c r="M31" s="226"/>
      <c r="N31" s="256"/>
      <c r="O31" s="224">
        <v>0.61</v>
      </c>
      <c r="P31" s="236"/>
      <c r="Q31" s="35"/>
      <c r="R31" s="253">
        <v>0</v>
      </c>
      <c r="S31" s="253">
        <v>0</v>
      </c>
      <c r="T31" s="253">
        <v>0</v>
      </c>
      <c r="U31" s="254"/>
      <c r="V31" s="254">
        <f>R31*O31*V4/Y4</f>
        <v>0</v>
      </c>
      <c r="W31" s="262">
        <f>S31*O31*W4/Y4</f>
        <v>0</v>
      </c>
      <c r="X31" s="294">
        <f>T31*O31*X4/Y4</f>
        <v>0</v>
      </c>
      <c r="Y31" s="385">
        <f t="shared" si="0"/>
        <v>0</v>
      </c>
      <c r="Z31" s="308"/>
    </row>
    <row r="32" spans="2:26" ht="15">
      <c r="B32" s="463"/>
      <c r="C32" s="455"/>
      <c r="D32" s="452"/>
      <c r="E32" s="449"/>
      <c r="F32" s="257"/>
      <c r="G32" s="449"/>
      <c r="H32" s="449"/>
      <c r="I32" s="34" t="s">
        <v>242</v>
      </c>
      <c r="J32" s="34">
        <v>5</v>
      </c>
      <c r="K32" s="223"/>
      <c r="L32" s="227">
        <f>O32/5</f>
        <v>0.54</v>
      </c>
      <c r="M32" s="226"/>
      <c r="N32" s="256"/>
      <c r="O32" s="224">
        <v>2.7</v>
      </c>
      <c r="P32" s="236"/>
      <c r="Q32" s="35"/>
      <c r="R32" s="253">
        <v>0</v>
      </c>
      <c r="S32" s="253">
        <v>0</v>
      </c>
      <c r="T32" s="253">
        <v>0</v>
      </c>
      <c r="U32" s="254"/>
      <c r="V32" s="254">
        <f>R32*O32*V4/Y4</f>
        <v>0</v>
      </c>
      <c r="W32" s="262">
        <f>S32*O32*W4/Y4</f>
        <v>0</v>
      </c>
      <c r="X32" s="294">
        <f>T32*O32*X4/Y4</f>
        <v>0</v>
      </c>
      <c r="Y32" s="385">
        <f t="shared" si="0"/>
        <v>0</v>
      </c>
      <c r="Z32" s="308"/>
    </row>
    <row r="33" spans="2:27" ht="15.75" thickBot="1">
      <c r="B33" s="464"/>
      <c r="C33" s="456"/>
      <c r="D33" s="453"/>
      <c r="E33" s="450"/>
      <c r="F33" s="258"/>
      <c r="G33" s="450"/>
      <c r="H33" s="450"/>
      <c r="I33" s="33" t="s">
        <v>243</v>
      </c>
      <c r="J33" s="33">
        <v>5</v>
      </c>
      <c r="K33" s="182"/>
      <c r="L33" s="185">
        <f>O33/5</f>
        <v>0.91999999999999993</v>
      </c>
      <c r="M33" s="184">
        <f>P33/5</f>
        <v>1</v>
      </c>
      <c r="N33" s="196"/>
      <c r="O33" s="183">
        <v>4.5999999999999996</v>
      </c>
      <c r="P33" s="197">
        <v>5</v>
      </c>
      <c r="Q33" s="35"/>
      <c r="R33" s="186">
        <v>0</v>
      </c>
      <c r="S33" s="186">
        <v>0</v>
      </c>
      <c r="T33" s="186">
        <v>1</v>
      </c>
      <c r="U33" s="187"/>
      <c r="V33" s="267">
        <f>R33*O33*V4/Y4</f>
        <v>0</v>
      </c>
      <c r="W33" s="267">
        <f>S33*O33*W4/Y4</f>
        <v>0</v>
      </c>
      <c r="X33" s="295">
        <f>T33*P33*X4/Y4</f>
        <v>0.58217523293447959</v>
      </c>
      <c r="Y33" s="312">
        <f t="shared" si="0"/>
        <v>0.58217523293447959</v>
      </c>
      <c r="Z33" s="304"/>
    </row>
    <row r="34" spans="2:27">
      <c r="B34" s="462" t="s">
        <v>53</v>
      </c>
      <c r="C34" s="141" t="s">
        <v>53</v>
      </c>
      <c r="D34" s="272" t="s">
        <v>246</v>
      </c>
      <c r="E34" s="124" t="s">
        <v>234</v>
      </c>
      <c r="F34" s="124"/>
      <c r="G34" s="124" t="s">
        <v>231</v>
      </c>
      <c r="H34" s="124" t="s">
        <v>186</v>
      </c>
      <c r="I34" s="124"/>
      <c r="J34" s="124">
        <v>5</v>
      </c>
      <c r="K34" s="203"/>
      <c r="L34" s="204">
        <f>O34/J34</f>
        <v>0.2</v>
      </c>
      <c r="M34" s="205"/>
      <c r="N34" s="203"/>
      <c r="O34" s="204">
        <v>1</v>
      </c>
      <c r="P34" s="205"/>
      <c r="Q34" s="46"/>
      <c r="R34" s="206">
        <v>0</v>
      </c>
      <c r="S34" s="206">
        <v>0</v>
      </c>
      <c r="T34" s="206">
        <v>0</v>
      </c>
      <c r="U34" s="207"/>
      <c r="V34" s="208">
        <f>R34*O34*V4/Y4</f>
        <v>0</v>
      </c>
      <c r="W34" s="208">
        <f>S34*O34*W4/Y4</f>
        <v>0</v>
      </c>
      <c r="X34" s="296">
        <f>T34*O34*X4/Y4</f>
        <v>0</v>
      </c>
      <c r="Y34" s="387">
        <f t="shared" si="0"/>
        <v>0</v>
      </c>
      <c r="Z34" s="309"/>
    </row>
    <row r="35" spans="2:27">
      <c r="B35" s="463"/>
      <c r="C35" s="460" t="s">
        <v>15</v>
      </c>
      <c r="D35" s="273" t="s">
        <v>247</v>
      </c>
      <c r="E35" s="64" t="s">
        <v>233</v>
      </c>
      <c r="F35" s="64"/>
      <c r="G35" s="64" t="s">
        <v>230</v>
      </c>
      <c r="H35" s="64" t="s">
        <v>187</v>
      </c>
      <c r="I35" s="57"/>
      <c r="J35" s="57">
        <v>5</v>
      </c>
      <c r="K35" s="209"/>
      <c r="L35" s="210">
        <f>O35/J35</f>
        <v>0.2</v>
      </c>
      <c r="M35" s="211"/>
      <c r="N35" s="209"/>
      <c r="O35" s="210">
        <v>1</v>
      </c>
      <c r="P35" s="211"/>
      <c r="Q35" s="46"/>
      <c r="R35" s="212">
        <v>0</v>
      </c>
      <c r="S35" s="212">
        <v>0</v>
      </c>
      <c r="T35" s="212">
        <v>0</v>
      </c>
      <c r="U35" s="213"/>
      <c r="V35" s="214">
        <f>R35*O35*V4/Y4</f>
        <v>0</v>
      </c>
      <c r="W35" s="214">
        <f>S35*O35*W4/Y4</f>
        <v>0</v>
      </c>
      <c r="X35" s="297">
        <f>T35*O35*X4/Y4</f>
        <v>0</v>
      </c>
      <c r="Y35" s="392">
        <f t="shared" si="0"/>
        <v>0</v>
      </c>
      <c r="Z35" s="310"/>
    </row>
    <row r="36" spans="2:27">
      <c r="B36" s="463"/>
      <c r="C36" s="461"/>
      <c r="D36" s="274" t="s">
        <v>247</v>
      </c>
      <c r="E36" s="63" t="s">
        <v>233</v>
      </c>
      <c r="F36" s="63"/>
      <c r="G36" s="63" t="s">
        <v>230</v>
      </c>
      <c r="H36" s="63" t="s">
        <v>51</v>
      </c>
      <c r="I36" s="55"/>
      <c r="J36" s="55">
        <v>3.3</v>
      </c>
      <c r="K36" s="270"/>
      <c r="L36" s="215"/>
      <c r="M36" s="271">
        <f>P36/J36</f>
        <v>0.60606060606060608</v>
      </c>
      <c r="N36" s="270"/>
      <c r="O36" s="215"/>
      <c r="P36" s="216">
        <v>2</v>
      </c>
      <c r="R36" s="217">
        <v>0</v>
      </c>
      <c r="S36" s="217">
        <v>0</v>
      </c>
      <c r="T36" s="217">
        <v>0</v>
      </c>
      <c r="U36" s="56"/>
      <c r="V36" s="218">
        <f>R36*O36*V4/Y4</f>
        <v>0</v>
      </c>
      <c r="W36" s="218">
        <f>S36*O36*W4/Y4</f>
        <v>0</v>
      </c>
      <c r="X36" s="298">
        <f>T36*P36*X4/Y4</f>
        <v>0</v>
      </c>
      <c r="Y36" s="393">
        <f t="shared" si="0"/>
        <v>0</v>
      </c>
      <c r="Z36" s="59"/>
    </row>
    <row r="37" spans="2:27" ht="15.75" thickBot="1">
      <c r="B37" s="464"/>
      <c r="C37" s="275" t="s">
        <v>13</v>
      </c>
      <c r="D37" s="276" t="s">
        <v>248</v>
      </c>
      <c r="E37" s="126" t="s">
        <v>232</v>
      </c>
      <c r="F37" s="126" t="s">
        <v>264</v>
      </c>
      <c r="G37" s="126" t="s">
        <v>208</v>
      </c>
      <c r="H37" s="126" t="s">
        <v>60</v>
      </c>
      <c r="I37" s="125"/>
      <c r="J37" s="125">
        <v>3.3</v>
      </c>
      <c r="K37" s="219">
        <f>N37/J37</f>
        <v>0.11515151515151516</v>
      </c>
      <c r="L37" s="220">
        <f>O37/J37</f>
        <v>0.24242424242424246</v>
      </c>
      <c r="M37" s="221">
        <f>P37/J37</f>
        <v>0.54545454545454553</v>
      </c>
      <c r="N37" s="259">
        <v>0.38</v>
      </c>
      <c r="O37" s="222">
        <v>0.8</v>
      </c>
      <c r="P37" s="260">
        <v>1.8</v>
      </c>
      <c r="Q37" s="46"/>
      <c r="R37" s="263">
        <v>0</v>
      </c>
      <c r="S37" s="263">
        <v>0</v>
      </c>
      <c r="T37" s="263">
        <v>0</v>
      </c>
      <c r="U37" s="264"/>
      <c r="V37" s="265">
        <f>R37*O37*V4/Y4</f>
        <v>0</v>
      </c>
      <c r="W37" s="265">
        <f>S37*O37*W4/Y4</f>
        <v>0</v>
      </c>
      <c r="X37" s="299">
        <f>T37*P37*X4/Y4</f>
        <v>0</v>
      </c>
      <c r="Y37" s="394">
        <f t="shared" si="0"/>
        <v>0</v>
      </c>
      <c r="Z37" s="311"/>
    </row>
    <row r="38" spans="2:27">
      <c r="O38" s="35"/>
      <c r="P38" s="35"/>
      <c r="Q38" s="35"/>
      <c r="U38" s="50" t="s">
        <v>124</v>
      </c>
      <c r="V38" s="198">
        <f>SUM(V5:V37)/0.9</f>
        <v>2.1075744917003436</v>
      </c>
      <c r="W38" s="198">
        <f>SUM(W5:W37)/0.9</f>
        <v>0.78548125352134579</v>
      </c>
      <c r="X38" s="390">
        <f>SUM(X5:X37)/0.9</f>
        <v>1.6011590012129049</v>
      </c>
      <c r="Y38" s="401">
        <f>SUM(Y5:Y37)/0.9</f>
        <v>4.4942147464345954</v>
      </c>
      <c r="Z38" s="391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5">
        <f>1.135*20*V4/3600</f>
        <v>23.041232566635454</v>
      </c>
      <c r="W39" s="285">
        <v>0</v>
      </c>
      <c r="X39" s="399">
        <v>0</v>
      </c>
      <c r="Y39" s="384">
        <f t="shared" ref="Y39:Y44" si="5">V39+W39+X39</f>
        <v>23.041232566635454</v>
      </c>
      <c r="Z39" s="38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3.3235190392759888</v>
      </c>
      <c r="W40" s="4">
        <f>W38*Y4/3600</f>
        <v>1.2386570018535479</v>
      </c>
      <c r="X40" s="6">
        <f>X38*Y4/3600</f>
        <v>2.5249320706790117</v>
      </c>
      <c r="Y40" s="402">
        <f t="shared" si="5"/>
        <v>7.0871081118085479</v>
      </c>
      <c r="Z40" s="38" t="s">
        <v>99</v>
      </c>
    </row>
    <row r="41" spans="2:27">
      <c r="O41" s="35"/>
      <c r="P41" s="35"/>
      <c r="Q41" s="35"/>
      <c r="R41" s="35"/>
      <c r="U41" s="37" t="s">
        <v>79</v>
      </c>
      <c r="V41" s="320">
        <f>Y39-Y40</f>
        <v>15.954124454826907</v>
      </c>
      <c r="W41" s="4"/>
      <c r="X41" s="6"/>
      <c r="Y41" s="402">
        <f t="shared" si="5"/>
        <v>15.954124454826907</v>
      </c>
      <c r="Z41" s="38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225.11473231576821</v>
      </c>
      <c r="W42" s="4"/>
      <c r="X42" s="6"/>
      <c r="Y42" s="402">
        <f t="shared" si="5"/>
        <v>225.11473231576821</v>
      </c>
      <c r="Z42" s="38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69.241627628589029</v>
      </c>
      <c r="W43" s="4"/>
      <c r="X43" s="6"/>
      <c r="Y43" s="402">
        <f t="shared" si="5"/>
        <v>69.241627628589029</v>
      </c>
      <c r="Z43" s="38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49.294283818398661</v>
      </c>
      <c r="W44" s="40">
        <f>(W39-W40)/40*100</f>
        <v>-3.0966425046338695</v>
      </c>
      <c r="X44" s="400">
        <f>(X39-X40)/40*100</f>
        <v>-6.3123301766975297</v>
      </c>
      <c r="Y44" s="403">
        <f t="shared" si="5"/>
        <v>39.885311137067262</v>
      </c>
      <c r="Z44" s="41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7">
    <mergeCell ref="G30:G33"/>
    <mergeCell ref="H30:H33"/>
    <mergeCell ref="D31:D33"/>
    <mergeCell ref="E31:E33"/>
    <mergeCell ref="U28:U29"/>
    <mergeCell ref="J28:J29"/>
    <mergeCell ref="R28:R29"/>
    <mergeCell ref="S28:S29"/>
    <mergeCell ref="T28:T29"/>
    <mergeCell ref="K28:K29"/>
    <mergeCell ref="L28:L29"/>
    <mergeCell ref="M28:M29"/>
    <mergeCell ref="N28:N29"/>
    <mergeCell ref="O28:O29"/>
    <mergeCell ref="P28:P29"/>
    <mergeCell ref="B24:B33"/>
    <mergeCell ref="C24:C33"/>
    <mergeCell ref="D24:D26"/>
    <mergeCell ref="E24:E26"/>
    <mergeCell ref="B34:B37"/>
    <mergeCell ref="C35:C36"/>
    <mergeCell ref="D27:D29"/>
    <mergeCell ref="E27:E29"/>
    <mergeCell ref="G24:G26"/>
    <mergeCell ref="U16:U18"/>
    <mergeCell ref="V16:V18"/>
    <mergeCell ref="W16:W18"/>
    <mergeCell ref="X16:X18"/>
    <mergeCell ref="P16:P18"/>
    <mergeCell ref="R16:R18"/>
    <mergeCell ref="S16:S18"/>
    <mergeCell ref="T16:T18"/>
    <mergeCell ref="H24:H29"/>
    <mergeCell ref="G27:G29"/>
    <mergeCell ref="I28:I29"/>
    <mergeCell ref="X28:X29"/>
    <mergeCell ref="V28:V29"/>
    <mergeCell ref="W28:W29"/>
    <mergeCell ref="N16:N18"/>
    <mergeCell ref="O16:O18"/>
    <mergeCell ref="H16:H18"/>
    <mergeCell ref="I16:I18"/>
    <mergeCell ref="J16:J18"/>
    <mergeCell ref="K16:K18"/>
    <mergeCell ref="L16:L18"/>
    <mergeCell ref="M16:M18"/>
    <mergeCell ref="M3:M4"/>
    <mergeCell ref="D12:D13"/>
    <mergeCell ref="E12:E13"/>
    <mergeCell ref="D14:D15"/>
    <mergeCell ref="E14:E15"/>
    <mergeCell ref="H8:H14"/>
    <mergeCell ref="G9:G14"/>
    <mergeCell ref="H3:H4"/>
    <mergeCell ref="I3:I4"/>
    <mergeCell ref="J3:J4"/>
    <mergeCell ref="K3:K4"/>
    <mergeCell ref="L3:L4"/>
    <mergeCell ref="C5:C6"/>
    <mergeCell ref="G5:G6"/>
    <mergeCell ref="C7:C8"/>
    <mergeCell ref="B8:B22"/>
    <mergeCell ref="C9:C20"/>
    <mergeCell ref="D19:D20"/>
    <mergeCell ref="G19:G20"/>
    <mergeCell ref="H19:H20"/>
    <mergeCell ref="D16:D18"/>
    <mergeCell ref="E16:E18"/>
    <mergeCell ref="G16:G18"/>
    <mergeCell ref="C21:C22"/>
    <mergeCell ref="F16:F18"/>
    <mergeCell ref="Y16:Y18"/>
    <mergeCell ref="Y28:Y29"/>
    <mergeCell ref="U2:Z2"/>
    <mergeCell ref="B3:B4"/>
    <mergeCell ref="C3:D4"/>
    <mergeCell ref="E3:E4"/>
    <mergeCell ref="F3:F4"/>
    <mergeCell ref="G3:G4"/>
    <mergeCell ref="C2:D2"/>
    <mergeCell ref="K2:M2"/>
    <mergeCell ref="N2:P2"/>
    <mergeCell ref="R2:T2"/>
    <mergeCell ref="N3:N4"/>
    <mergeCell ref="O3:O4"/>
    <mergeCell ref="P3:P4"/>
    <mergeCell ref="B5:B7"/>
  </mergeCells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E6C8-7B9F-43BE-8391-6E427BAB8297}">
  <dimension ref="B1:AC52"/>
  <sheetViews>
    <sheetView zoomScale="85" zoomScaleNormal="85" workbookViewId="0">
      <pane xSplit="5" topLeftCell="N1" activePane="topRight" state="frozen"/>
      <selection pane="topRight" activeCell="V38" sqref="V38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9" width="12.125" style="1" bestFit="1" customWidth="1"/>
    <col min="20" max="20" width="12.375" style="1" bestFit="1" customWidth="1"/>
    <col min="21" max="21" width="30" style="1" bestFit="1" customWidth="1"/>
    <col min="22" max="22" width="13.375" style="1" bestFit="1" customWidth="1"/>
    <col min="23" max="23" width="11.5" style="1" bestFit="1" customWidth="1"/>
    <col min="24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0.12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5" t="s">
        <v>115</v>
      </c>
      <c r="C2" s="415" t="s">
        <v>183</v>
      </c>
      <c r="D2" s="417"/>
      <c r="E2" s="45" t="s">
        <v>57</v>
      </c>
      <c r="F2" s="45" t="s">
        <v>215</v>
      </c>
      <c r="G2" s="45" t="s">
        <v>202</v>
      </c>
      <c r="H2" s="45" t="s">
        <v>190</v>
      </c>
      <c r="I2" s="45" t="s">
        <v>39</v>
      </c>
      <c r="J2" s="52" t="s">
        <v>134</v>
      </c>
      <c r="K2" s="415" t="s">
        <v>4</v>
      </c>
      <c r="L2" s="416"/>
      <c r="M2" s="417"/>
      <c r="N2" s="415" t="s">
        <v>61</v>
      </c>
      <c r="O2" s="416"/>
      <c r="P2" s="417"/>
      <c r="R2" s="415" t="s">
        <v>75</v>
      </c>
      <c r="S2" s="416"/>
      <c r="T2" s="417"/>
      <c r="U2" s="415" t="s">
        <v>119</v>
      </c>
      <c r="V2" s="416"/>
      <c r="W2" s="416"/>
      <c r="X2" s="416"/>
      <c r="Y2" s="416"/>
      <c r="Z2" s="417"/>
      <c r="AB2" s="65" t="s">
        <v>73</v>
      </c>
      <c r="AC2" s="60"/>
    </row>
    <row r="3" spans="2:29">
      <c r="B3" s="475"/>
      <c r="C3" s="496"/>
      <c r="D3" s="497"/>
      <c r="E3" s="475"/>
      <c r="F3" s="475"/>
      <c r="G3" s="475"/>
      <c r="H3" s="475"/>
      <c r="I3" s="475"/>
      <c r="J3" s="475"/>
      <c r="K3" s="454" t="s">
        <v>42</v>
      </c>
      <c r="L3" s="471" t="s">
        <v>59</v>
      </c>
      <c r="M3" s="473" t="s">
        <v>72</v>
      </c>
      <c r="N3" s="454" t="s">
        <v>38</v>
      </c>
      <c r="O3" s="471" t="s">
        <v>59</v>
      </c>
      <c r="P3" s="473" t="s">
        <v>72</v>
      </c>
      <c r="Q3" s="1" t="s">
        <v>39</v>
      </c>
      <c r="R3" s="54" t="s">
        <v>252</v>
      </c>
      <c r="S3" s="54" t="s">
        <v>251</v>
      </c>
      <c r="T3" s="54" t="s">
        <v>254</v>
      </c>
      <c r="U3" s="69"/>
      <c r="V3" s="283" t="s">
        <v>252</v>
      </c>
      <c r="W3" s="284" t="s">
        <v>251</v>
      </c>
      <c r="X3" s="283" t="s">
        <v>254</v>
      </c>
      <c r="Y3" s="53" t="s">
        <v>255</v>
      </c>
      <c r="Z3" s="131"/>
      <c r="AB3" s="43" t="s">
        <v>140</v>
      </c>
      <c r="AC3" s="42">
        <f>parameter!C8</f>
        <v>5676.9848887954295</v>
      </c>
    </row>
    <row r="4" spans="2:29" ht="15" thickBot="1">
      <c r="B4" s="476"/>
      <c r="C4" s="498"/>
      <c r="D4" s="499"/>
      <c r="E4" s="476"/>
      <c r="F4" s="476"/>
      <c r="G4" s="476"/>
      <c r="H4" s="476"/>
      <c r="I4" s="476"/>
      <c r="J4" s="476"/>
      <c r="K4" s="456"/>
      <c r="L4" s="472"/>
      <c r="M4" s="474"/>
      <c r="N4" s="456"/>
      <c r="O4" s="472"/>
      <c r="P4" s="474"/>
      <c r="Q4" s="35" t="s">
        <v>50</v>
      </c>
      <c r="R4" s="243">
        <f>AC6-AC4</f>
        <v>2973.1161779686181</v>
      </c>
      <c r="S4" s="243">
        <f>AC7</f>
        <v>2022.8687108268114</v>
      </c>
      <c r="T4" s="243">
        <f>AC4</f>
        <v>681</v>
      </c>
      <c r="U4" s="130"/>
      <c r="V4" s="244">
        <f>AC6-AC4</f>
        <v>2973.1161779686181</v>
      </c>
      <c r="W4" s="244">
        <f>AC7</f>
        <v>2022.8687108268114</v>
      </c>
      <c r="X4" s="244">
        <f>AC4</f>
        <v>681</v>
      </c>
      <c r="Y4" s="382">
        <f>V4+W4+X4</f>
        <v>5676.9848887954295</v>
      </c>
      <c r="Z4" s="288"/>
      <c r="AB4" s="43" t="s">
        <v>136</v>
      </c>
      <c r="AC4" s="42">
        <v>681</v>
      </c>
    </row>
    <row r="5" spans="2:29" ht="15">
      <c r="B5" s="462" t="s">
        <v>185</v>
      </c>
      <c r="C5" s="454"/>
      <c r="D5" s="70" t="s">
        <v>196</v>
      </c>
      <c r="E5" s="54" t="s">
        <v>112</v>
      </c>
      <c r="F5" s="54" t="s">
        <v>249</v>
      </c>
      <c r="G5" s="475" t="s">
        <v>206</v>
      </c>
      <c r="H5" s="54"/>
      <c r="I5" s="54"/>
      <c r="J5" s="148"/>
      <c r="K5" s="152"/>
      <c r="L5" s="153"/>
      <c r="M5" s="154"/>
      <c r="N5" s="152"/>
      <c r="O5" s="369">
        <v>0.8</v>
      </c>
      <c r="P5" s="154"/>
      <c r="Q5" s="35"/>
      <c r="R5" s="327">
        <v>1</v>
      </c>
      <c r="S5" s="327">
        <v>1</v>
      </c>
      <c r="T5" s="327">
        <v>1</v>
      </c>
      <c r="U5" s="328"/>
      <c r="V5" s="378">
        <f>R5*O5*V4/Y4</f>
        <v>0.41897115968536158</v>
      </c>
      <c r="W5" s="378">
        <f>O5*S5*W4/Y4</f>
        <v>0.28506240554831336</v>
      </c>
      <c r="X5" s="379">
        <f>O5*T5*X4/Y4</f>
        <v>9.5966434766325118E-2</v>
      </c>
      <c r="Y5" s="313">
        <f>V5+W5+X5</f>
        <v>0.8</v>
      </c>
      <c r="Z5" s="329"/>
      <c r="AB5" s="43" t="s">
        <v>126</v>
      </c>
      <c r="AC5" s="42">
        <v>661</v>
      </c>
    </row>
    <row r="6" spans="2:29">
      <c r="B6" s="463"/>
      <c r="C6" s="461"/>
      <c r="D6" s="36" t="s">
        <v>197</v>
      </c>
      <c r="E6" s="350" t="s">
        <v>256</v>
      </c>
      <c r="F6" s="28"/>
      <c r="G6" s="495"/>
      <c r="H6" s="28"/>
      <c r="I6" s="28"/>
      <c r="J6" s="149"/>
      <c r="K6" s="157"/>
      <c r="L6" s="158"/>
      <c r="M6" s="159"/>
      <c r="N6" s="157"/>
      <c r="O6" s="158"/>
      <c r="P6" s="159"/>
      <c r="Q6" s="279"/>
      <c r="R6" s="155">
        <v>1</v>
      </c>
      <c r="S6" s="155">
        <v>1</v>
      </c>
      <c r="T6" s="155">
        <v>1</v>
      </c>
      <c r="U6" s="156"/>
      <c r="V6" s="381">
        <f>R6*O6*V4/Y4</f>
        <v>0</v>
      </c>
      <c r="W6" s="156">
        <f>O6*S6*W4/Y4</f>
        <v>0</v>
      </c>
      <c r="X6" s="290">
        <f>O6*T6*X4/Y4</f>
        <v>0</v>
      </c>
      <c r="Y6" s="383">
        <f t="shared" ref="Y6:Y37" si="0">V6+W6+X6</f>
        <v>0</v>
      </c>
      <c r="Z6" s="300"/>
      <c r="AB6" s="43" t="s">
        <v>0</v>
      </c>
      <c r="AC6" s="42">
        <f>parameter!C10</f>
        <v>3654.1161779686181</v>
      </c>
    </row>
    <row r="7" spans="2:29" ht="15" thickBot="1">
      <c r="B7" s="494"/>
      <c r="C7" s="500" t="s">
        <v>188</v>
      </c>
      <c r="D7" s="140" t="s">
        <v>106</v>
      </c>
      <c r="E7" s="121" t="s">
        <v>207</v>
      </c>
      <c r="F7" s="121"/>
      <c r="G7" s="121" t="s">
        <v>199</v>
      </c>
      <c r="H7" s="132"/>
      <c r="I7" s="121"/>
      <c r="J7" s="133"/>
      <c r="K7" s="233"/>
      <c r="L7" s="234"/>
      <c r="M7" s="235"/>
      <c r="N7" s="160"/>
      <c r="O7" s="161"/>
      <c r="P7" s="162"/>
      <c r="Q7" s="279"/>
      <c r="R7" s="330">
        <v>1</v>
      </c>
      <c r="S7" s="330">
        <v>1</v>
      </c>
      <c r="T7" s="341">
        <v>1</v>
      </c>
      <c r="U7" s="331"/>
      <c r="V7" s="380">
        <f>R7*O7*V4/Y4</f>
        <v>0</v>
      </c>
      <c r="W7" s="332">
        <f>O7*S7*W4/Y4</f>
        <v>0</v>
      </c>
      <c r="X7" s="342">
        <f>O7*T7*X4/Y4</f>
        <v>0</v>
      </c>
      <c r="Y7" s="397">
        <f t="shared" si="0"/>
        <v>0</v>
      </c>
      <c r="Z7" s="343"/>
      <c r="AB7" s="43" t="s">
        <v>25</v>
      </c>
      <c r="AC7" s="42">
        <f>parameter!C11</f>
        <v>2022.8687108268114</v>
      </c>
    </row>
    <row r="8" spans="2:29" ht="15">
      <c r="B8" s="462" t="s">
        <v>184</v>
      </c>
      <c r="C8" s="501"/>
      <c r="D8" s="351" t="s">
        <v>257</v>
      </c>
      <c r="E8" s="120" t="s">
        <v>210</v>
      </c>
      <c r="F8" s="120"/>
      <c r="G8" s="120" t="s">
        <v>208</v>
      </c>
      <c r="H8" s="459" t="s">
        <v>191</v>
      </c>
      <c r="I8" s="128"/>
      <c r="J8" s="229">
        <v>3.3</v>
      </c>
      <c r="K8" s="193"/>
      <c r="L8" s="164">
        <v>9.3000000000000005E-4</v>
      </c>
      <c r="M8" s="165"/>
      <c r="N8" s="163"/>
      <c r="O8" s="166">
        <f>J8*L8</f>
        <v>3.0690000000000001E-3</v>
      </c>
      <c r="P8" s="167"/>
      <c r="Q8" s="35"/>
      <c r="R8" s="280">
        <v>1</v>
      </c>
      <c r="S8" s="280">
        <v>1</v>
      </c>
      <c r="T8" s="280">
        <v>1</v>
      </c>
      <c r="U8" s="326"/>
      <c r="V8" s="326">
        <f>R8*O8*V4/Y4</f>
        <v>1.6072781113429684E-3</v>
      </c>
      <c r="W8" s="326">
        <f>O8*S8*W4/Y4</f>
        <v>1.093570653284717E-3</v>
      </c>
      <c r="X8" s="340">
        <f>O8*T8*X4/Y4</f>
        <v>3.6815123537231473E-4</v>
      </c>
      <c r="Y8" s="386">
        <f t="shared" si="0"/>
        <v>3.0690000000000001E-3</v>
      </c>
      <c r="Z8" s="307"/>
      <c r="AB8" s="246" t="s">
        <v>125</v>
      </c>
      <c r="AC8" s="42">
        <v>0.3</v>
      </c>
    </row>
    <row r="9" spans="2:29" ht="15">
      <c r="B9" s="463"/>
      <c r="C9" s="460" t="s">
        <v>189</v>
      </c>
      <c r="D9" s="352" t="s">
        <v>209</v>
      </c>
      <c r="E9" s="120" t="s">
        <v>210</v>
      </c>
      <c r="F9" s="353" t="s">
        <v>258</v>
      </c>
      <c r="G9" s="412" t="s">
        <v>211</v>
      </c>
      <c r="H9" s="414"/>
      <c r="I9" s="29"/>
      <c r="J9" s="150">
        <v>3.3</v>
      </c>
      <c r="K9" s="171"/>
      <c r="L9" s="172">
        <f>O9/J9</f>
        <v>1.5151515151515154E-3</v>
      </c>
      <c r="M9" s="173"/>
      <c r="N9" s="163"/>
      <c r="O9" s="354">
        <v>5.0000000000000001E-3</v>
      </c>
      <c r="P9" s="170"/>
      <c r="Q9" s="35"/>
      <c r="R9" s="168">
        <v>1</v>
      </c>
      <c r="S9" s="168">
        <v>1</v>
      </c>
      <c r="T9" s="168">
        <v>1</v>
      </c>
      <c r="U9" s="169"/>
      <c r="V9" s="326">
        <f>R9*O9*V4/Y4</f>
        <v>2.61856974803351E-3</v>
      </c>
      <c r="W9" s="326">
        <f>O9*S9*W4/Y4</f>
        <v>1.7816400346769583E-3</v>
      </c>
      <c r="X9" s="340">
        <f>O9*T9*X4/Y4</f>
        <v>5.9979021728953196E-4</v>
      </c>
      <c r="Y9" s="317">
        <f t="shared" si="0"/>
        <v>5.0000000000000001E-3</v>
      </c>
      <c r="Z9" s="302"/>
      <c r="AB9" s="43" t="s">
        <v>54</v>
      </c>
      <c r="AC9" s="42">
        <v>0.6</v>
      </c>
    </row>
    <row r="10" spans="2:29" ht="15">
      <c r="B10" s="463"/>
      <c r="C10" s="455"/>
      <c r="D10" s="134" t="s">
        <v>200</v>
      </c>
      <c r="E10" s="30" t="s">
        <v>16</v>
      </c>
      <c r="F10" s="237"/>
      <c r="G10" s="414"/>
      <c r="H10" s="414"/>
      <c r="I10" s="30"/>
      <c r="J10" s="230">
        <v>3.3</v>
      </c>
      <c r="K10" s="171"/>
      <c r="L10" s="172">
        <f t="shared" ref="L10:L14" si="1">O10/J10</f>
        <v>3.6363636363636362E-2</v>
      </c>
      <c r="M10" s="173">
        <f t="shared" ref="M10:M13" si="2">P10/J10</f>
        <v>6.0606060606060615E-2</v>
      </c>
      <c r="N10" s="171"/>
      <c r="O10" s="174">
        <v>0.12</v>
      </c>
      <c r="P10" s="170">
        <v>0.2</v>
      </c>
      <c r="Q10" s="35"/>
      <c r="R10" s="168">
        <v>1</v>
      </c>
      <c r="S10" s="168">
        <v>1</v>
      </c>
      <c r="T10" s="168">
        <v>1</v>
      </c>
      <c r="U10" s="169"/>
      <c r="V10" s="169">
        <f>R10*O10*V4/Y4</f>
        <v>6.2845673952804229E-2</v>
      </c>
      <c r="W10" s="169">
        <f>O10*S10*W4/Y4</f>
        <v>4.2759360832246997E-2</v>
      </c>
      <c r="X10" s="291">
        <f>P10*T10*X4/Y4</f>
        <v>2.3991608691581279E-2</v>
      </c>
      <c r="Y10" s="317">
        <f t="shared" si="0"/>
        <v>0.12959664347663252</v>
      </c>
      <c r="Z10" s="302"/>
      <c r="AB10" s="43" t="s">
        <v>29</v>
      </c>
      <c r="AC10" s="42">
        <v>0.8</v>
      </c>
    </row>
    <row r="11" spans="2:29" ht="15">
      <c r="B11" s="463"/>
      <c r="C11" s="455"/>
      <c r="D11" s="147" t="s">
        <v>203</v>
      </c>
      <c r="E11" s="31" t="s">
        <v>83</v>
      </c>
      <c r="F11" s="30"/>
      <c r="G11" s="414"/>
      <c r="H11" s="414"/>
      <c r="I11" s="30"/>
      <c r="J11" s="230">
        <v>3.3</v>
      </c>
      <c r="K11" s="171"/>
      <c r="L11" s="172">
        <f t="shared" si="1"/>
        <v>6.0606060606060615E-2</v>
      </c>
      <c r="M11" s="173">
        <f t="shared" si="2"/>
        <v>0.12121212121212123</v>
      </c>
      <c r="N11" s="171"/>
      <c r="O11" s="174">
        <v>0.2</v>
      </c>
      <c r="P11" s="170">
        <v>0.4</v>
      </c>
      <c r="Q11" s="35"/>
      <c r="R11" s="168">
        <v>1</v>
      </c>
      <c r="S11" s="168">
        <v>1</v>
      </c>
      <c r="T11" s="168">
        <v>1</v>
      </c>
      <c r="U11" s="169"/>
      <c r="V11" s="169">
        <f>R11*O11*V4/Y4</f>
        <v>0.1047427899213404</v>
      </c>
      <c r="W11" s="169">
        <f>O11*S11*W4/Y4</f>
        <v>7.1265601387078339E-2</v>
      </c>
      <c r="X11" s="291">
        <f>P11*T11*X4/Y4</f>
        <v>4.7983217383162559E-2</v>
      </c>
      <c r="Y11" s="317">
        <f t="shared" si="0"/>
        <v>0.22399160869158127</v>
      </c>
      <c r="Z11" s="302"/>
      <c r="AB11" s="43" t="s">
        <v>56</v>
      </c>
      <c r="AC11" s="42">
        <v>0.8</v>
      </c>
    </row>
    <row r="12" spans="2:29" ht="15">
      <c r="B12" s="463"/>
      <c r="C12" s="455"/>
      <c r="D12" s="489"/>
      <c r="E12" s="412" t="s">
        <v>12</v>
      </c>
      <c r="F12" s="30"/>
      <c r="G12" s="414"/>
      <c r="H12" s="414"/>
      <c r="I12" s="30" t="s">
        <v>266</v>
      </c>
      <c r="J12" s="230">
        <v>3.3</v>
      </c>
      <c r="K12" s="171"/>
      <c r="L12" s="172">
        <f t="shared" si="1"/>
        <v>6.0606060606060615E-2</v>
      </c>
      <c r="M12" s="173"/>
      <c r="N12" s="171"/>
      <c r="O12" s="174">
        <v>0.2</v>
      </c>
      <c r="P12" s="173"/>
      <c r="Q12" s="35"/>
      <c r="R12" s="168">
        <f>100%-R13</f>
        <v>0</v>
      </c>
      <c r="S12" s="168">
        <f>100%-S13</f>
        <v>0</v>
      </c>
      <c r="T12" s="168">
        <f>100%-T13</f>
        <v>0</v>
      </c>
      <c r="U12" s="169"/>
      <c r="V12" s="169">
        <f>R12*O12*V4/Y4</f>
        <v>0</v>
      </c>
      <c r="W12" s="169">
        <f>O12*S12*W4/Y4</f>
        <v>0</v>
      </c>
      <c r="X12" s="291">
        <f>T12*P12*X4/Y4</f>
        <v>0</v>
      </c>
      <c r="Y12" s="317">
        <f t="shared" si="0"/>
        <v>0</v>
      </c>
      <c r="Z12" s="302"/>
      <c r="AB12" s="43" t="s">
        <v>80</v>
      </c>
      <c r="AC12" s="42">
        <v>0.2</v>
      </c>
    </row>
    <row r="13" spans="2:29" ht="15">
      <c r="B13" s="463"/>
      <c r="C13" s="455"/>
      <c r="D13" s="490"/>
      <c r="E13" s="413"/>
      <c r="F13" s="355" t="s">
        <v>216</v>
      </c>
      <c r="G13" s="414"/>
      <c r="H13" s="414"/>
      <c r="I13" s="355" t="s">
        <v>259</v>
      </c>
      <c r="J13" s="230">
        <v>3.3</v>
      </c>
      <c r="K13" s="171"/>
      <c r="L13" s="172">
        <f t="shared" si="1"/>
        <v>8.6363636363636365E-2</v>
      </c>
      <c r="M13" s="173">
        <f t="shared" si="2"/>
        <v>0.13333333333333333</v>
      </c>
      <c r="N13" s="268"/>
      <c r="O13" s="174">
        <v>0.28499999999999998</v>
      </c>
      <c r="P13" s="239">
        <v>0.44</v>
      </c>
      <c r="Q13" s="35"/>
      <c r="R13" s="168">
        <f>R16</f>
        <v>1</v>
      </c>
      <c r="S13" s="168">
        <f>S16</f>
        <v>1</v>
      </c>
      <c r="T13" s="168">
        <f>T16</f>
        <v>1</v>
      </c>
      <c r="U13" s="169"/>
      <c r="V13" s="169">
        <f>R13*O13*V4/Y4</f>
        <v>0.14925847563791003</v>
      </c>
      <c r="W13" s="169">
        <f>O13*S13*W4/Y4</f>
        <v>0.10155348197658662</v>
      </c>
      <c r="X13" s="291">
        <f>P13*T13*X4/Y4</f>
        <v>5.2781539121478808E-2</v>
      </c>
      <c r="Y13" s="317">
        <f t="shared" si="0"/>
        <v>0.30359349673597547</v>
      </c>
      <c r="Z13" s="302"/>
      <c r="AB13" s="43" t="s">
        <v>118</v>
      </c>
      <c r="AC13" s="42">
        <v>0.9</v>
      </c>
    </row>
    <row r="14" spans="2:29" ht="15.75" thickBot="1">
      <c r="B14" s="463"/>
      <c r="C14" s="455"/>
      <c r="D14" s="489" t="s">
        <v>204</v>
      </c>
      <c r="E14" s="412" t="s">
        <v>31</v>
      </c>
      <c r="F14" s="30" t="s">
        <v>217</v>
      </c>
      <c r="G14" s="414"/>
      <c r="H14" s="414"/>
      <c r="I14" s="30" t="s">
        <v>266</v>
      </c>
      <c r="J14" s="230">
        <v>3.3</v>
      </c>
      <c r="K14" s="171"/>
      <c r="L14" s="172">
        <f t="shared" si="1"/>
        <v>1.0606060606060608E-2</v>
      </c>
      <c r="M14" s="173"/>
      <c r="N14" s="175"/>
      <c r="O14" s="174">
        <v>3.5000000000000003E-2</v>
      </c>
      <c r="P14" s="176"/>
      <c r="Q14" s="35"/>
      <c r="R14" s="168">
        <v>1</v>
      </c>
      <c r="S14" s="168">
        <v>1</v>
      </c>
      <c r="T14" s="168">
        <v>1</v>
      </c>
      <c r="U14" s="169"/>
      <c r="V14" s="169">
        <f>R14*O14*V4/Y4</f>
        <v>1.8329988236234569E-2</v>
      </c>
      <c r="W14" s="169">
        <f>O14*S14*W4/Y4</f>
        <v>1.2471480242738709E-2</v>
      </c>
      <c r="X14" s="291">
        <f>T14*O14*X4/Y4</f>
        <v>4.1985315210267236E-3</v>
      </c>
      <c r="Y14" s="317">
        <f t="shared" si="0"/>
        <v>3.5000000000000003E-2</v>
      </c>
      <c r="Z14" s="302"/>
      <c r="AB14" s="142" t="s">
        <v>141</v>
      </c>
      <c r="AC14" s="44">
        <v>0.4</v>
      </c>
    </row>
    <row r="15" spans="2:29" ht="15">
      <c r="B15" s="463"/>
      <c r="C15" s="455"/>
      <c r="D15" s="490"/>
      <c r="E15" s="413"/>
      <c r="F15" s="286" t="s">
        <v>218</v>
      </c>
      <c r="G15" s="360" t="s">
        <v>211</v>
      </c>
      <c r="H15" s="360" t="s">
        <v>261</v>
      </c>
      <c r="I15" s="286" t="s">
        <v>250</v>
      </c>
      <c r="J15" s="365">
        <v>8</v>
      </c>
      <c r="K15" s="356"/>
      <c r="L15" s="364">
        <v>0.62</v>
      </c>
      <c r="M15" s="357"/>
      <c r="N15" s="358"/>
      <c r="O15" s="361">
        <f>J15*L15</f>
        <v>4.96</v>
      </c>
      <c r="P15" s="359"/>
      <c r="Q15" s="35"/>
      <c r="R15" s="370"/>
      <c r="S15" s="370"/>
      <c r="T15" s="370"/>
      <c r="U15" s="371"/>
      <c r="V15" s="371"/>
      <c r="W15" s="371"/>
      <c r="X15" s="376"/>
      <c r="Y15" s="398"/>
      <c r="Z15" s="377"/>
    </row>
    <row r="16" spans="2:29" ht="15.75" customHeight="1">
      <c r="B16" s="463"/>
      <c r="C16" s="455"/>
      <c r="D16" s="491" t="s">
        <v>205</v>
      </c>
      <c r="E16" s="465" t="s">
        <v>212</v>
      </c>
      <c r="F16" s="502"/>
      <c r="G16" s="465" t="s">
        <v>211</v>
      </c>
      <c r="H16" s="466" t="s">
        <v>260</v>
      </c>
      <c r="I16" s="465"/>
      <c r="J16" s="486">
        <v>8.26</v>
      </c>
      <c r="K16" s="477">
        <f>0.065*3/J16</f>
        <v>2.3607748184019371E-2</v>
      </c>
      <c r="L16" s="478">
        <f>0.19*3/J16</f>
        <v>6.9007263922518172E-2</v>
      </c>
      <c r="M16" s="481">
        <f>2.3*3/J16</f>
        <v>0.83535108958837767</v>
      </c>
      <c r="N16" s="482">
        <v>6.5000000000000002E-2</v>
      </c>
      <c r="O16" s="483">
        <v>0.19</v>
      </c>
      <c r="P16" s="484">
        <v>2.2999999999999998</v>
      </c>
      <c r="Q16" s="35"/>
      <c r="R16" s="426">
        <v>1</v>
      </c>
      <c r="S16" s="426">
        <v>1</v>
      </c>
      <c r="T16" s="426">
        <v>1</v>
      </c>
      <c r="U16" s="429"/>
      <c r="V16" s="432">
        <f>R16*O16*V4/Y4</f>
        <v>9.9505650425273373E-2</v>
      </c>
      <c r="W16" s="432">
        <f>O16*S16*W4/Y4</f>
        <v>6.7702321317724412E-2</v>
      </c>
      <c r="X16" s="510">
        <f>P16*T16*X4/Y4</f>
        <v>0.27590349995318469</v>
      </c>
      <c r="Y16" s="505">
        <f t="shared" si="0"/>
        <v>0.44311147169618248</v>
      </c>
      <c r="Z16" s="373"/>
    </row>
    <row r="17" spans="2:26" ht="14.25" customHeight="1">
      <c r="B17" s="463"/>
      <c r="C17" s="455"/>
      <c r="D17" s="492"/>
      <c r="E17" s="466"/>
      <c r="F17" s="503"/>
      <c r="G17" s="466"/>
      <c r="H17" s="466"/>
      <c r="I17" s="466"/>
      <c r="J17" s="487"/>
      <c r="K17" s="477"/>
      <c r="L17" s="479"/>
      <c r="M17" s="481"/>
      <c r="N17" s="482"/>
      <c r="O17" s="483"/>
      <c r="P17" s="484"/>
      <c r="Q17" s="35"/>
      <c r="R17" s="427"/>
      <c r="S17" s="427"/>
      <c r="T17" s="427"/>
      <c r="U17" s="430"/>
      <c r="V17" s="433"/>
      <c r="W17" s="433"/>
      <c r="X17" s="511"/>
      <c r="Y17" s="506"/>
      <c r="Z17" s="374"/>
    </row>
    <row r="18" spans="2:26" ht="14.25" customHeight="1">
      <c r="B18" s="463"/>
      <c r="C18" s="455"/>
      <c r="D18" s="493"/>
      <c r="E18" s="467"/>
      <c r="F18" s="504"/>
      <c r="G18" s="467"/>
      <c r="H18" s="467"/>
      <c r="I18" s="467"/>
      <c r="J18" s="488"/>
      <c r="K18" s="477"/>
      <c r="L18" s="480"/>
      <c r="M18" s="481"/>
      <c r="N18" s="482"/>
      <c r="O18" s="483"/>
      <c r="P18" s="484"/>
      <c r="Q18" s="35"/>
      <c r="R18" s="428"/>
      <c r="S18" s="428"/>
      <c r="T18" s="428"/>
      <c r="U18" s="431"/>
      <c r="V18" s="434"/>
      <c r="W18" s="434"/>
      <c r="X18" s="512"/>
      <c r="Y18" s="507"/>
      <c r="Z18" s="375"/>
    </row>
    <row r="19" spans="2:26" ht="15">
      <c r="B19" s="463"/>
      <c r="C19" s="455"/>
      <c r="D19" s="451" t="s">
        <v>201</v>
      </c>
      <c r="E19" s="34" t="s">
        <v>194</v>
      </c>
      <c r="F19" s="362" t="s">
        <v>263</v>
      </c>
      <c r="G19" s="449" t="s">
        <v>211</v>
      </c>
      <c r="H19" s="448" t="s">
        <v>192</v>
      </c>
      <c r="I19" s="138"/>
      <c r="J19" s="231">
        <v>5</v>
      </c>
      <c r="K19" s="223"/>
      <c r="L19" s="224">
        <f>0.07*2</f>
        <v>0.14000000000000001</v>
      </c>
      <c r="M19" s="236">
        <f>0.167*2</f>
        <v>0.33400000000000002</v>
      </c>
      <c r="N19" s="177"/>
      <c r="O19" s="178">
        <f>L19*J19</f>
        <v>0.70000000000000007</v>
      </c>
      <c r="P19" s="179">
        <f>M19*J19</f>
        <v>1.6700000000000002</v>
      </c>
      <c r="Q19" s="35"/>
      <c r="R19" s="180">
        <v>0</v>
      </c>
      <c r="S19" s="180">
        <v>0</v>
      </c>
      <c r="T19" s="180">
        <v>1</v>
      </c>
      <c r="U19" s="181"/>
      <c r="V19" s="181">
        <f>R19*O19*V4/Y4</f>
        <v>0</v>
      </c>
      <c r="W19" s="181">
        <f>S19*O19*W4/Y4</f>
        <v>0</v>
      </c>
      <c r="X19" s="292">
        <f>T19*O19*X4/Y4</f>
        <v>8.3970630420534487E-2</v>
      </c>
      <c r="Y19" s="385">
        <f t="shared" si="0"/>
        <v>8.3970630420534487E-2</v>
      </c>
      <c r="Z19" s="303"/>
    </row>
    <row r="20" spans="2:26" ht="15">
      <c r="B20" s="463"/>
      <c r="C20" s="461"/>
      <c r="D20" s="485"/>
      <c r="E20" s="34" t="s">
        <v>195</v>
      </c>
      <c r="F20" s="363" t="s">
        <v>262</v>
      </c>
      <c r="G20" s="468"/>
      <c r="H20" s="468"/>
      <c r="I20" s="34"/>
      <c r="J20" s="139">
        <v>5</v>
      </c>
      <c r="K20" s="223"/>
      <c r="L20" s="224">
        <v>6.4000000000000001E-2</v>
      </c>
      <c r="M20" s="226"/>
      <c r="N20" s="223"/>
      <c r="O20" s="227">
        <f>L20*J20</f>
        <v>0.32</v>
      </c>
      <c r="P20" s="226"/>
      <c r="Q20" s="35"/>
      <c r="R20" s="253">
        <v>0</v>
      </c>
      <c r="S20" s="253">
        <v>0</v>
      </c>
      <c r="T20" s="253">
        <v>1</v>
      </c>
      <c r="U20" s="254"/>
      <c r="V20" s="262">
        <f>R20*O20*V4/Y4</f>
        <v>0</v>
      </c>
      <c r="W20" s="262">
        <f>S20*O20*W4/Y4</f>
        <v>0</v>
      </c>
      <c r="X20" s="294">
        <f>T20*O20*X4/Y4</f>
        <v>3.8386573906530046E-2</v>
      </c>
      <c r="Y20" s="385">
        <f t="shared" si="0"/>
        <v>3.8386573906530046E-2</v>
      </c>
      <c r="Z20" s="308"/>
    </row>
    <row r="21" spans="2:26" ht="15">
      <c r="B21" s="463"/>
      <c r="C21" s="460"/>
      <c r="D21" s="145" t="s">
        <v>235</v>
      </c>
      <c r="E21" s="120" t="s">
        <v>48</v>
      </c>
      <c r="F21" s="120" t="s">
        <v>236</v>
      </c>
      <c r="G21" s="120" t="s">
        <v>214</v>
      </c>
      <c r="H21" s="120" t="s">
        <v>191</v>
      </c>
      <c r="I21" s="120"/>
      <c r="J21" s="232">
        <v>3.3</v>
      </c>
      <c r="K21" s="171"/>
      <c r="L21" s="172">
        <f>O21/J21</f>
        <v>3.6363636363636368E-3</v>
      </c>
      <c r="M21" s="173"/>
      <c r="N21" s="163"/>
      <c r="O21" s="166">
        <v>1.2E-2</v>
      </c>
      <c r="P21" s="225"/>
      <c r="Q21" s="35"/>
      <c r="R21" s="168">
        <v>1</v>
      </c>
      <c r="S21" s="168">
        <v>1</v>
      </c>
      <c r="T21" s="168">
        <v>1</v>
      </c>
      <c r="U21" s="344"/>
      <c r="V21" s="326">
        <f>R21*O21*V4/Y4</f>
        <v>6.2845673952804234E-3</v>
      </c>
      <c r="W21" s="326">
        <f>S21*O21*W4/Y4</f>
        <v>4.2759360832246998E-3</v>
      </c>
      <c r="X21" s="340">
        <f>T21*O21*X4/Y4</f>
        <v>1.4394965214948768E-3</v>
      </c>
      <c r="Y21" s="317">
        <f t="shared" si="0"/>
        <v>1.2E-2</v>
      </c>
      <c r="Z21" s="302"/>
    </row>
    <row r="22" spans="2:26" ht="15.75" thickBot="1">
      <c r="B22" s="464"/>
      <c r="C22" s="456"/>
      <c r="D22" s="146" t="s">
        <v>198</v>
      </c>
      <c r="E22" s="129" t="s">
        <v>47</v>
      </c>
      <c r="F22" s="245"/>
      <c r="G22" s="129" t="s">
        <v>213</v>
      </c>
      <c r="H22" s="129" t="s">
        <v>193</v>
      </c>
      <c r="I22" s="129"/>
      <c r="J22" s="144">
        <v>3.3</v>
      </c>
      <c r="K22" s="188"/>
      <c r="L22" s="189">
        <f>O22/J22</f>
        <v>0.39393939393939398</v>
      </c>
      <c r="M22" s="190"/>
      <c r="N22" s="188"/>
      <c r="O22" s="366">
        <v>1.3</v>
      </c>
      <c r="P22" s="190"/>
      <c r="Q22" s="35"/>
      <c r="R22" s="191">
        <v>0.5</v>
      </c>
      <c r="S22" s="191">
        <v>0.5</v>
      </c>
      <c r="T22" s="191">
        <v>1</v>
      </c>
      <c r="U22" s="192"/>
      <c r="V22" s="192">
        <f>R22*O22*V4/Y4</f>
        <v>0.3404140672443563</v>
      </c>
      <c r="W22" s="192">
        <f>S22*O22*W4/Y4</f>
        <v>0.2316132045080046</v>
      </c>
      <c r="X22" s="293">
        <f>T22*O22*X4/Y4</f>
        <v>0.15594545649527833</v>
      </c>
      <c r="Y22" s="319">
        <f t="shared" si="0"/>
        <v>0.72797272824763926</v>
      </c>
      <c r="Z22" s="305"/>
    </row>
    <row r="23" spans="2:26" ht="15.75" thickBot="1">
      <c r="B23" s="122" t="s">
        <v>14</v>
      </c>
      <c r="C23" s="51"/>
      <c r="D23" s="136" t="s">
        <v>223</v>
      </c>
      <c r="E23" s="123" t="s">
        <v>224</v>
      </c>
      <c r="F23" s="123"/>
      <c r="G23" s="123" t="s">
        <v>219</v>
      </c>
      <c r="H23" s="123" t="s">
        <v>191</v>
      </c>
      <c r="I23" s="123"/>
      <c r="J23" s="123">
        <v>3.3</v>
      </c>
      <c r="K23" s="199"/>
      <c r="L23" s="200">
        <f>0.13</f>
        <v>0.13</v>
      </c>
      <c r="M23" s="201"/>
      <c r="N23" s="199"/>
      <c r="O23" s="202">
        <f>L23*J23</f>
        <v>0.42899999999999999</v>
      </c>
      <c r="P23" s="201"/>
      <c r="Q23" s="35"/>
      <c r="R23" s="337">
        <v>1</v>
      </c>
      <c r="S23" s="337">
        <v>1</v>
      </c>
      <c r="T23" s="337">
        <v>1</v>
      </c>
      <c r="U23" s="338"/>
      <c r="V23" s="338">
        <f>R23*O23*V4/Y4</f>
        <v>0.22467328438127512</v>
      </c>
      <c r="W23" s="338">
        <f>S23*O23*W4/Y4</f>
        <v>0.15286471497528301</v>
      </c>
      <c r="X23" s="345">
        <f>T23*O23*X4/Y4</f>
        <v>5.1462000643441842E-2</v>
      </c>
      <c r="Y23" s="346">
        <f t="shared" si="0"/>
        <v>0.42899999999999999</v>
      </c>
      <c r="Z23" s="347"/>
    </row>
    <row r="24" spans="2:26" ht="15" customHeight="1">
      <c r="B24" s="462" t="s">
        <v>34</v>
      </c>
      <c r="C24" s="454"/>
      <c r="D24" s="469" t="s">
        <v>225</v>
      </c>
      <c r="E24" s="459" t="s">
        <v>226</v>
      </c>
      <c r="F24" s="282"/>
      <c r="G24" s="459" t="s">
        <v>220</v>
      </c>
      <c r="H24" s="459" t="s">
        <v>191</v>
      </c>
      <c r="I24" s="128" t="s">
        <v>237</v>
      </c>
      <c r="J24" s="127">
        <v>3.3</v>
      </c>
      <c r="K24" s="193"/>
      <c r="L24" s="194">
        <v>1.2999999999999999E-2</v>
      </c>
      <c r="M24" s="249"/>
      <c r="N24" s="193"/>
      <c r="O24" s="367">
        <f>L24*J24</f>
        <v>4.2899999999999994E-2</v>
      </c>
      <c r="P24" s="249"/>
      <c r="Q24" s="278"/>
      <c r="R24" s="280"/>
      <c r="S24" s="280"/>
      <c r="T24" s="280"/>
      <c r="U24" s="326"/>
      <c r="V24" s="326">
        <f>R24*O24*V4/Y4</f>
        <v>0</v>
      </c>
      <c r="W24" s="326">
        <f>S24*O24*W4/Y4</f>
        <v>0</v>
      </c>
      <c r="X24" s="340">
        <f>T24*O24*X4/Y4</f>
        <v>0</v>
      </c>
      <c r="Y24" s="386">
        <f t="shared" si="0"/>
        <v>0</v>
      </c>
      <c r="Z24" s="307"/>
    </row>
    <row r="25" spans="2:26" ht="15">
      <c r="B25" s="463"/>
      <c r="C25" s="455"/>
      <c r="D25" s="458"/>
      <c r="E25" s="414"/>
      <c r="F25" s="150" t="s">
        <v>241</v>
      </c>
      <c r="G25" s="414"/>
      <c r="H25" s="414"/>
      <c r="I25" s="30" t="s">
        <v>238</v>
      </c>
      <c r="J25" s="31">
        <v>3.3</v>
      </c>
      <c r="K25" s="248"/>
      <c r="L25" s="174">
        <v>1.0999999999999999E-2</v>
      </c>
      <c r="M25" s="250"/>
      <c r="N25" s="248"/>
      <c r="O25" s="247">
        <f t="shared" ref="O25:O26" si="3">L25*J25</f>
        <v>3.6299999999999999E-2</v>
      </c>
      <c r="P25" s="173"/>
      <c r="Q25" s="278"/>
      <c r="R25" s="168">
        <v>1</v>
      </c>
      <c r="S25" s="168">
        <v>1</v>
      </c>
      <c r="T25" s="168">
        <v>1</v>
      </c>
      <c r="U25" s="169"/>
      <c r="V25" s="169">
        <f>R25*O25*V4/Y4</f>
        <v>1.9010816370723278E-2</v>
      </c>
      <c r="W25" s="169">
        <f>S25*O25*W4/Y4</f>
        <v>1.2934706651754717E-2</v>
      </c>
      <c r="X25" s="291">
        <f>T25*O25*X4/Y4</f>
        <v>4.3544769775220012E-3</v>
      </c>
      <c r="Y25" s="317">
        <f t="shared" si="0"/>
        <v>3.6299999999999999E-2</v>
      </c>
      <c r="Z25" s="302"/>
    </row>
    <row r="26" spans="2:26" ht="15">
      <c r="B26" s="463"/>
      <c r="C26" s="455"/>
      <c r="D26" s="470"/>
      <c r="E26" s="413"/>
      <c r="F26" s="230" t="s">
        <v>240</v>
      </c>
      <c r="G26" s="413"/>
      <c r="H26" s="414"/>
      <c r="I26" s="29" t="s">
        <v>239</v>
      </c>
      <c r="J26" s="30">
        <v>3.3</v>
      </c>
      <c r="K26" s="171"/>
      <c r="L26" s="242">
        <v>0.55000000000000004</v>
      </c>
      <c r="M26" s="173"/>
      <c r="N26" s="171"/>
      <c r="O26" s="172">
        <f t="shared" si="3"/>
        <v>1.8149999999999999</v>
      </c>
      <c r="P26" s="225"/>
      <c r="Q26" s="278"/>
      <c r="R26" s="168"/>
      <c r="S26" s="168"/>
      <c r="T26" s="168"/>
      <c r="U26" s="169"/>
      <c r="V26" s="169">
        <f>R26*O26*V4/Y4</f>
        <v>0</v>
      </c>
      <c r="W26" s="169">
        <f>S26*O26*W4/Y4</f>
        <v>0</v>
      </c>
      <c r="X26" s="291">
        <f>T26*O26*X4/Y4</f>
        <v>0</v>
      </c>
      <c r="Y26" s="317">
        <f t="shared" si="0"/>
        <v>0</v>
      </c>
      <c r="Z26" s="302"/>
    </row>
    <row r="27" spans="2:26" ht="15">
      <c r="B27" s="463"/>
      <c r="C27" s="455"/>
      <c r="D27" s="457" t="s">
        <v>52</v>
      </c>
      <c r="E27" s="412" t="s">
        <v>221</v>
      </c>
      <c r="F27" s="230"/>
      <c r="G27" s="412" t="s">
        <v>208</v>
      </c>
      <c r="H27" s="414"/>
      <c r="I27" s="30" t="s">
        <v>90</v>
      </c>
      <c r="J27" s="30">
        <v>3.3</v>
      </c>
      <c r="K27" s="195">
        <v>4.4999999999999998E-2</v>
      </c>
      <c r="L27" s="174">
        <v>5.5000000000000007E-2</v>
      </c>
      <c r="M27" s="170">
        <v>0.12</v>
      </c>
      <c r="N27" s="171">
        <f>J27*K27</f>
        <v>0.14849999999999999</v>
      </c>
      <c r="O27" s="172">
        <f>L27*J27</f>
        <v>0.18150000000000002</v>
      </c>
      <c r="P27" s="173">
        <f>M27*J27</f>
        <v>0.39599999999999996</v>
      </c>
      <c r="Q27" s="35"/>
      <c r="R27" s="168">
        <v>1</v>
      </c>
      <c r="S27" s="168">
        <v>1</v>
      </c>
      <c r="T27" s="168">
        <v>1</v>
      </c>
      <c r="U27" s="169"/>
      <c r="V27" s="169">
        <f>R27*O27*V4/Y4</f>
        <v>9.5054081853616412E-2</v>
      </c>
      <c r="W27" s="169">
        <f>S27*O27*W4/Y4</f>
        <v>6.4673533258773591E-2</v>
      </c>
      <c r="X27" s="291">
        <f>T27*P27*X4/Y4</f>
        <v>4.750338520933093E-2</v>
      </c>
      <c r="Y27" s="317">
        <f t="shared" si="0"/>
        <v>0.20723100032172093</v>
      </c>
      <c r="Z27" s="302"/>
    </row>
    <row r="28" spans="2:26" ht="15" customHeight="1">
      <c r="B28" s="463"/>
      <c r="C28" s="455"/>
      <c r="D28" s="458"/>
      <c r="E28" s="414"/>
      <c r="F28" s="232" t="s">
        <v>265</v>
      </c>
      <c r="G28" s="414"/>
      <c r="H28" s="414"/>
      <c r="I28" s="412" t="s">
        <v>87</v>
      </c>
      <c r="J28" s="412">
        <v>3.3</v>
      </c>
      <c r="K28" s="410">
        <v>0.6</v>
      </c>
      <c r="L28" s="438">
        <v>0.8</v>
      </c>
      <c r="M28" s="440">
        <v>1</v>
      </c>
      <c r="N28" s="442">
        <f>J28*K28</f>
        <v>1.9799999999999998</v>
      </c>
      <c r="O28" s="444">
        <f>L28*J28</f>
        <v>2.64</v>
      </c>
      <c r="P28" s="446">
        <f>M28*J28</f>
        <v>3.3</v>
      </c>
      <c r="Q28" s="35"/>
      <c r="R28" s="418">
        <f>100%-R27</f>
        <v>0</v>
      </c>
      <c r="S28" s="418">
        <f t="shared" ref="S28:T28" si="4">100%-S27</f>
        <v>0</v>
      </c>
      <c r="T28" s="418">
        <f t="shared" si="4"/>
        <v>0</v>
      </c>
      <c r="U28" s="422"/>
      <c r="V28" s="420">
        <f>R28*O28*V4/Y4</f>
        <v>0</v>
      </c>
      <c r="W28" s="420">
        <f>S28*O28*W4/Y4</f>
        <v>0</v>
      </c>
      <c r="X28" s="513">
        <f>T28*P28*X4/Y4</f>
        <v>0</v>
      </c>
      <c r="Y28" s="508">
        <f t="shared" si="0"/>
        <v>0</v>
      </c>
      <c r="Z28" s="306"/>
    </row>
    <row r="29" spans="2:26" ht="14.25" customHeight="1">
      <c r="B29" s="463"/>
      <c r="C29" s="455"/>
      <c r="D29" s="458"/>
      <c r="E29" s="414"/>
      <c r="F29" s="277" t="s">
        <v>244</v>
      </c>
      <c r="G29" s="413"/>
      <c r="H29" s="413"/>
      <c r="I29" s="413"/>
      <c r="J29" s="414"/>
      <c r="K29" s="411"/>
      <c r="L29" s="439"/>
      <c r="M29" s="441"/>
      <c r="N29" s="443"/>
      <c r="O29" s="445"/>
      <c r="P29" s="447"/>
      <c r="Q29" s="35"/>
      <c r="R29" s="419"/>
      <c r="S29" s="419"/>
      <c r="T29" s="419"/>
      <c r="U29" s="423"/>
      <c r="V29" s="421"/>
      <c r="W29" s="421"/>
      <c r="X29" s="514"/>
      <c r="Y29" s="509"/>
      <c r="Z29" s="307"/>
    </row>
    <row r="30" spans="2:26">
      <c r="B30" s="463"/>
      <c r="C30" s="455"/>
      <c r="D30" s="240" t="s">
        <v>227</v>
      </c>
      <c r="E30" s="34" t="s">
        <v>229</v>
      </c>
      <c r="F30" s="139"/>
      <c r="G30" s="448" t="s">
        <v>206</v>
      </c>
      <c r="H30" s="448" t="s">
        <v>192</v>
      </c>
      <c r="I30" s="32"/>
      <c r="J30" s="34">
        <v>5</v>
      </c>
      <c r="K30" s="269"/>
      <c r="L30" s="252">
        <v>0</v>
      </c>
      <c r="M30" s="226"/>
      <c r="N30" s="269"/>
      <c r="O30" s="241">
        <v>0</v>
      </c>
      <c r="P30" s="251"/>
      <c r="R30" s="261">
        <v>0</v>
      </c>
      <c r="S30" s="261">
        <v>0</v>
      </c>
      <c r="T30" s="261">
        <v>1</v>
      </c>
      <c r="U30" s="238"/>
      <c r="V30" s="262">
        <f>R30*O30*V4/Y4</f>
        <v>0</v>
      </c>
      <c r="W30" s="262">
        <f>S30*O30*W4/Y4</f>
        <v>0</v>
      </c>
      <c r="X30" s="294">
        <f>T30*O30*X4/Y4</f>
        <v>0</v>
      </c>
      <c r="Y30" s="385">
        <f t="shared" si="0"/>
        <v>0</v>
      </c>
      <c r="Z30" s="135"/>
    </row>
    <row r="31" spans="2:26" ht="15">
      <c r="B31" s="463"/>
      <c r="C31" s="455"/>
      <c r="D31" s="451" t="s">
        <v>228</v>
      </c>
      <c r="E31" s="448" t="s">
        <v>222</v>
      </c>
      <c r="F31" s="257"/>
      <c r="G31" s="449"/>
      <c r="H31" s="449"/>
      <c r="I31" s="34" t="s">
        <v>245</v>
      </c>
      <c r="J31" s="34">
        <v>5</v>
      </c>
      <c r="K31" s="223"/>
      <c r="L31" s="227">
        <f>O31/5</f>
        <v>0.122</v>
      </c>
      <c r="M31" s="226"/>
      <c r="N31" s="256"/>
      <c r="O31" s="224">
        <v>0.61</v>
      </c>
      <c r="P31" s="236"/>
      <c r="Q31" s="35"/>
      <c r="R31" s="253">
        <v>0</v>
      </c>
      <c r="S31" s="253">
        <v>0</v>
      </c>
      <c r="T31" s="253">
        <v>0</v>
      </c>
      <c r="U31" s="254"/>
      <c r="V31" s="254">
        <f>R31*O31*V4/Y4</f>
        <v>0</v>
      </c>
      <c r="W31" s="262">
        <f>S31*O31*W4/Y4</f>
        <v>0</v>
      </c>
      <c r="X31" s="294">
        <f>T31*O31*X4/Y4</f>
        <v>0</v>
      </c>
      <c r="Y31" s="385">
        <f t="shared" si="0"/>
        <v>0</v>
      </c>
      <c r="Z31" s="308"/>
    </row>
    <row r="32" spans="2:26" ht="15">
      <c r="B32" s="463"/>
      <c r="C32" s="455"/>
      <c r="D32" s="452"/>
      <c r="E32" s="449"/>
      <c r="F32" s="257"/>
      <c r="G32" s="449"/>
      <c r="H32" s="449"/>
      <c r="I32" s="34" t="s">
        <v>242</v>
      </c>
      <c r="J32" s="34">
        <v>5</v>
      </c>
      <c r="K32" s="223"/>
      <c r="L32" s="227">
        <f>O32/5</f>
        <v>0.54</v>
      </c>
      <c r="M32" s="226"/>
      <c r="N32" s="256"/>
      <c r="O32" s="224">
        <v>2.7</v>
      </c>
      <c r="P32" s="236"/>
      <c r="Q32" s="35"/>
      <c r="R32" s="253">
        <v>0</v>
      </c>
      <c r="S32" s="253">
        <v>0</v>
      </c>
      <c r="T32" s="253">
        <v>0</v>
      </c>
      <c r="U32" s="254"/>
      <c r="V32" s="254">
        <f>R32*O32*V4/Y4</f>
        <v>0</v>
      </c>
      <c r="W32" s="262">
        <f>S32*O32*W4/Y4</f>
        <v>0</v>
      </c>
      <c r="X32" s="294">
        <f>T32*O32*X4/Y4</f>
        <v>0</v>
      </c>
      <c r="Y32" s="385">
        <f t="shared" si="0"/>
        <v>0</v>
      </c>
      <c r="Z32" s="308"/>
    </row>
    <row r="33" spans="2:27" ht="15.75" thickBot="1">
      <c r="B33" s="464"/>
      <c r="C33" s="456"/>
      <c r="D33" s="453"/>
      <c r="E33" s="450"/>
      <c r="F33" s="258"/>
      <c r="G33" s="450"/>
      <c r="H33" s="450"/>
      <c r="I33" s="33" t="s">
        <v>243</v>
      </c>
      <c r="J33" s="33">
        <v>5</v>
      </c>
      <c r="K33" s="182"/>
      <c r="L33" s="185">
        <f>O33/5</f>
        <v>0.91999999999999993</v>
      </c>
      <c r="M33" s="184">
        <f>P33/5</f>
        <v>1</v>
      </c>
      <c r="N33" s="196"/>
      <c r="O33" s="183">
        <v>4.5999999999999996</v>
      </c>
      <c r="P33" s="197">
        <v>5</v>
      </c>
      <c r="Q33" s="35"/>
      <c r="R33" s="186">
        <v>0</v>
      </c>
      <c r="S33" s="186">
        <v>0</v>
      </c>
      <c r="T33" s="186">
        <v>1</v>
      </c>
      <c r="U33" s="187"/>
      <c r="V33" s="267">
        <f>R33*O33*V4/Y4</f>
        <v>0</v>
      </c>
      <c r="W33" s="267">
        <f>S33*O33*W4/Y4</f>
        <v>0</v>
      </c>
      <c r="X33" s="295">
        <f>T33*P33*X4/Y4</f>
        <v>0.59979021728953197</v>
      </c>
      <c r="Y33" s="312">
        <f t="shared" si="0"/>
        <v>0.59979021728953197</v>
      </c>
      <c r="Z33" s="304"/>
    </row>
    <row r="34" spans="2:27">
      <c r="B34" s="462" t="s">
        <v>53</v>
      </c>
      <c r="C34" s="141" t="s">
        <v>53</v>
      </c>
      <c r="D34" s="272" t="s">
        <v>246</v>
      </c>
      <c r="E34" s="124" t="s">
        <v>234</v>
      </c>
      <c r="F34" s="124"/>
      <c r="G34" s="124" t="s">
        <v>231</v>
      </c>
      <c r="H34" s="124" t="s">
        <v>186</v>
      </c>
      <c r="I34" s="124"/>
      <c r="J34" s="124">
        <v>5</v>
      </c>
      <c r="K34" s="203"/>
      <c r="L34" s="204">
        <f>O34/J34</f>
        <v>0.2</v>
      </c>
      <c r="M34" s="205"/>
      <c r="N34" s="203"/>
      <c r="O34" s="204">
        <v>1</v>
      </c>
      <c r="P34" s="205"/>
      <c r="Q34" s="46"/>
      <c r="R34" s="206">
        <v>0</v>
      </c>
      <c r="S34" s="206">
        <v>0</v>
      </c>
      <c r="T34" s="206">
        <v>0</v>
      </c>
      <c r="U34" s="207"/>
      <c r="V34" s="208">
        <f>R34*O34*V4/Y4</f>
        <v>0</v>
      </c>
      <c r="W34" s="208">
        <f>S34*O34*W4/Y4</f>
        <v>0</v>
      </c>
      <c r="X34" s="296">
        <f>T34*O34*X4/Y4</f>
        <v>0</v>
      </c>
      <c r="Y34" s="387">
        <f t="shared" si="0"/>
        <v>0</v>
      </c>
      <c r="Z34" s="309"/>
    </row>
    <row r="35" spans="2:27">
      <c r="B35" s="463"/>
      <c r="C35" s="460" t="s">
        <v>15</v>
      </c>
      <c r="D35" s="273" t="s">
        <v>247</v>
      </c>
      <c r="E35" s="64" t="s">
        <v>233</v>
      </c>
      <c r="F35" s="64"/>
      <c r="G35" s="64" t="s">
        <v>230</v>
      </c>
      <c r="H35" s="64" t="s">
        <v>187</v>
      </c>
      <c r="I35" s="57"/>
      <c r="J35" s="57">
        <v>5</v>
      </c>
      <c r="K35" s="209"/>
      <c r="L35" s="210">
        <f>O35/J35</f>
        <v>0.2</v>
      </c>
      <c r="M35" s="211"/>
      <c r="N35" s="209"/>
      <c r="O35" s="210">
        <v>1</v>
      </c>
      <c r="P35" s="211"/>
      <c r="Q35" s="46"/>
      <c r="R35" s="212">
        <v>0</v>
      </c>
      <c r="S35" s="212">
        <v>0</v>
      </c>
      <c r="T35" s="212">
        <v>0</v>
      </c>
      <c r="U35" s="213"/>
      <c r="V35" s="214">
        <f>R35*O35*V4/Y4</f>
        <v>0</v>
      </c>
      <c r="W35" s="214">
        <f>S35*O35*W4/Y4</f>
        <v>0</v>
      </c>
      <c r="X35" s="297">
        <f>T35*O35*X4/Y4</f>
        <v>0</v>
      </c>
      <c r="Y35" s="392">
        <f t="shared" si="0"/>
        <v>0</v>
      </c>
      <c r="Z35" s="310"/>
    </row>
    <row r="36" spans="2:27">
      <c r="B36" s="463"/>
      <c r="C36" s="461"/>
      <c r="D36" s="274" t="s">
        <v>247</v>
      </c>
      <c r="E36" s="63" t="s">
        <v>233</v>
      </c>
      <c r="F36" s="63"/>
      <c r="G36" s="63" t="s">
        <v>230</v>
      </c>
      <c r="H36" s="63" t="s">
        <v>51</v>
      </c>
      <c r="I36" s="55"/>
      <c r="J36" s="55">
        <v>3.3</v>
      </c>
      <c r="K36" s="270"/>
      <c r="L36" s="215"/>
      <c r="M36" s="271">
        <f>P36/J36</f>
        <v>0.60606060606060608</v>
      </c>
      <c r="N36" s="270"/>
      <c r="O36" s="215"/>
      <c r="P36" s="216">
        <v>2</v>
      </c>
      <c r="R36" s="217">
        <v>0</v>
      </c>
      <c r="S36" s="217">
        <v>0</v>
      </c>
      <c r="T36" s="217">
        <v>0</v>
      </c>
      <c r="U36" s="56"/>
      <c r="V36" s="218">
        <f>R36*O36*V4/Y4</f>
        <v>0</v>
      </c>
      <c r="W36" s="218">
        <f>S36*O36*W4/Y4</f>
        <v>0</v>
      </c>
      <c r="X36" s="298">
        <f>T36*P36*X4/Y4</f>
        <v>0</v>
      </c>
      <c r="Y36" s="393">
        <f t="shared" si="0"/>
        <v>0</v>
      </c>
      <c r="Z36" s="59"/>
    </row>
    <row r="37" spans="2:27" ht="15.75" thickBot="1">
      <c r="B37" s="464"/>
      <c r="C37" s="275" t="s">
        <v>13</v>
      </c>
      <c r="D37" s="276" t="s">
        <v>248</v>
      </c>
      <c r="E37" s="126" t="s">
        <v>232</v>
      </c>
      <c r="F37" s="126" t="s">
        <v>264</v>
      </c>
      <c r="G37" s="126" t="s">
        <v>208</v>
      </c>
      <c r="H37" s="126" t="s">
        <v>60</v>
      </c>
      <c r="I37" s="125"/>
      <c r="J37" s="125">
        <v>3.3</v>
      </c>
      <c r="K37" s="219">
        <f>N37/J37</f>
        <v>0.11515151515151516</v>
      </c>
      <c r="L37" s="220">
        <f>O37/J37</f>
        <v>0.24242424242424246</v>
      </c>
      <c r="M37" s="221">
        <f>P37/J37</f>
        <v>0.54545454545454553</v>
      </c>
      <c r="N37" s="259">
        <v>0.38</v>
      </c>
      <c r="O37" s="222">
        <v>0.8</v>
      </c>
      <c r="P37" s="260">
        <v>1.8</v>
      </c>
      <c r="Q37" s="46"/>
      <c r="R37" s="263">
        <v>0</v>
      </c>
      <c r="S37" s="263">
        <v>0</v>
      </c>
      <c r="T37" s="263">
        <v>0</v>
      </c>
      <c r="U37" s="264"/>
      <c r="V37" s="265">
        <f>R37*O37*V4/Y4</f>
        <v>0</v>
      </c>
      <c r="W37" s="265">
        <f>S37*O37*W4/Y4</f>
        <v>0</v>
      </c>
      <c r="X37" s="299">
        <f>T37*P37*X4/Y4</f>
        <v>0</v>
      </c>
      <c r="Y37" s="394">
        <f t="shared" si="0"/>
        <v>0</v>
      </c>
      <c r="Z37" s="311"/>
    </row>
    <row r="38" spans="2:27">
      <c r="O38" s="35"/>
      <c r="P38" s="35"/>
      <c r="Q38" s="35"/>
      <c r="U38" s="50" t="s">
        <v>124</v>
      </c>
      <c r="V38" s="198">
        <f>SUM(V5:V37)/0.9</f>
        <v>1.7147960032928358</v>
      </c>
      <c r="W38" s="198">
        <f>SUM(W5:W37)/0.9</f>
        <v>1.1667243971885453</v>
      </c>
      <c r="X38" s="390">
        <f>SUM(X5:X37)/0.9</f>
        <v>1.6496055670589838</v>
      </c>
      <c r="Y38" s="401">
        <f>SUM(Y5:Y37)/0.9</f>
        <v>4.5311259675403646</v>
      </c>
      <c r="Z38" s="391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5">
        <f>1.135*20*V4/3600</f>
        <v>18.747149233302121</v>
      </c>
      <c r="W39" s="285">
        <v>0</v>
      </c>
      <c r="X39" s="399">
        <v>0</v>
      </c>
      <c r="Y39" s="384">
        <f t="shared" ref="Y39:Y44" si="5">V39+W39+X39</f>
        <v>18.747149233302121</v>
      </c>
      <c r="Z39" s="38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2.7041308327945077</v>
      </c>
      <c r="W40" s="4">
        <f>W38*Y4/3600</f>
        <v>1.8398546589523133</v>
      </c>
      <c r="X40" s="6">
        <f>X38*Y4/3600</f>
        <v>2.6013294101851852</v>
      </c>
      <c r="Y40" s="402">
        <f t="shared" si="5"/>
        <v>7.1453149019320064</v>
      </c>
      <c r="Z40" s="38" t="s">
        <v>99</v>
      </c>
    </row>
    <row r="41" spans="2:27">
      <c r="O41" s="35"/>
      <c r="P41" s="35"/>
      <c r="Q41" s="35"/>
      <c r="R41" s="35"/>
      <c r="U41" s="37" t="s">
        <v>79</v>
      </c>
      <c r="V41" s="320">
        <f>Y39-Y40</f>
        <v>11.601834331370114</v>
      </c>
      <c r="W41" s="4"/>
      <c r="X41" s="6"/>
      <c r="Y41" s="402">
        <f t="shared" si="5"/>
        <v>11.601834331370114</v>
      </c>
      <c r="Z41" s="38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162.36981141633268</v>
      </c>
      <c r="W42" s="4"/>
      <c r="X42" s="6"/>
      <c r="Y42" s="402">
        <f t="shared" si="5"/>
        <v>162.36981141633268</v>
      </c>
      <c r="Z42" s="38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61.885858948414466</v>
      </c>
      <c r="W43" s="4"/>
      <c r="X43" s="6"/>
      <c r="Y43" s="402">
        <f t="shared" si="5"/>
        <v>61.885858948414466</v>
      </c>
      <c r="Z43" s="38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40.107546001269036</v>
      </c>
      <c r="W44" s="40">
        <f>(W39-W40)/40*100</f>
        <v>-4.599636647380783</v>
      </c>
      <c r="X44" s="400">
        <f>(X39-X40)/40*100</f>
        <v>-6.5033235254629629</v>
      </c>
      <c r="Y44" s="403">
        <f t="shared" si="5"/>
        <v>29.004585828425288</v>
      </c>
      <c r="Z44" s="41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7">
    <mergeCell ref="C2:D2"/>
    <mergeCell ref="K2:M2"/>
    <mergeCell ref="N2:P2"/>
    <mergeCell ref="R2:T2"/>
    <mergeCell ref="U2:Z2"/>
    <mergeCell ref="P3:P4"/>
    <mergeCell ref="B5:B7"/>
    <mergeCell ref="C5:C6"/>
    <mergeCell ref="G5:G6"/>
    <mergeCell ref="C7:C8"/>
    <mergeCell ref="B8:B22"/>
    <mergeCell ref="C9:C20"/>
    <mergeCell ref="H3:H4"/>
    <mergeCell ref="I3:I4"/>
    <mergeCell ref="J3:J4"/>
    <mergeCell ref="K3:K4"/>
    <mergeCell ref="L3:L4"/>
    <mergeCell ref="M3:M4"/>
    <mergeCell ref="B3:B4"/>
    <mergeCell ref="C3:D4"/>
    <mergeCell ref="D16:D18"/>
    <mergeCell ref="N3:N4"/>
    <mergeCell ref="O3:O4"/>
    <mergeCell ref="E3:E4"/>
    <mergeCell ref="F3:F4"/>
    <mergeCell ref="G3:G4"/>
    <mergeCell ref="D12:D13"/>
    <mergeCell ref="E12:E13"/>
    <mergeCell ref="D14:D15"/>
    <mergeCell ref="E14:E15"/>
    <mergeCell ref="Y16:Y18"/>
    <mergeCell ref="P16:P18"/>
    <mergeCell ref="R16:R18"/>
    <mergeCell ref="S16:S18"/>
    <mergeCell ref="T16:T18"/>
    <mergeCell ref="E16:E18"/>
    <mergeCell ref="G16:G18"/>
    <mergeCell ref="H8:H14"/>
    <mergeCell ref="G9:G14"/>
    <mergeCell ref="F16:F18"/>
    <mergeCell ref="U16:U18"/>
    <mergeCell ref="V16:V18"/>
    <mergeCell ref="W16:W18"/>
    <mergeCell ref="X16:X18"/>
    <mergeCell ref="D19:D20"/>
    <mergeCell ref="G19:G20"/>
    <mergeCell ref="H19:H20"/>
    <mergeCell ref="N16:N18"/>
    <mergeCell ref="O16:O18"/>
    <mergeCell ref="H16:H18"/>
    <mergeCell ref="I16:I18"/>
    <mergeCell ref="J16:J18"/>
    <mergeCell ref="K16:K18"/>
    <mergeCell ref="L16:L18"/>
    <mergeCell ref="M16:M18"/>
    <mergeCell ref="J28:J29"/>
    <mergeCell ref="M28:M29"/>
    <mergeCell ref="N28:N29"/>
    <mergeCell ref="C21:C22"/>
    <mergeCell ref="B24:B33"/>
    <mergeCell ref="C24:C33"/>
    <mergeCell ref="D24:D26"/>
    <mergeCell ref="E24:E26"/>
    <mergeCell ref="D27:D29"/>
    <mergeCell ref="E27:E29"/>
    <mergeCell ref="G24:G26"/>
    <mergeCell ref="H24:H29"/>
    <mergeCell ref="B34:B37"/>
    <mergeCell ref="C35:C36"/>
    <mergeCell ref="G27:G29"/>
    <mergeCell ref="I28:I29"/>
    <mergeCell ref="X28:X29"/>
    <mergeCell ref="Y28:Y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W28:W29"/>
    <mergeCell ref="K28:K29"/>
    <mergeCell ref="L28:L29"/>
    <mergeCell ref="O28:O29"/>
    <mergeCell ref="P28:P29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4327-EF03-4D83-8E13-2534BED97B1C}">
  <dimension ref="B1:AA52"/>
  <sheetViews>
    <sheetView tabSelected="1" topLeftCell="A6" zoomScale="85" zoomScaleNormal="85" workbookViewId="0">
      <pane xSplit="5" topLeftCell="I1" activePane="topRight" state="frozen"/>
      <selection pane="topRight" activeCell="Z30" sqref="Z30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2.125" style="1" bestFit="1" customWidth="1"/>
    <col min="19" max="19" width="12.125" style="1" customWidth="1"/>
    <col min="20" max="20" width="30.125" style="1" bestFit="1" customWidth="1"/>
    <col min="21" max="21" width="13.375" style="1" bestFit="1" customWidth="1"/>
    <col min="22" max="22" width="14.125" style="1" bestFit="1" customWidth="1"/>
    <col min="23" max="23" width="12.125" style="1" bestFit="1" customWidth="1"/>
    <col min="24" max="24" width="4.375" style="1" bestFit="1" customWidth="1"/>
    <col min="25" max="25" width="10.625" style="1" bestFit="1" customWidth="1"/>
    <col min="26" max="26" width="20.125" style="1" bestFit="1" customWidth="1"/>
    <col min="27" max="27" width="13.375" style="1" bestFit="1" customWidth="1"/>
    <col min="28" max="16384" width="9.125" style="1"/>
  </cols>
  <sheetData>
    <row r="1" spans="2:27" ht="15" thickBot="1"/>
    <row r="2" spans="2:27" ht="13.9" customHeight="1" thickBot="1">
      <c r="B2" s="45" t="s">
        <v>115</v>
      </c>
      <c r="C2" s="415" t="s">
        <v>183</v>
      </c>
      <c r="D2" s="417"/>
      <c r="E2" s="45" t="s">
        <v>57</v>
      </c>
      <c r="F2" s="45" t="s">
        <v>215</v>
      </c>
      <c r="G2" s="45" t="s">
        <v>202</v>
      </c>
      <c r="H2" s="45" t="s">
        <v>190</v>
      </c>
      <c r="I2" s="45" t="s">
        <v>39</v>
      </c>
      <c r="J2" s="52" t="s">
        <v>134</v>
      </c>
      <c r="K2" s="415" t="s">
        <v>4</v>
      </c>
      <c r="L2" s="416"/>
      <c r="M2" s="417"/>
      <c r="N2" s="415" t="s">
        <v>61</v>
      </c>
      <c r="O2" s="416"/>
      <c r="P2" s="417"/>
      <c r="R2" s="415" t="s">
        <v>75</v>
      </c>
      <c r="S2" s="417"/>
      <c r="T2" s="415" t="s">
        <v>119</v>
      </c>
      <c r="U2" s="416"/>
      <c r="V2" s="416"/>
      <c r="W2" s="416"/>
      <c r="X2" s="417"/>
      <c r="Z2" s="65" t="s">
        <v>73</v>
      </c>
      <c r="AA2" s="60"/>
    </row>
    <row r="3" spans="2:27">
      <c r="B3" s="475"/>
      <c r="C3" s="496"/>
      <c r="D3" s="497"/>
      <c r="E3" s="475"/>
      <c r="F3" s="475"/>
      <c r="G3" s="475"/>
      <c r="H3" s="475"/>
      <c r="I3" s="475"/>
      <c r="J3" s="475"/>
      <c r="K3" s="454" t="s">
        <v>42</v>
      </c>
      <c r="L3" s="471" t="s">
        <v>59</v>
      </c>
      <c r="M3" s="473" t="s">
        <v>72</v>
      </c>
      <c r="N3" s="454" t="s">
        <v>38</v>
      </c>
      <c r="O3" s="471" t="s">
        <v>59</v>
      </c>
      <c r="P3" s="473" t="s">
        <v>72</v>
      </c>
      <c r="Q3" s="1" t="s">
        <v>39</v>
      </c>
      <c r="R3" s="54" t="s">
        <v>252</v>
      </c>
      <c r="S3" s="54" t="s">
        <v>251</v>
      </c>
      <c r="T3" s="69"/>
      <c r="U3" s="283" t="s">
        <v>252</v>
      </c>
      <c r="V3" s="284" t="s">
        <v>251</v>
      </c>
      <c r="W3" s="53" t="s">
        <v>255</v>
      </c>
      <c r="X3" s="131"/>
      <c r="Z3" s="43" t="s">
        <v>140</v>
      </c>
      <c r="AA3" s="42">
        <f>parameter!C8</f>
        <v>5676.9848887954295</v>
      </c>
    </row>
    <row r="4" spans="2:27" ht="15" thickBot="1">
      <c r="B4" s="476"/>
      <c r="C4" s="498"/>
      <c r="D4" s="499"/>
      <c r="E4" s="476"/>
      <c r="F4" s="476"/>
      <c r="G4" s="476"/>
      <c r="H4" s="476"/>
      <c r="I4" s="476"/>
      <c r="J4" s="476"/>
      <c r="K4" s="456"/>
      <c r="L4" s="472"/>
      <c r="M4" s="474"/>
      <c r="N4" s="456"/>
      <c r="O4" s="472"/>
      <c r="P4" s="474"/>
      <c r="Q4" s="35" t="s">
        <v>50</v>
      </c>
      <c r="R4" s="243">
        <f>AA6</f>
        <v>3654.1161779686181</v>
      </c>
      <c r="S4" s="243">
        <f>AA7</f>
        <v>2022.8687108268114</v>
      </c>
      <c r="T4" s="130"/>
      <c r="U4" s="244">
        <f>AA6</f>
        <v>3654.1161779686181</v>
      </c>
      <c r="V4" s="244">
        <f>AA7</f>
        <v>2022.8687108268114</v>
      </c>
      <c r="W4" s="368">
        <f>U4+V4</f>
        <v>5676.9848887954295</v>
      </c>
      <c r="X4" s="288"/>
      <c r="Z4" s="43" t="s">
        <v>136</v>
      </c>
      <c r="AA4" s="42">
        <v>681</v>
      </c>
    </row>
    <row r="5" spans="2:27" ht="15">
      <c r="B5" s="462" t="s">
        <v>185</v>
      </c>
      <c r="C5" s="454"/>
      <c r="D5" s="70" t="s">
        <v>196</v>
      </c>
      <c r="E5" s="54" t="s">
        <v>112</v>
      </c>
      <c r="F5" s="54" t="s">
        <v>249</v>
      </c>
      <c r="G5" s="475" t="s">
        <v>206</v>
      </c>
      <c r="H5" s="54"/>
      <c r="I5" s="54"/>
      <c r="J5" s="148"/>
      <c r="K5" s="152"/>
      <c r="L5" s="153"/>
      <c r="M5" s="154"/>
      <c r="N5" s="152"/>
      <c r="O5" s="369">
        <v>0.8</v>
      </c>
      <c r="P5" s="154"/>
      <c r="Q5" s="35"/>
      <c r="R5" s="327">
        <v>0</v>
      </c>
      <c r="S5" s="327">
        <v>1</v>
      </c>
      <c r="T5" s="328"/>
      <c r="U5" s="328">
        <f>R5*O5*U4/W4</f>
        <v>0</v>
      </c>
      <c r="V5" s="329">
        <f>O5*S5*V4/W4</f>
        <v>0.28506240554831336</v>
      </c>
      <c r="W5" s="404">
        <f>U5+V5</f>
        <v>0.28506240554831336</v>
      </c>
      <c r="X5" s="300"/>
      <c r="Z5" s="43" t="s">
        <v>126</v>
      </c>
      <c r="AA5" s="42">
        <v>661</v>
      </c>
    </row>
    <row r="6" spans="2:27">
      <c r="B6" s="463"/>
      <c r="C6" s="461"/>
      <c r="D6" s="36" t="s">
        <v>197</v>
      </c>
      <c r="E6" s="350" t="s">
        <v>256</v>
      </c>
      <c r="F6" s="28"/>
      <c r="G6" s="495"/>
      <c r="H6" s="28"/>
      <c r="I6" s="28"/>
      <c r="J6" s="149"/>
      <c r="K6" s="157"/>
      <c r="L6" s="158"/>
      <c r="M6" s="159"/>
      <c r="N6" s="157"/>
      <c r="O6" s="158"/>
      <c r="P6" s="159"/>
      <c r="Q6" s="279"/>
      <c r="R6" s="155">
        <v>1</v>
      </c>
      <c r="S6" s="155">
        <v>1</v>
      </c>
      <c r="T6" s="156"/>
      <c r="U6" s="156">
        <f>R6*O6*U4/W4</f>
        <v>0</v>
      </c>
      <c r="V6" s="300">
        <f>O6*S6*V4/W4</f>
        <v>0</v>
      </c>
      <c r="W6" s="314">
        <f t="shared" ref="W6:W37" si="0">U6+V6</f>
        <v>0</v>
      </c>
      <c r="X6" s="300"/>
      <c r="Z6" s="43" t="s">
        <v>0</v>
      </c>
      <c r="AA6" s="42">
        <f>parameter!C10</f>
        <v>3654.1161779686181</v>
      </c>
    </row>
    <row r="7" spans="2:27" ht="15" thickBot="1">
      <c r="B7" s="494"/>
      <c r="C7" s="500" t="s">
        <v>188</v>
      </c>
      <c r="D7" s="140" t="s">
        <v>106</v>
      </c>
      <c r="E7" s="121" t="s">
        <v>207</v>
      </c>
      <c r="F7" s="121"/>
      <c r="G7" s="121" t="s">
        <v>199</v>
      </c>
      <c r="H7" s="132"/>
      <c r="I7" s="121"/>
      <c r="J7" s="133"/>
      <c r="K7" s="233"/>
      <c r="L7" s="234"/>
      <c r="M7" s="235"/>
      <c r="N7" s="160"/>
      <c r="O7" s="161"/>
      <c r="P7" s="162"/>
      <c r="Q7" s="279"/>
      <c r="R7" s="330">
        <v>1</v>
      </c>
      <c r="S7" s="330">
        <v>1</v>
      </c>
      <c r="T7" s="331"/>
      <c r="U7" s="332">
        <f>R7*O7*U4/W4</f>
        <v>0</v>
      </c>
      <c r="V7" s="333">
        <f>O7*S7*V4/W4</f>
        <v>0</v>
      </c>
      <c r="W7" s="383">
        <f t="shared" si="0"/>
        <v>0</v>
      </c>
      <c r="X7" s="301"/>
      <c r="Z7" s="43" t="s">
        <v>25</v>
      </c>
      <c r="AA7" s="42">
        <f>parameter!C11</f>
        <v>2022.8687108268114</v>
      </c>
    </row>
    <row r="8" spans="2:27" ht="15">
      <c r="B8" s="462" t="s">
        <v>184</v>
      </c>
      <c r="C8" s="501"/>
      <c r="D8" s="351" t="s">
        <v>257</v>
      </c>
      <c r="E8" s="120" t="s">
        <v>210</v>
      </c>
      <c r="F8" s="120"/>
      <c r="G8" s="120" t="s">
        <v>208</v>
      </c>
      <c r="H8" s="459" t="s">
        <v>191</v>
      </c>
      <c r="I8" s="128"/>
      <c r="J8" s="229">
        <v>3.3</v>
      </c>
      <c r="K8" s="193"/>
      <c r="L8" s="164">
        <v>9.3000000000000005E-4</v>
      </c>
      <c r="M8" s="165"/>
      <c r="N8" s="163"/>
      <c r="O8" s="166">
        <f>J8*L8</f>
        <v>3.0690000000000001E-3</v>
      </c>
      <c r="P8" s="167"/>
      <c r="Q8" s="35"/>
      <c r="R8" s="280">
        <v>1</v>
      </c>
      <c r="S8" s="280">
        <v>1</v>
      </c>
      <c r="T8" s="326"/>
      <c r="U8" s="326">
        <f>R8*O8*U4/W4</f>
        <v>1.9754293467152831E-3</v>
      </c>
      <c r="V8" s="326">
        <f>O8*S8*V4/W4</f>
        <v>1.093570653284717E-3</v>
      </c>
      <c r="W8" s="386">
        <f t="shared" si="0"/>
        <v>3.0690000000000001E-3</v>
      </c>
      <c r="X8" s="302"/>
      <c r="Z8" s="246" t="s">
        <v>125</v>
      </c>
      <c r="AA8" s="42">
        <v>0.3</v>
      </c>
    </row>
    <row r="9" spans="2:27" ht="15">
      <c r="B9" s="463"/>
      <c r="C9" s="460" t="s">
        <v>189</v>
      </c>
      <c r="D9" s="352" t="s">
        <v>209</v>
      </c>
      <c r="E9" s="120" t="s">
        <v>210</v>
      </c>
      <c r="F9" s="353" t="s">
        <v>258</v>
      </c>
      <c r="G9" s="412" t="s">
        <v>211</v>
      </c>
      <c r="H9" s="414"/>
      <c r="I9" s="29"/>
      <c r="J9" s="150">
        <v>3.3</v>
      </c>
      <c r="K9" s="171"/>
      <c r="L9" s="172">
        <f>O9/J9</f>
        <v>1.5151515151515154E-3</v>
      </c>
      <c r="M9" s="173"/>
      <c r="N9" s="163"/>
      <c r="O9" s="354">
        <v>5.0000000000000001E-3</v>
      </c>
      <c r="P9" s="170"/>
      <c r="Q9" s="35"/>
      <c r="R9" s="168">
        <v>1</v>
      </c>
      <c r="S9" s="168">
        <v>1</v>
      </c>
      <c r="T9" s="169"/>
      <c r="U9" s="169">
        <f>R9*O9*U4/W4</f>
        <v>3.2183599653230421E-3</v>
      </c>
      <c r="V9" s="169">
        <f>O9*S9*V4/W4</f>
        <v>1.7816400346769583E-3</v>
      </c>
      <c r="W9" s="315">
        <f t="shared" si="0"/>
        <v>5.0000000000000001E-3</v>
      </c>
      <c r="X9" s="302"/>
      <c r="Z9" s="43" t="s">
        <v>54</v>
      </c>
      <c r="AA9" s="42">
        <v>0.6</v>
      </c>
    </row>
    <row r="10" spans="2:27" ht="15">
      <c r="B10" s="463"/>
      <c r="C10" s="455"/>
      <c r="D10" s="134" t="s">
        <v>200</v>
      </c>
      <c r="E10" s="30" t="s">
        <v>16</v>
      </c>
      <c r="F10" s="237"/>
      <c r="G10" s="414"/>
      <c r="H10" s="414"/>
      <c r="I10" s="30"/>
      <c r="J10" s="230">
        <v>3.3</v>
      </c>
      <c r="K10" s="171"/>
      <c r="L10" s="172">
        <f t="shared" ref="L10:L14" si="1">O10/J10</f>
        <v>3.6363636363636362E-2</v>
      </c>
      <c r="M10" s="173">
        <f t="shared" ref="M10:M13" si="2">P10/J10</f>
        <v>6.0606060606060615E-2</v>
      </c>
      <c r="N10" s="171"/>
      <c r="O10" s="174">
        <v>0.12</v>
      </c>
      <c r="P10" s="170">
        <v>0.2</v>
      </c>
      <c r="Q10" s="35"/>
      <c r="R10" s="168">
        <v>1</v>
      </c>
      <c r="S10" s="168">
        <v>1</v>
      </c>
      <c r="T10" s="169"/>
      <c r="U10" s="169">
        <f>R10*O10*U4/W4</f>
        <v>7.7240639167752992E-2</v>
      </c>
      <c r="V10" s="169">
        <f>O10*S10*V4/W4</f>
        <v>4.2759360832246997E-2</v>
      </c>
      <c r="W10" s="315">
        <f t="shared" si="0"/>
        <v>0.12</v>
      </c>
      <c r="X10" s="302"/>
      <c r="Z10" s="43" t="s">
        <v>29</v>
      </c>
      <c r="AA10" s="42">
        <v>0.8</v>
      </c>
    </row>
    <row r="11" spans="2:27" ht="15">
      <c r="B11" s="463"/>
      <c r="C11" s="455"/>
      <c r="D11" s="147" t="s">
        <v>203</v>
      </c>
      <c r="E11" s="31" t="s">
        <v>83</v>
      </c>
      <c r="F11" s="30"/>
      <c r="G11" s="414"/>
      <c r="H11" s="414"/>
      <c r="I11" s="30"/>
      <c r="J11" s="230">
        <v>3.3</v>
      </c>
      <c r="K11" s="171"/>
      <c r="L11" s="172">
        <f t="shared" si="1"/>
        <v>6.0606060606060615E-2</v>
      </c>
      <c r="M11" s="173">
        <f t="shared" si="2"/>
        <v>0.12121212121212123</v>
      </c>
      <c r="N11" s="171"/>
      <c r="O11" s="174">
        <v>0.2</v>
      </c>
      <c r="P11" s="170">
        <v>0.4</v>
      </c>
      <c r="Q11" s="35"/>
      <c r="R11" s="168">
        <v>1</v>
      </c>
      <c r="S11" s="168">
        <v>1</v>
      </c>
      <c r="T11" s="169"/>
      <c r="U11" s="169">
        <f>R11*O11*U4/W4</f>
        <v>0.12873439861292169</v>
      </c>
      <c r="V11" s="169">
        <f>O11*S11*V4/W4</f>
        <v>7.1265601387078339E-2</v>
      </c>
      <c r="W11" s="405">
        <f t="shared" si="0"/>
        <v>0.2</v>
      </c>
      <c r="X11" s="302"/>
      <c r="Z11" s="43" t="s">
        <v>56</v>
      </c>
      <c r="AA11" s="42">
        <v>0.8</v>
      </c>
    </row>
    <row r="12" spans="2:27" ht="15">
      <c r="B12" s="463"/>
      <c r="C12" s="455"/>
      <c r="D12" s="489"/>
      <c r="E12" s="412" t="s">
        <v>12</v>
      </c>
      <c r="F12" s="30"/>
      <c r="G12" s="414"/>
      <c r="H12" s="414"/>
      <c r="I12" s="30" t="s">
        <v>266</v>
      </c>
      <c r="J12" s="230">
        <v>3.3</v>
      </c>
      <c r="K12" s="171"/>
      <c r="L12" s="172">
        <f t="shared" si="1"/>
        <v>6.0606060606060615E-2</v>
      </c>
      <c r="M12" s="173"/>
      <c r="N12" s="171"/>
      <c r="O12" s="174">
        <v>0.2</v>
      </c>
      <c r="P12" s="173"/>
      <c r="Q12" s="35"/>
      <c r="R12" s="168">
        <v>0</v>
      </c>
      <c r="S12" s="168">
        <v>0</v>
      </c>
      <c r="T12" s="169"/>
      <c r="U12" s="169">
        <f>R12*O12*U4/W4</f>
        <v>0</v>
      </c>
      <c r="V12" s="169">
        <f>O12*S12*V4/W4</f>
        <v>0</v>
      </c>
      <c r="W12" s="349">
        <f t="shared" si="0"/>
        <v>0</v>
      </c>
      <c r="X12" s="302"/>
      <c r="Z12" s="43" t="s">
        <v>80</v>
      </c>
      <c r="AA12" s="42">
        <v>0.2</v>
      </c>
    </row>
    <row r="13" spans="2:27" ht="15">
      <c r="B13" s="463"/>
      <c r="C13" s="455"/>
      <c r="D13" s="490"/>
      <c r="E13" s="413"/>
      <c r="F13" s="355" t="s">
        <v>216</v>
      </c>
      <c r="G13" s="414"/>
      <c r="H13" s="414"/>
      <c r="I13" s="355" t="s">
        <v>259</v>
      </c>
      <c r="J13" s="230">
        <v>3.3</v>
      </c>
      <c r="K13" s="171"/>
      <c r="L13" s="172">
        <f t="shared" si="1"/>
        <v>8.6363636363636365E-2</v>
      </c>
      <c r="M13" s="173">
        <f t="shared" si="2"/>
        <v>0.13333333333333333</v>
      </c>
      <c r="N13" s="268"/>
      <c r="O13" s="174">
        <v>0.28499999999999998</v>
      </c>
      <c r="P13" s="239">
        <v>0.44</v>
      </c>
      <c r="Q13" s="35"/>
      <c r="R13" s="168">
        <v>1</v>
      </c>
      <c r="S13" s="168">
        <v>1</v>
      </c>
      <c r="T13" s="169"/>
      <c r="U13" s="169">
        <f>P13*R13</f>
        <v>0.44</v>
      </c>
      <c r="V13" s="169">
        <f>P13*S13</f>
        <v>0.44</v>
      </c>
      <c r="W13" s="349">
        <f t="shared" si="0"/>
        <v>0.88</v>
      </c>
      <c r="X13" s="302"/>
      <c r="Z13" s="43" t="s">
        <v>118</v>
      </c>
      <c r="AA13" s="42">
        <v>0.9</v>
      </c>
    </row>
    <row r="14" spans="2:27" ht="15.75" thickBot="1">
      <c r="B14" s="463"/>
      <c r="C14" s="455"/>
      <c r="D14" s="489" t="s">
        <v>204</v>
      </c>
      <c r="E14" s="412" t="s">
        <v>31</v>
      </c>
      <c r="F14" s="30" t="s">
        <v>217</v>
      </c>
      <c r="G14" s="414"/>
      <c r="H14" s="414"/>
      <c r="I14" s="30" t="s">
        <v>266</v>
      </c>
      <c r="J14" s="230">
        <v>3.3</v>
      </c>
      <c r="K14" s="171"/>
      <c r="L14" s="172">
        <f t="shared" si="1"/>
        <v>1.0606060606060608E-2</v>
      </c>
      <c r="M14" s="173"/>
      <c r="N14" s="175"/>
      <c r="O14" s="174">
        <v>3.5000000000000003E-2</v>
      </c>
      <c r="P14" s="176"/>
      <c r="Q14" s="35"/>
      <c r="R14" s="168">
        <v>1</v>
      </c>
      <c r="S14" s="168">
        <v>1</v>
      </c>
      <c r="T14" s="169"/>
      <c r="U14" s="169">
        <f>R14*O14*U4/W4</f>
        <v>2.2528519757261296E-2</v>
      </c>
      <c r="V14" s="169">
        <f>O14*S14*V4/W4</f>
        <v>1.2471480242738709E-2</v>
      </c>
      <c r="W14" s="349">
        <f t="shared" si="0"/>
        <v>3.5000000000000003E-2</v>
      </c>
      <c r="X14" s="302"/>
      <c r="Z14" s="142" t="s">
        <v>141</v>
      </c>
      <c r="AA14" s="44">
        <v>0.4</v>
      </c>
    </row>
    <row r="15" spans="2:27" ht="15">
      <c r="B15" s="463"/>
      <c r="C15" s="455"/>
      <c r="D15" s="490"/>
      <c r="E15" s="413"/>
      <c r="F15" s="286" t="s">
        <v>218</v>
      </c>
      <c r="G15" s="360" t="s">
        <v>211</v>
      </c>
      <c r="H15" s="360" t="s">
        <v>261</v>
      </c>
      <c r="I15" s="286" t="s">
        <v>250</v>
      </c>
      <c r="J15" s="365">
        <v>8</v>
      </c>
      <c r="K15" s="356"/>
      <c r="L15" s="364">
        <v>0.62</v>
      </c>
      <c r="M15" s="357"/>
      <c r="N15" s="358"/>
      <c r="O15" s="361">
        <f>J15*L15</f>
        <v>4.96</v>
      </c>
      <c r="P15" s="359"/>
      <c r="Q15" s="35"/>
      <c r="R15" s="370"/>
      <c r="S15" s="370"/>
      <c r="T15" s="371"/>
      <c r="U15" s="371"/>
      <c r="V15" s="371"/>
      <c r="W15" s="402">
        <f t="shared" si="0"/>
        <v>0</v>
      </c>
      <c r="X15" s="377"/>
    </row>
    <row r="16" spans="2:27" ht="15.75" customHeight="1">
      <c r="B16" s="463"/>
      <c r="C16" s="455"/>
      <c r="D16" s="491" t="s">
        <v>205</v>
      </c>
      <c r="E16" s="465" t="s">
        <v>212</v>
      </c>
      <c r="F16" s="502"/>
      <c r="G16" s="465" t="s">
        <v>211</v>
      </c>
      <c r="H16" s="466" t="s">
        <v>260</v>
      </c>
      <c r="I16" s="465"/>
      <c r="J16" s="486">
        <v>8.26</v>
      </c>
      <c r="K16" s="477">
        <f>0.065*3/J16</f>
        <v>2.3607748184019371E-2</v>
      </c>
      <c r="L16" s="478">
        <f>0.19*3/J16</f>
        <v>6.9007263922518172E-2</v>
      </c>
      <c r="M16" s="481">
        <f>2.3*3/J16</f>
        <v>0.83535108958837767</v>
      </c>
      <c r="N16" s="482">
        <f>0.065*3</f>
        <v>0.19500000000000001</v>
      </c>
      <c r="O16" s="483">
        <f>0.19*3</f>
        <v>0.57000000000000006</v>
      </c>
      <c r="P16" s="484">
        <f>2.3*3</f>
        <v>6.8999999999999995</v>
      </c>
      <c r="Q16" s="35"/>
      <c r="R16" s="426">
        <v>1</v>
      </c>
      <c r="S16" s="426">
        <v>1</v>
      </c>
      <c r="T16" s="429"/>
      <c r="U16" s="432">
        <f>R16*P16*U4/W4</f>
        <v>4.4413367521457969</v>
      </c>
      <c r="V16" s="432">
        <f>P16*S16*V4/W4</f>
        <v>2.4586632478542021</v>
      </c>
      <c r="W16" s="505">
        <f t="shared" si="0"/>
        <v>6.8999999999999986</v>
      </c>
      <c r="X16" s="373"/>
    </row>
    <row r="17" spans="2:24" ht="14.25" customHeight="1">
      <c r="B17" s="463"/>
      <c r="C17" s="455"/>
      <c r="D17" s="492"/>
      <c r="E17" s="466"/>
      <c r="F17" s="503"/>
      <c r="G17" s="466"/>
      <c r="H17" s="466"/>
      <c r="I17" s="466"/>
      <c r="J17" s="487"/>
      <c r="K17" s="477"/>
      <c r="L17" s="479"/>
      <c r="M17" s="481"/>
      <c r="N17" s="482"/>
      <c r="O17" s="483"/>
      <c r="P17" s="484"/>
      <c r="Q17" s="35"/>
      <c r="R17" s="427"/>
      <c r="S17" s="427"/>
      <c r="T17" s="430"/>
      <c r="U17" s="433"/>
      <c r="V17" s="433"/>
      <c r="W17" s="506"/>
      <c r="X17" s="374"/>
    </row>
    <row r="18" spans="2:24" ht="14.25" customHeight="1">
      <c r="B18" s="463"/>
      <c r="C18" s="455"/>
      <c r="D18" s="493"/>
      <c r="E18" s="467"/>
      <c r="F18" s="504"/>
      <c r="G18" s="467"/>
      <c r="H18" s="467"/>
      <c r="I18" s="467"/>
      <c r="J18" s="488"/>
      <c r="K18" s="477"/>
      <c r="L18" s="480"/>
      <c r="M18" s="481"/>
      <c r="N18" s="482"/>
      <c r="O18" s="483"/>
      <c r="P18" s="484"/>
      <c r="Q18" s="35"/>
      <c r="R18" s="428"/>
      <c r="S18" s="428"/>
      <c r="T18" s="431"/>
      <c r="U18" s="434"/>
      <c r="V18" s="434"/>
      <c r="W18" s="507"/>
      <c r="X18" s="375"/>
    </row>
    <row r="19" spans="2:24" ht="15">
      <c r="B19" s="463"/>
      <c r="C19" s="455"/>
      <c r="D19" s="451" t="s">
        <v>201</v>
      </c>
      <c r="E19" s="34" t="s">
        <v>194</v>
      </c>
      <c r="F19" s="362" t="s">
        <v>263</v>
      </c>
      <c r="G19" s="449" t="s">
        <v>211</v>
      </c>
      <c r="H19" s="448" t="s">
        <v>192</v>
      </c>
      <c r="I19" s="138"/>
      <c r="J19" s="231">
        <v>5</v>
      </c>
      <c r="K19" s="223"/>
      <c r="L19" s="224">
        <f>0.07*2</f>
        <v>0.14000000000000001</v>
      </c>
      <c r="M19" s="236">
        <f>0.167*2</f>
        <v>0.33400000000000002</v>
      </c>
      <c r="N19" s="177"/>
      <c r="O19" s="178">
        <f>L19*J19</f>
        <v>0.70000000000000007</v>
      </c>
      <c r="P19" s="179">
        <f>M19*J19</f>
        <v>1.6700000000000002</v>
      </c>
      <c r="Q19" s="35"/>
      <c r="R19" s="180">
        <v>0</v>
      </c>
      <c r="S19" s="180">
        <v>0</v>
      </c>
      <c r="T19" s="181"/>
      <c r="U19" s="181">
        <f>R19*O19*U4/W4</f>
        <v>0</v>
      </c>
      <c r="V19" s="181">
        <f>S19*O19*V4/W4</f>
        <v>0</v>
      </c>
      <c r="W19" s="406">
        <f t="shared" si="0"/>
        <v>0</v>
      </c>
      <c r="X19" s="303"/>
    </row>
    <row r="20" spans="2:24" ht="15">
      <c r="B20" s="463"/>
      <c r="C20" s="461"/>
      <c r="D20" s="485"/>
      <c r="E20" s="34" t="s">
        <v>195</v>
      </c>
      <c r="F20" s="363" t="s">
        <v>262</v>
      </c>
      <c r="G20" s="468"/>
      <c r="H20" s="468"/>
      <c r="I20" s="34"/>
      <c r="J20" s="139">
        <v>5</v>
      </c>
      <c r="K20" s="223"/>
      <c r="L20" s="224">
        <v>6.4000000000000001E-2</v>
      </c>
      <c r="M20" s="226"/>
      <c r="N20" s="223"/>
      <c r="O20" s="227">
        <f>L20*J20</f>
        <v>0.32</v>
      </c>
      <c r="P20" s="226"/>
      <c r="Q20" s="35"/>
      <c r="R20" s="253">
        <v>0</v>
      </c>
      <c r="S20" s="253">
        <v>0</v>
      </c>
      <c r="T20" s="254"/>
      <c r="U20" s="254">
        <f>R20*O20*U4/W4</f>
        <v>0</v>
      </c>
      <c r="V20" s="254">
        <f>S20*O20*V4/W4</f>
        <v>0</v>
      </c>
      <c r="W20" s="406">
        <f t="shared" si="0"/>
        <v>0</v>
      </c>
      <c r="X20" s="308"/>
    </row>
    <row r="21" spans="2:24" ht="15">
      <c r="B21" s="463"/>
      <c r="C21" s="460"/>
      <c r="D21" s="145" t="s">
        <v>235</v>
      </c>
      <c r="E21" s="120" t="s">
        <v>48</v>
      </c>
      <c r="F21" s="120" t="s">
        <v>236</v>
      </c>
      <c r="G21" s="120" t="s">
        <v>214</v>
      </c>
      <c r="H21" s="120" t="s">
        <v>191</v>
      </c>
      <c r="I21" s="120"/>
      <c r="J21" s="232">
        <v>3.3</v>
      </c>
      <c r="K21" s="171"/>
      <c r="L21" s="172">
        <f>O21/J21</f>
        <v>3.6363636363636368E-3</v>
      </c>
      <c r="M21" s="173"/>
      <c r="N21" s="163"/>
      <c r="O21" s="166">
        <v>1.2E-2</v>
      </c>
      <c r="P21" s="225"/>
      <c r="Q21" s="35"/>
      <c r="R21" s="168">
        <v>1</v>
      </c>
      <c r="S21" s="168">
        <v>1</v>
      </c>
      <c r="T21" s="344"/>
      <c r="U21" s="348">
        <f>R21*O21*U4/W4</f>
        <v>7.7240639167753004E-3</v>
      </c>
      <c r="V21" s="48">
        <f>S21*O21*V4/W4</f>
        <v>4.2759360832246998E-3</v>
      </c>
      <c r="W21" s="315">
        <f t="shared" si="0"/>
        <v>1.2E-2</v>
      </c>
      <c r="X21" s="315"/>
    </row>
    <row r="22" spans="2:24" ht="15.75" thickBot="1">
      <c r="B22" s="464"/>
      <c r="C22" s="456"/>
      <c r="D22" s="146" t="s">
        <v>198</v>
      </c>
      <c r="E22" s="129" t="s">
        <v>47</v>
      </c>
      <c r="F22" s="245"/>
      <c r="G22" s="129" t="s">
        <v>213</v>
      </c>
      <c r="H22" s="129" t="s">
        <v>193</v>
      </c>
      <c r="I22" s="129"/>
      <c r="J22" s="144">
        <v>3.3</v>
      </c>
      <c r="K22" s="188"/>
      <c r="L22" s="189">
        <f>O22/J22</f>
        <v>0.39393939393939398</v>
      </c>
      <c r="M22" s="190"/>
      <c r="N22" s="188"/>
      <c r="O22" s="366">
        <v>1.3</v>
      </c>
      <c r="P22" s="190"/>
      <c r="Q22" s="35"/>
      <c r="R22" s="191">
        <v>1</v>
      </c>
      <c r="S22" s="191">
        <v>1</v>
      </c>
      <c r="T22" s="192"/>
      <c r="U22" s="192">
        <f>R22*O22*U4/W4</f>
        <v>0.83677359098399084</v>
      </c>
      <c r="V22" s="192">
        <f>S22*O22*V4/W4</f>
        <v>0.4632264090160092</v>
      </c>
      <c r="W22" s="407">
        <f t="shared" si="0"/>
        <v>1.3</v>
      </c>
      <c r="X22" s="305"/>
    </row>
    <row r="23" spans="2:24" ht="15.75" thickBot="1">
      <c r="B23" s="122" t="s">
        <v>14</v>
      </c>
      <c r="C23" s="51"/>
      <c r="D23" s="136" t="s">
        <v>223</v>
      </c>
      <c r="E23" s="123" t="s">
        <v>224</v>
      </c>
      <c r="F23" s="123"/>
      <c r="G23" s="123" t="s">
        <v>219</v>
      </c>
      <c r="H23" s="123" t="s">
        <v>191</v>
      </c>
      <c r="I23" s="123"/>
      <c r="J23" s="123">
        <v>3.3</v>
      </c>
      <c r="K23" s="199"/>
      <c r="L23" s="200">
        <f>0.13</f>
        <v>0.13</v>
      </c>
      <c r="M23" s="201"/>
      <c r="N23" s="199"/>
      <c r="O23" s="202">
        <f>L23*J23</f>
        <v>0.42899999999999999</v>
      </c>
      <c r="P23" s="201"/>
      <c r="Q23" s="35"/>
      <c r="R23" s="337">
        <v>1</v>
      </c>
      <c r="S23" s="337">
        <v>1</v>
      </c>
      <c r="T23" s="338"/>
      <c r="U23" s="338">
        <f>R23*O23*U4/W4</f>
        <v>0.27613528502471696</v>
      </c>
      <c r="V23" s="338">
        <f>S23*O23*V4/W4</f>
        <v>0.15286471497528301</v>
      </c>
      <c r="W23" s="386">
        <f t="shared" si="0"/>
        <v>0.42899999999999994</v>
      </c>
      <c r="X23" s="347"/>
    </row>
    <row r="24" spans="2:24" ht="15" customHeight="1">
      <c r="B24" s="462" t="s">
        <v>34</v>
      </c>
      <c r="C24" s="454"/>
      <c r="D24" s="469" t="s">
        <v>225</v>
      </c>
      <c r="E24" s="459" t="s">
        <v>226</v>
      </c>
      <c r="F24" s="282"/>
      <c r="G24" s="459" t="s">
        <v>220</v>
      </c>
      <c r="H24" s="459" t="s">
        <v>191</v>
      </c>
      <c r="I24" s="128" t="s">
        <v>237</v>
      </c>
      <c r="J24" s="127">
        <v>3.3</v>
      </c>
      <c r="K24" s="193"/>
      <c r="L24" s="194">
        <v>1.2999999999999999E-2</v>
      </c>
      <c r="M24" s="249"/>
      <c r="N24" s="193"/>
      <c r="O24" s="367">
        <f>L24*J24</f>
        <v>4.2899999999999994E-2</v>
      </c>
      <c r="P24" s="249"/>
      <c r="Q24" s="278"/>
      <c r="R24" s="280"/>
      <c r="S24" s="280"/>
      <c r="T24" s="326"/>
      <c r="U24" s="326">
        <f>R24*O24*U4/W4</f>
        <v>0</v>
      </c>
      <c r="V24" s="326">
        <f>S24*O24*V4/W4</f>
        <v>0</v>
      </c>
      <c r="W24" s="408">
        <f t="shared" si="0"/>
        <v>0</v>
      </c>
      <c r="X24" s="307"/>
    </row>
    <row r="25" spans="2:24" ht="15">
      <c r="B25" s="463"/>
      <c r="C25" s="455"/>
      <c r="D25" s="458"/>
      <c r="E25" s="414"/>
      <c r="F25" s="150" t="s">
        <v>241</v>
      </c>
      <c r="G25" s="414"/>
      <c r="H25" s="414"/>
      <c r="I25" s="30" t="s">
        <v>238</v>
      </c>
      <c r="J25" s="31">
        <v>3.3</v>
      </c>
      <c r="K25" s="248"/>
      <c r="L25" s="174">
        <v>1.0999999999999999E-2</v>
      </c>
      <c r="M25" s="250"/>
      <c r="N25" s="248"/>
      <c r="O25" s="247">
        <f t="shared" ref="O25:O26" si="3">L25*J25</f>
        <v>3.6299999999999999E-2</v>
      </c>
      <c r="P25" s="173"/>
      <c r="Q25" s="278"/>
      <c r="R25" s="168">
        <v>1</v>
      </c>
      <c r="S25" s="168">
        <v>1</v>
      </c>
      <c r="T25" s="169"/>
      <c r="U25" s="169">
        <f>R25*O25*U4/W4</f>
        <v>2.3365293348245282E-2</v>
      </c>
      <c r="V25" s="169">
        <f>S25*O25*V4/W4</f>
        <v>1.2934706651754717E-2</v>
      </c>
      <c r="W25" s="315">
        <f t="shared" si="0"/>
        <v>3.6299999999999999E-2</v>
      </c>
      <c r="X25" s="302"/>
    </row>
    <row r="26" spans="2:24" ht="15">
      <c r="B26" s="463"/>
      <c r="C26" s="455"/>
      <c r="D26" s="470"/>
      <c r="E26" s="413"/>
      <c r="F26" s="230" t="s">
        <v>240</v>
      </c>
      <c r="G26" s="413"/>
      <c r="H26" s="414"/>
      <c r="I26" s="29" t="s">
        <v>239</v>
      </c>
      <c r="J26" s="30">
        <v>3.3</v>
      </c>
      <c r="K26" s="171"/>
      <c r="L26" s="242">
        <v>0.55000000000000004</v>
      </c>
      <c r="M26" s="173"/>
      <c r="N26" s="171"/>
      <c r="O26" s="172">
        <f t="shared" si="3"/>
        <v>1.8149999999999999</v>
      </c>
      <c r="P26" s="225"/>
      <c r="Q26" s="278"/>
      <c r="R26" s="168"/>
      <c r="S26" s="168"/>
      <c r="T26" s="169"/>
      <c r="U26" s="169">
        <f>R26*O26*U4/W4</f>
        <v>0</v>
      </c>
      <c r="V26" s="169">
        <f>S26*O26*V4/W4</f>
        <v>0</v>
      </c>
      <c r="W26" s="315">
        <f t="shared" si="0"/>
        <v>0</v>
      </c>
      <c r="X26" s="302"/>
    </row>
    <row r="27" spans="2:24" ht="15">
      <c r="B27" s="463"/>
      <c r="C27" s="455"/>
      <c r="D27" s="457" t="s">
        <v>52</v>
      </c>
      <c r="E27" s="412" t="s">
        <v>221</v>
      </c>
      <c r="F27" s="230"/>
      <c r="G27" s="412" t="s">
        <v>208</v>
      </c>
      <c r="H27" s="414"/>
      <c r="I27" s="30" t="s">
        <v>90</v>
      </c>
      <c r="J27" s="30">
        <v>3.3</v>
      </c>
      <c r="K27" s="195">
        <v>4.4999999999999998E-2</v>
      </c>
      <c r="L27" s="174">
        <v>5.5000000000000007E-2</v>
      </c>
      <c r="M27" s="170">
        <v>0.12</v>
      </c>
      <c r="N27" s="171">
        <f>J27*K27</f>
        <v>0.14849999999999999</v>
      </c>
      <c r="O27" s="172">
        <f>L27*J27</f>
        <v>0.18150000000000002</v>
      </c>
      <c r="P27" s="173">
        <f>M27*J27</f>
        <v>0.39599999999999996</v>
      </c>
      <c r="Q27" s="35"/>
      <c r="R27" s="168">
        <v>0.9</v>
      </c>
      <c r="S27" s="168">
        <v>0.9</v>
      </c>
      <c r="T27" s="169"/>
      <c r="U27" s="169">
        <f>R27*O27*U4/W4</f>
        <v>0.10514382006710379</v>
      </c>
      <c r="V27" s="169">
        <f>S27*O27*V4/W4</f>
        <v>5.8206179932896236E-2</v>
      </c>
      <c r="W27" s="405">
        <f t="shared" si="0"/>
        <v>0.16335000000000002</v>
      </c>
      <c r="X27" s="302"/>
    </row>
    <row r="28" spans="2:24" ht="15" customHeight="1">
      <c r="B28" s="463"/>
      <c r="C28" s="455"/>
      <c r="D28" s="458"/>
      <c r="E28" s="414"/>
      <c r="F28" s="232" t="s">
        <v>265</v>
      </c>
      <c r="G28" s="414"/>
      <c r="H28" s="414"/>
      <c r="I28" s="412" t="s">
        <v>87</v>
      </c>
      <c r="J28" s="412">
        <v>3.3</v>
      </c>
      <c r="K28" s="410">
        <v>0.6</v>
      </c>
      <c r="L28" s="438">
        <v>0.8</v>
      </c>
      <c r="M28" s="440">
        <v>1</v>
      </c>
      <c r="N28" s="442">
        <f>J28*K28</f>
        <v>1.9799999999999998</v>
      </c>
      <c r="O28" s="444">
        <f>L28*J28</f>
        <v>2.64</v>
      </c>
      <c r="P28" s="446">
        <f>M28*J28</f>
        <v>3.3</v>
      </c>
      <c r="Q28" s="35"/>
      <c r="R28" s="418">
        <f>100%-R27</f>
        <v>9.9999999999999978E-2</v>
      </c>
      <c r="S28" s="418">
        <f t="shared" ref="S28" si="4">100%-S27</f>
        <v>9.9999999999999978E-2</v>
      </c>
      <c r="T28" s="422"/>
      <c r="U28" s="420">
        <f>R28*O28*U4/W4</f>
        <v>0.16992940616905658</v>
      </c>
      <c r="V28" s="420">
        <f>S28*O28*V4/W4</f>
        <v>9.4070593830943378E-2</v>
      </c>
      <c r="W28" s="508">
        <f t="shared" si="0"/>
        <v>0.26399999999999996</v>
      </c>
      <c r="X28" s="306"/>
    </row>
    <row r="29" spans="2:24" ht="14.25" customHeight="1">
      <c r="B29" s="463"/>
      <c r="C29" s="455"/>
      <c r="D29" s="458"/>
      <c r="E29" s="414"/>
      <c r="F29" s="277" t="s">
        <v>244</v>
      </c>
      <c r="G29" s="413"/>
      <c r="H29" s="413"/>
      <c r="I29" s="413"/>
      <c r="J29" s="414"/>
      <c r="K29" s="411"/>
      <c r="L29" s="439"/>
      <c r="M29" s="441"/>
      <c r="N29" s="443"/>
      <c r="O29" s="445"/>
      <c r="P29" s="447"/>
      <c r="Q29" s="35"/>
      <c r="R29" s="419"/>
      <c r="S29" s="419"/>
      <c r="T29" s="423"/>
      <c r="U29" s="421"/>
      <c r="V29" s="421"/>
      <c r="W29" s="509"/>
      <c r="X29" s="307"/>
    </row>
    <row r="30" spans="2:24">
      <c r="B30" s="463"/>
      <c r="C30" s="455"/>
      <c r="D30" s="240" t="s">
        <v>227</v>
      </c>
      <c r="E30" s="34" t="s">
        <v>229</v>
      </c>
      <c r="F30" s="139"/>
      <c r="G30" s="448" t="s">
        <v>206</v>
      </c>
      <c r="H30" s="448" t="s">
        <v>192</v>
      </c>
      <c r="I30" s="32"/>
      <c r="J30" s="34">
        <v>5</v>
      </c>
      <c r="K30" s="269"/>
      <c r="L30" s="252">
        <v>0</v>
      </c>
      <c r="M30" s="226"/>
      <c r="N30" s="269"/>
      <c r="O30" s="241">
        <v>0</v>
      </c>
      <c r="P30" s="251"/>
      <c r="R30" s="261">
        <v>0</v>
      </c>
      <c r="S30" s="261">
        <v>0</v>
      </c>
      <c r="T30" s="238"/>
      <c r="U30" s="262">
        <f>R30*O30*U4/W4</f>
        <v>0</v>
      </c>
      <c r="V30" s="262">
        <f>S30*O30*V4/W4</f>
        <v>0</v>
      </c>
      <c r="W30" s="406">
        <f t="shared" si="0"/>
        <v>0</v>
      </c>
      <c r="X30" s="135"/>
    </row>
    <row r="31" spans="2:24" ht="15">
      <c r="B31" s="463"/>
      <c r="C31" s="455"/>
      <c r="D31" s="451" t="s">
        <v>228</v>
      </c>
      <c r="E31" s="448" t="s">
        <v>222</v>
      </c>
      <c r="F31" s="257"/>
      <c r="G31" s="449"/>
      <c r="H31" s="449"/>
      <c r="I31" s="34" t="s">
        <v>245</v>
      </c>
      <c r="J31" s="34">
        <v>5</v>
      </c>
      <c r="K31" s="223"/>
      <c r="L31" s="227">
        <f>O31/5</f>
        <v>0.122</v>
      </c>
      <c r="M31" s="226"/>
      <c r="N31" s="256"/>
      <c r="O31" s="224">
        <v>0.61</v>
      </c>
      <c r="P31" s="236"/>
      <c r="Q31" s="35"/>
      <c r="R31" s="253">
        <v>0</v>
      </c>
      <c r="S31" s="253">
        <v>0</v>
      </c>
      <c r="T31" s="254"/>
      <c r="U31" s="254">
        <f>R31*O31*U4/W4</f>
        <v>0</v>
      </c>
      <c r="V31" s="262">
        <f>S31*O31*V4/W4</f>
        <v>0</v>
      </c>
      <c r="W31" s="406">
        <f t="shared" si="0"/>
        <v>0</v>
      </c>
      <c r="X31" s="308"/>
    </row>
    <row r="32" spans="2:24" ht="15">
      <c r="B32" s="463"/>
      <c r="C32" s="455"/>
      <c r="D32" s="452"/>
      <c r="E32" s="449"/>
      <c r="F32" s="257"/>
      <c r="G32" s="449"/>
      <c r="H32" s="449"/>
      <c r="I32" s="34" t="s">
        <v>242</v>
      </c>
      <c r="J32" s="34">
        <v>5</v>
      </c>
      <c r="K32" s="223"/>
      <c r="L32" s="227">
        <f>O32/5</f>
        <v>0.54</v>
      </c>
      <c r="M32" s="226"/>
      <c r="N32" s="256"/>
      <c r="O32" s="224">
        <v>2.7</v>
      </c>
      <c r="P32" s="236"/>
      <c r="Q32" s="35"/>
      <c r="R32" s="253">
        <v>0</v>
      </c>
      <c r="S32" s="253">
        <v>0</v>
      </c>
      <c r="T32" s="254"/>
      <c r="U32" s="254">
        <f>R32*O32*U4/W4</f>
        <v>0</v>
      </c>
      <c r="V32" s="262">
        <f>S32*O32*V4/W4</f>
        <v>0</v>
      </c>
      <c r="W32" s="316">
        <f t="shared" si="0"/>
        <v>0</v>
      </c>
      <c r="X32" s="308"/>
    </row>
    <row r="33" spans="2:25" ht="15.75" thickBot="1">
      <c r="B33" s="464"/>
      <c r="C33" s="456"/>
      <c r="D33" s="453"/>
      <c r="E33" s="450"/>
      <c r="F33" s="258"/>
      <c r="G33" s="450"/>
      <c r="H33" s="450"/>
      <c r="I33" s="33" t="s">
        <v>243</v>
      </c>
      <c r="J33" s="33">
        <v>5</v>
      </c>
      <c r="K33" s="182"/>
      <c r="L33" s="185">
        <f>O33/5</f>
        <v>0.91999999999999993</v>
      </c>
      <c r="M33" s="184">
        <f>P33/5</f>
        <v>1</v>
      </c>
      <c r="N33" s="196"/>
      <c r="O33" s="183">
        <v>4.5999999999999996</v>
      </c>
      <c r="P33" s="197">
        <v>5</v>
      </c>
      <c r="Q33" s="35"/>
      <c r="R33" s="186">
        <v>0</v>
      </c>
      <c r="S33" s="186">
        <v>0</v>
      </c>
      <c r="T33" s="187"/>
      <c r="U33" s="267">
        <f>R33*O33*U4/W4</f>
        <v>0</v>
      </c>
      <c r="V33" s="267">
        <f>S33*O33*V4/W4</f>
        <v>0</v>
      </c>
      <c r="W33" s="385">
        <f t="shared" si="0"/>
        <v>0</v>
      </c>
      <c r="X33" s="304"/>
    </row>
    <row r="34" spans="2:25">
      <c r="B34" s="462" t="s">
        <v>53</v>
      </c>
      <c r="C34" s="141" t="s">
        <v>53</v>
      </c>
      <c r="D34" s="272" t="s">
        <v>246</v>
      </c>
      <c r="E34" s="124" t="s">
        <v>234</v>
      </c>
      <c r="F34" s="124"/>
      <c r="G34" s="124" t="s">
        <v>231</v>
      </c>
      <c r="H34" s="124" t="s">
        <v>186</v>
      </c>
      <c r="I34" s="124"/>
      <c r="J34" s="124">
        <v>5</v>
      </c>
      <c r="K34" s="203"/>
      <c r="L34" s="204">
        <f>O34/J34</f>
        <v>0.2</v>
      </c>
      <c r="M34" s="205"/>
      <c r="N34" s="203"/>
      <c r="O34" s="204">
        <v>1</v>
      </c>
      <c r="P34" s="205"/>
      <c r="Q34" s="46"/>
      <c r="R34" s="206">
        <v>0</v>
      </c>
      <c r="S34" s="206">
        <v>0</v>
      </c>
      <c r="T34" s="207"/>
      <c r="U34" s="208">
        <f>R34*O34*U4/W4</f>
        <v>0</v>
      </c>
      <c r="V34" s="208">
        <f>S34*O34*V4/W4</f>
        <v>0</v>
      </c>
      <c r="W34" s="389">
        <f t="shared" si="0"/>
        <v>0</v>
      </c>
      <c r="X34" s="309"/>
    </row>
    <row r="35" spans="2:25">
      <c r="B35" s="463"/>
      <c r="C35" s="460" t="s">
        <v>15</v>
      </c>
      <c r="D35" s="273" t="s">
        <v>247</v>
      </c>
      <c r="E35" s="64" t="s">
        <v>233</v>
      </c>
      <c r="F35" s="64"/>
      <c r="G35" s="64" t="s">
        <v>230</v>
      </c>
      <c r="H35" s="64" t="s">
        <v>187</v>
      </c>
      <c r="I35" s="57"/>
      <c r="J35" s="57">
        <v>5</v>
      </c>
      <c r="K35" s="209"/>
      <c r="L35" s="210">
        <f>O35/J35</f>
        <v>0.2</v>
      </c>
      <c r="M35" s="211"/>
      <c r="N35" s="209"/>
      <c r="O35" s="210">
        <v>1</v>
      </c>
      <c r="P35" s="211"/>
      <c r="Q35" s="46"/>
      <c r="R35" s="212">
        <v>0</v>
      </c>
      <c r="S35" s="212">
        <v>0</v>
      </c>
      <c r="T35" s="213"/>
      <c r="U35" s="214">
        <f>R35*O35*U4/W4</f>
        <v>0</v>
      </c>
      <c r="V35" s="214">
        <f>S35*O35*V4/W4</f>
        <v>0</v>
      </c>
      <c r="W35" s="388">
        <f t="shared" si="0"/>
        <v>0</v>
      </c>
      <c r="X35" s="310"/>
    </row>
    <row r="36" spans="2:25">
      <c r="B36" s="463"/>
      <c r="C36" s="461"/>
      <c r="D36" s="274" t="s">
        <v>247</v>
      </c>
      <c r="E36" s="63" t="s">
        <v>233</v>
      </c>
      <c r="F36" s="63"/>
      <c r="G36" s="63" t="s">
        <v>230</v>
      </c>
      <c r="H36" s="63" t="s">
        <v>51</v>
      </c>
      <c r="I36" s="55"/>
      <c r="J36" s="55">
        <v>3.3</v>
      </c>
      <c r="K36" s="270"/>
      <c r="L36" s="215"/>
      <c r="M36" s="271">
        <f>P36/J36</f>
        <v>0.60606060606060608</v>
      </c>
      <c r="N36" s="270"/>
      <c r="O36" s="215"/>
      <c r="P36" s="216">
        <v>2</v>
      </c>
      <c r="R36" s="217">
        <v>0</v>
      </c>
      <c r="S36" s="217">
        <v>0</v>
      </c>
      <c r="T36" s="56"/>
      <c r="U36" s="218">
        <f>R36*O36*U4/W4</f>
        <v>0</v>
      </c>
      <c r="V36" s="218">
        <f>S36*O36*V4/W4</f>
        <v>0</v>
      </c>
      <c r="W36" s="318">
        <f t="shared" si="0"/>
        <v>0</v>
      </c>
      <c r="X36" s="59"/>
    </row>
    <row r="37" spans="2:25" ht="15.75" thickBot="1">
      <c r="B37" s="464"/>
      <c r="C37" s="275" t="s">
        <v>13</v>
      </c>
      <c r="D37" s="276" t="s">
        <v>248</v>
      </c>
      <c r="E37" s="126" t="s">
        <v>232</v>
      </c>
      <c r="F37" s="126" t="s">
        <v>264</v>
      </c>
      <c r="G37" s="126" t="s">
        <v>208</v>
      </c>
      <c r="H37" s="126" t="s">
        <v>60</v>
      </c>
      <c r="I37" s="125"/>
      <c r="J37" s="125">
        <v>3.3</v>
      </c>
      <c r="K37" s="219">
        <f>N37/J37</f>
        <v>0.11515151515151516</v>
      </c>
      <c r="L37" s="220">
        <f>O37/J37</f>
        <v>0.24242424242424246</v>
      </c>
      <c r="M37" s="221">
        <f>P37/J37</f>
        <v>0.54545454545454553</v>
      </c>
      <c r="N37" s="259">
        <v>0.38</v>
      </c>
      <c r="O37" s="222">
        <v>0.8</v>
      </c>
      <c r="P37" s="260">
        <v>1.8</v>
      </c>
      <c r="Q37" s="46"/>
      <c r="R37" s="263">
        <v>0</v>
      </c>
      <c r="S37" s="263">
        <v>0</v>
      </c>
      <c r="T37" s="321"/>
      <c r="U37" s="322">
        <f>R37*O37*U4/W4</f>
        <v>0</v>
      </c>
      <c r="V37" s="322">
        <f>S37*O37*V4/W4</f>
        <v>0</v>
      </c>
      <c r="W37" s="394">
        <f t="shared" si="0"/>
        <v>0</v>
      </c>
      <c r="X37" s="323"/>
    </row>
    <row r="38" spans="2:25">
      <c r="O38" s="35"/>
      <c r="P38" s="35"/>
      <c r="Q38" s="35"/>
      <c r="T38" s="324" t="s">
        <v>124</v>
      </c>
      <c r="U38" s="325">
        <f>SUM(U5:U37)/0.9</f>
        <v>7.2601172872285105</v>
      </c>
      <c r="V38" s="395">
        <f>SUM(V5:V37)/0.9</f>
        <v>4.5540842744918359</v>
      </c>
      <c r="W38" s="401">
        <f>SUM(W5:W37)/0.9</f>
        <v>11.814201561720347</v>
      </c>
      <c r="X38" s="396" t="s">
        <v>93</v>
      </c>
      <c r="Y38" s="1" t="s">
        <v>2</v>
      </c>
    </row>
    <row r="39" spans="2:25">
      <c r="O39" s="35"/>
      <c r="P39" s="35"/>
      <c r="Q39" s="35"/>
      <c r="T39" s="37" t="s">
        <v>8</v>
      </c>
      <c r="U39" s="285">
        <f>1.135*20*R4/3600</f>
        <v>23.041232566635454</v>
      </c>
      <c r="V39" s="399">
        <v>0</v>
      </c>
      <c r="W39" s="409">
        <f t="shared" ref="W39:W44" si="5">U39+V39</f>
        <v>23.041232566635454</v>
      </c>
      <c r="X39" s="67" t="s">
        <v>99</v>
      </c>
    </row>
    <row r="40" spans="2:25">
      <c r="O40" s="35"/>
      <c r="P40" s="35"/>
      <c r="Q40" s="35"/>
      <c r="R40" s="35"/>
      <c r="T40" s="37" t="s">
        <v>7</v>
      </c>
      <c r="U40" s="4">
        <f>U38*W4/3600</f>
        <v>11.448771147355201</v>
      </c>
      <c r="V40" s="6">
        <f>V38*W4/3600</f>
        <v>7.1815187801641809</v>
      </c>
      <c r="W40" s="402">
        <f t="shared" si="5"/>
        <v>18.630289927519382</v>
      </c>
      <c r="X40" s="67" t="s">
        <v>99</v>
      </c>
    </row>
    <row r="41" spans="2:25">
      <c r="O41" s="35"/>
      <c r="P41" s="35"/>
      <c r="Q41" s="35"/>
      <c r="R41" s="35"/>
      <c r="T41" s="37" t="s">
        <v>79</v>
      </c>
      <c r="U41" s="320">
        <f>W39-W40</f>
        <v>4.4109426391160724</v>
      </c>
      <c r="V41" s="6"/>
      <c r="W41" s="402">
        <f t="shared" si="5"/>
        <v>4.4109426391160724</v>
      </c>
      <c r="X41" s="67" t="s">
        <v>99</v>
      </c>
    </row>
    <row r="42" spans="2:25">
      <c r="O42" s="35"/>
      <c r="P42" s="35"/>
      <c r="Q42" s="35"/>
      <c r="R42" s="35"/>
      <c r="T42" s="37" t="s">
        <v>138</v>
      </c>
      <c r="U42" s="4">
        <f>100*(W39/W40-1)</f>
        <v>23.676188917492546</v>
      </c>
      <c r="V42" s="6"/>
      <c r="W42" s="402">
        <f t="shared" si="5"/>
        <v>23.676188917492546</v>
      </c>
      <c r="X42" s="67" t="s">
        <v>86</v>
      </c>
    </row>
    <row r="43" spans="2:25">
      <c r="O43" s="35"/>
      <c r="P43" s="35"/>
      <c r="Q43" s="35"/>
      <c r="R43" s="35"/>
      <c r="T43" s="37" t="s">
        <v>84</v>
      </c>
      <c r="U43" s="4">
        <f>U41/$U$39*100</f>
        <v>19.143692189033665</v>
      </c>
      <c r="V43" s="6"/>
      <c r="W43" s="402">
        <f t="shared" si="5"/>
        <v>19.143692189033665</v>
      </c>
      <c r="X43" s="67" t="s">
        <v>86</v>
      </c>
      <c r="Y43" s="15" t="s">
        <v>62</v>
      </c>
    </row>
    <row r="44" spans="2:25" ht="15" thickBot="1">
      <c r="O44" s="35"/>
      <c r="P44" s="35"/>
      <c r="Q44" s="35"/>
      <c r="R44" s="35"/>
      <c r="T44" s="39" t="s">
        <v>128</v>
      </c>
      <c r="U44" s="40">
        <f>(U39-U40)/40*100</f>
        <v>28.981153548200634</v>
      </c>
      <c r="V44" s="400">
        <f>(V39-V40)/40*100</f>
        <v>-17.953796950410453</v>
      </c>
      <c r="W44" s="403">
        <f t="shared" si="5"/>
        <v>11.027356597790181</v>
      </c>
      <c r="X44" s="68" t="s">
        <v>86</v>
      </c>
    </row>
    <row r="48" spans="2:25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3">
    <mergeCell ref="C2:D2"/>
    <mergeCell ref="K2:M2"/>
    <mergeCell ref="N2:P2"/>
    <mergeCell ref="T2:X2"/>
    <mergeCell ref="B3:B4"/>
    <mergeCell ref="C3:D4"/>
    <mergeCell ref="E3:E4"/>
    <mergeCell ref="F3:F4"/>
    <mergeCell ref="G3:G4"/>
    <mergeCell ref="N3:N4"/>
    <mergeCell ref="O3:O4"/>
    <mergeCell ref="P3:P4"/>
    <mergeCell ref="H3:H4"/>
    <mergeCell ref="I3:I4"/>
    <mergeCell ref="J3:J4"/>
    <mergeCell ref="K3:K4"/>
    <mergeCell ref="B5:B7"/>
    <mergeCell ref="C5:C6"/>
    <mergeCell ref="G5:G6"/>
    <mergeCell ref="C7:C8"/>
    <mergeCell ref="B8:B22"/>
    <mergeCell ref="C9:C20"/>
    <mergeCell ref="C21:C22"/>
    <mergeCell ref="L3:L4"/>
    <mergeCell ref="M3:M4"/>
    <mergeCell ref="L16:L18"/>
    <mergeCell ref="M16:M18"/>
    <mergeCell ref="D12:D13"/>
    <mergeCell ref="E12:E13"/>
    <mergeCell ref="D14:D15"/>
    <mergeCell ref="E14:E15"/>
    <mergeCell ref="D16:D18"/>
    <mergeCell ref="E16:E18"/>
    <mergeCell ref="G16:G18"/>
    <mergeCell ref="H8:H14"/>
    <mergeCell ref="G9:G14"/>
    <mergeCell ref="F16:F18"/>
    <mergeCell ref="T16:T18"/>
    <mergeCell ref="U16:U18"/>
    <mergeCell ref="V16:V18"/>
    <mergeCell ref="W16:W18"/>
    <mergeCell ref="D19:D20"/>
    <mergeCell ref="G19:G20"/>
    <mergeCell ref="H19:H20"/>
    <mergeCell ref="N16:N18"/>
    <mergeCell ref="O16:O18"/>
    <mergeCell ref="P16:P18"/>
    <mergeCell ref="R16:R18"/>
    <mergeCell ref="S16:S18"/>
    <mergeCell ref="H16:H18"/>
    <mergeCell ref="I16:I18"/>
    <mergeCell ref="J16:J18"/>
    <mergeCell ref="K16:K18"/>
    <mergeCell ref="B24:B33"/>
    <mergeCell ref="C24:C33"/>
    <mergeCell ref="D24:D26"/>
    <mergeCell ref="E24:E26"/>
    <mergeCell ref="N28:N29"/>
    <mergeCell ref="O28:O29"/>
    <mergeCell ref="P28:P29"/>
    <mergeCell ref="H24:H29"/>
    <mergeCell ref="D27:D29"/>
    <mergeCell ref="E27:E29"/>
    <mergeCell ref="G27:G29"/>
    <mergeCell ref="I28:I29"/>
    <mergeCell ref="J28:J29"/>
    <mergeCell ref="G24:G26"/>
    <mergeCell ref="B34:B37"/>
    <mergeCell ref="C35:C36"/>
    <mergeCell ref="R2:S2"/>
    <mergeCell ref="W28:W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K28:K29"/>
    <mergeCell ref="L28:L29"/>
    <mergeCell ref="M28:M29"/>
  </mergeCells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455B-5DF9-4C69-97CC-2222919680E1}">
  <dimension ref="B1:X52"/>
  <sheetViews>
    <sheetView topLeftCell="F1" workbookViewId="0">
      <selection activeCell="T27" sqref="T27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4.75" style="1" bestFit="1" customWidth="1"/>
    <col min="19" max="19" width="30.125" style="1" bestFit="1" customWidth="1"/>
    <col min="20" max="20" width="14.75" style="1" bestFit="1" customWidth="1"/>
    <col min="21" max="21" width="4.375" style="1" bestFit="1" customWidth="1"/>
    <col min="22" max="22" width="10.625" style="1" bestFit="1" customWidth="1"/>
    <col min="23" max="23" width="20.12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5" t="s">
        <v>115</v>
      </c>
      <c r="C2" s="415" t="s">
        <v>183</v>
      </c>
      <c r="D2" s="417"/>
      <c r="E2" s="45" t="s">
        <v>57</v>
      </c>
      <c r="F2" s="45" t="s">
        <v>215</v>
      </c>
      <c r="G2" s="45" t="s">
        <v>202</v>
      </c>
      <c r="H2" s="45" t="s">
        <v>190</v>
      </c>
      <c r="I2" s="45" t="s">
        <v>39</v>
      </c>
      <c r="J2" s="52" t="s">
        <v>134</v>
      </c>
      <c r="K2" s="415" t="s">
        <v>4</v>
      </c>
      <c r="L2" s="416"/>
      <c r="M2" s="417"/>
      <c r="N2" s="415" t="s">
        <v>61</v>
      </c>
      <c r="O2" s="416"/>
      <c r="P2" s="417"/>
      <c r="R2" s="45" t="s">
        <v>75</v>
      </c>
      <c r="S2" s="415" t="s">
        <v>119</v>
      </c>
      <c r="T2" s="416"/>
      <c r="U2" s="417"/>
      <c r="V2" s="151"/>
      <c r="W2" s="65" t="s">
        <v>73</v>
      </c>
      <c r="X2" s="60"/>
    </row>
    <row r="3" spans="2:24">
      <c r="B3" s="475"/>
      <c r="C3" s="496"/>
      <c r="D3" s="497"/>
      <c r="E3" s="475"/>
      <c r="F3" s="475"/>
      <c r="G3" s="475"/>
      <c r="H3" s="475"/>
      <c r="I3" s="475"/>
      <c r="J3" s="475"/>
      <c r="K3" s="454" t="s">
        <v>42</v>
      </c>
      <c r="L3" s="471" t="s">
        <v>59</v>
      </c>
      <c r="M3" s="473" t="s">
        <v>72</v>
      </c>
      <c r="N3" s="454" t="s">
        <v>38</v>
      </c>
      <c r="O3" s="471" t="s">
        <v>59</v>
      </c>
      <c r="P3" s="473" t="s">
        <v>72</v>
      </c>
      <c r="Q3" s="1" t="s">
        <v>39</v>
      </c>
      <c r="R3" s="54" t="s">
        <v>268</v>
      </c>
      <c r="S3" s="69"/>
      <c r="T3" s="228" t="s">
        <v>268</v>
      </c>
      <c r="U3" s="131"/>
      <c r="W3" s="43" t="s">
        <v>140</v>
      </c>
      <c r="X3" s="42">
        <f>parameter!C8</f>
        <v>5676.9848887954295</v>
      </c>
    </row>
    <row r="4" spans="2:24" ht="15" thickBot="1">
      <c r="B4" s="476"/>
      <c r="C4" s="498"/>
      <c r="D4" s="499"/>
      <c r="E4" s="476"/>
      <c r="F4" s="476"/>
      <c r="G4" s="476"/>
      <c r="H4" s="476"/>
      <c r="I4" s="476"/>
      <c r="J4" s="476"/>
      <c r="K4" s="456"/>
      <c r="L4" s="472"/>
      <c r="M4" s="474"/>
      <c r="N4" s="456"/>
      <c r="O4" s="472"/>
      <c r="P4" s="474"/>
      <c r="Q4" s="35" t="s">
        <v>50</v>
      </c>
      <c r="R4" s="243">
        <f>X3</f>
        <v>5676.9848887954295</v>
      </c>
      <c r="S4" s="130"/>
      <c r="T4" s="244">
        <f>X3</f>
        <v>5676.9848887954295</v>
      </c>
      <c r="U4" s="137"/>
      <c r="W4" s="43" t="s">
        <v>136</v>
      </c>
      <c r="X4" s="42">
        <v>681</v>
      </c>
    </row>
    <row r="5" spans="2:24" ht="15">
      <c r="B5" s="462" t="s">
        <v>185</v>
      </c>
      <c r="C5" s="454"/>
      <c r="D5" s="70" t="s">
        <v>196</v>
      </c>
      <c r="E5" s="54" t="s">
        <v>112</v>
      </c>
      <c r="F5" s="54" t="s">
        <v>249</v>
      </c>
      <c r="G5" s="475" t="s">
        <v>206</v>
      </c>
      <c r="H5" s="54"/>
      <c r="I5" s="54"/>
      <c r="J5" s="148"/>
      <c r="K5" s="152"/>
      <c r="L5" s="153"/>
      <c r="M5" s="154"/>
      <c r="N5" s="152"/>
      <c r="O5" s="369">
        <v>0.8</v>
      </c>
      <c r="P5" s="154"/>
      <c r="Q5" s="35"/>
      <c r="R5" s="327">
        <v>1</v>
      </c>
      <c r="S5" s="328"/>
      <c r="T5" s="328">
        <f>R5*O5</f>
        <v>0.8</v>
      </c>
      <c r="U5" s="334"/>
      <c r="W5" s="43" t="s">
        <v>126</v>
      </c>
      <c r="X5" s="42">
        <v>661</v>
      </c>
    </row>
    <row r="6" spans="2:24">
      <c r="B6" s="463"/>
      <c r="C6" s="461"/>
      <c r="D6" s="36" t="s">
        <v>197</v>
      </c>
      <c r="E6" s="350" t="s">
        <v>256</v>
      </c>
      <c r="F6" s="28"/>
      <c r="G6" s="495"/>
      <c r="H6" s="28"/>
      <c r="I6" s="28"/>
      <c r="J6" s="149"/>
      <c r="K6" s="157"/>
      <c r="L6" s="158"/>
      <c r="M6" s="159"/>
      <c r="N6" s="157"/>
      <c r="O6" s="158"/>
      <c r="P6" s="159"/>
      <c r="Q6" s="279"/>
      <c r="R6" s="155">
        <v>1</v>
      </c>
      <c r="S6" s="156"/>
      <c r="T6" s="156">
        <f t="shared" ref="T6:T9" si="0">R6*O6</f>
        <v>0</v>
      </c>
      <c r="U6" s="47"/>
      <c r="W6" s="43" t="s">
        <v>0</v>
      </c>
      <c r="X6" s="42">
        <f>parameter!C10</f>
        <v>3654.1161779686181</v>
      </c>
    </row>
    <row r="7" spans="2:24" ht="15" thickBot="1">
      <c r="B7" s="494"/>
      <c r="C7" s="500" t="s">
        <v>188</v>
      </c>
      <c r="D7" s="140" t="s">
        <v>106</v>
      </c>
      <c r="E7" s="121" t="s">
        <v>207</v>
      </c>
      <c r="F7" s="121"/>
      <c r="G7" s="121" t="s">
        <v>199</v>
      </c>
      <c r="H7" s="132"/>
      <c r="I7" s="121"/>
      <c r="J7" s="133"/>
      <c r="K7" s="233"/>
      <c r="L7" s="234"/>
      <c r="M7" s="235"/>
      <c r="N7" s="160"/>
      <c r="O7" s="161"/>
      <c r="P7" s="162"/>
      <c r="Q7" s="279"/>
      <c r="R7" s="330">
        <v>1</v>
      </c>
      <c r="S7" s="331"/>
      <c r="T7" s="332">
        <f t="shared" si="0"/>
        <v>0</v>
      </c>
      <c r="U7" s="335"/>
      <c r="W7" s="43" t="s">
        <v>25</v>
      </c>
      <c r="X7" s="42">
        <f>parameter!C11</f>
        <v>2022.8687108268114</v>
      </c>
    </row>
    <row r="8" spans="2:24" ht="15">
      <c r="B8" s="462" t="s">
        <v>184</v>
      </c>
      <c r="C8" s="501"/>
      <c r="D8" s="351" t="s">
        <v>257</v>
      </c>
      <c r="E8" s="120" t="s">
        <v>210</v>
      </c>
      <c r="F8" s="120"/>
      <c r="G8" s="120" t="s">
        <v>208</v>
      </c>
      <c r="H8" s="459" t="s">
        <v>191</v>
      </c>
      <c r="I8" s="128"/>
      <c r="J8" s="229">
        <v>3.3</v>
      </c>
      <c r="K8" s="193"/>
      <c r="L8" s="164">
        <v>9.3000000000000005E-4</v>
      </c>
      <c r="M8" s="165"/>
      <c r="N8" s="163"/>
      <c r="O8" s="166">
        <f>J8*L8</f>
        <v>3.0690000000000001E-3</v>
      </c>
      <c r="P8" s="167"/>
      <c r="Q8" s="35"/>
      <c r="R8" s="280">
        <v>1</v>
      </c>
      <c r="S8" s="326"/>
      <c r="T8" s="326">
        <f t="shared" si="0"/>
        <v>3.0690000000000001E-3</v>
      </c>
      <c r="U8" s="281"/>
      <c r="W8" s="43" t="s">
        <v>125</v>
      </c>
      <c r="X8" s="42">
        <v>0.3</v>
      </c>
    </row>
    <row r="9" spans="2:24" ht="15">
      <c r="B9" s="463"/>
      <c r="C9" s="460" t="s">
        <v>189</v>
      </c>
      <c r="D9" s="352" t="s">
        <v>209</v>
      </c>
      <c r="E9" s="120" t="s">
        <v>210</v>
      </c>
      <c r="F9" s="353" t="s">
        <v>258</v>
      </c>
      <c r="G9" s="412" t="s">
        <v>211</v>
      </c>
      <c r="H9" s="414"/>
      <c r="I9" s="29"/>
      <c r="J9" s="150">
        <v>3.3</v>
      </c>
      <c r="K9" s="171"/>
      <c r="L9" s="172">
        <f>O9/J9</f>
        <v>1.5151515151515154E-3</v>
      </c>
      <c r="M9" s="173"/>
      <c r="N9" s="163"/>
      <c r="O9" s="354">
        <v>5.0000000000000001E-3</v>
      </c>
      <c r="P9" s="170"/>
      <c r="Q9" s="35"/>
      <c r="R9" s="168">
        <v>1</v>
      </c>
      <c r="S9" s="169"/>
      <c r="T9" s="326">
        <f t="shared" si="0"/>
        <v>5.0000000000000001E-3</v>
      </c>
      <c r="U9" s="48"/>
      <c r="W9" s="43" t="s">
        <v>54</v>
      </c>
      <c r="X9" s="42">
        <v>0.6</v>
      </c>
    </row>
    <row r="10" spans="2:24" ht="15">
      <c r="B10" s="463"/>
      <c r="C10" s="455"/>
      <c r="D10" s="134" t="s">
        <v>200</v>
      </c>
      <c r="E10" s="30" t="s">
        <v>16</v>
      </c>
      <c r="F10" s="237"/>
      <c r="G10" s="414"/>
      <c r="H10" s="414"/>
      <c r="I10" s="30"/>
      <c r="J10" s="230">
        <v>3.3</v>
      </c>
      <c r="K10" s="171"/>
      <c r="L10" s="172">
        <f t="shared" ref="L10:L14" si="1">O10/J10</f>
        <v>3.6363636363636362E-2</v>
      </c>
      <c r="M10" s="173">
        <f t="shared" ref="M10:M13" si="2">P10/J10</f>
        <v>6.0606060606060615E-2</v>
      </c>
      <c r="N10" s="171"/>
      <c r="O10" s="174">
        <v>0.12</v>
      </c>
      <c r="P10" s="170">
        <v>0.2</v>
      </c>
      <c r="Q10" s="35"/>
      <c r="R10" s="168">
        <v>1</v>
      </c>
      <c r="S10" s="169"/>
      <c r="T10" s="169">
        <f>R10*P10</f>
        <v>0.2</v>
      </c>
      <c r="U10" s="48"/>
      <c r="W10" s="43" t="s">
        <v>29</v>
      </c>
      <c r="X10" s="42">
        <v>0.8</v>
      </c>
    </row>
    <row r="11" spans="2:24" ht="15">
      <c r="B11" s="463"/>
      <c r="C11" s="455"/>
      <c r="D11" s="147" t="s">
        <v>203</v>
      </c>
      <c r="E11" s="31" t="s">
        <v>83</v>
      </c>
      <c r="F11" s="30"/>
      <c r="G11" s="414"/>
      <c r="H11" s="414"/>
      <c r="I11" s="30"/>
      <c r="J11" s="230">
        <v>3.3</v>
      </c>
      <c r="K11" s="171"/>
      <c r="L11" s="172">
        <f t="shared" si="1"/>
        <v>6.0606060606060615E-2</v>
      </c>
      <c r="M11" s="173">
        <f t="shared" si="2"/>
        <v>0.12121212121212123</v>
      </c>
      <c r="N11" s="171"/>
      <c r="O11" s="174">
        <v>0.2</v>
      </c>
      <c r="P11" s="170">
        <v>0.4</v>
      </c>
      <c r="Q11" s="35"/>
      <c r="R11" s="168">
        <v>1</v>
      </c>
      <c r="S11" s="169"/>
      <c r="T11" s="169">
        <f>R11*P11</f>
        <v>0.4</v>
      </c>
      <c r="U11" s="48"/>
      <c r="W11" s="43" t="s">
        <v>56</v>
      </c>
      <c r="X11" s="42">
        <v>0.8</v>
      </c>
    </row>
    <row r="12" spans="2:24" ht="15">
      <c r="B12" s="463"/>
      <c r="C12" s="455"/>
      <c r="D12" s="489"/>
      <c r="E12" s="412" t="s">
        <v>12</v>
      </c>
      <c r="F12" s="30"/>
      <c r="G12" s="414"/>
      <c r="H12" s="414"/>
      <c r="I12" s="30" t="s">
        <v>266</v>
      </c>
      <c r="J12" s="230">
        <v>3.3</v>
      </c>
      <c r="K12" s="171"/>
      <c r="L12" s="172">
        <f t="shared" si="1"/>
        <v>6.0606060606060615E-2</v>
      </c>
      <c r="M12" s="173"/>
      <c r="N12" s="171"/>
      <c r="O12" s="174">
        <v>0.2</v>
      </c>
      <c r="P12" s="173"/>
      <c r="Q12" s="35"/>
      <c r="R12" s="168">
        <f>100%-R13</f>
        <v>0</v>
      </c>
      <c r="S12" s="169"/>
      <c r="T12" s="169"/>
      <c r="U12" s="48"/>
      <c r="W12" s="43" t="s">
        <v>80</v>
      </c>
      <c r="X12" s="42">
        <v>0.2</v>
      </c>
    </row>
    <row r="13" spans="2:24" ht="15">
      <c r="B13" s="463"/>
      <c r="C13" s="455"/>
      <c r="D13" s="490"/>
      <c r="E13" s="413"/>
      <c r="F13" s="355" t="s">
        <v>216</v>
      </c>
      <c r="G13" s="414"/>
      <c r="H13" s="414"/>
      <c r="I13" s="355" t="s">
        <v>259</v>
      </c>
      <c r="J13" s="230">
        <v>3.3</v>
      </c>
      <c r="K13" s="171"/>
      <c r="L13" s="172">
        <f t="shared" si="1"/>
        <v>8.6363636363636365E-2</v>
      </c>
      <c r="M13" s="173">
        <f t="shared" si="2"/>
        <v>0.13333333333333333</v>
      </c>
      <c r="N13" s="268"/>
      <c r="O13" s="174">
        <v>0.28499999999999998</v>
      </c>
      <c r="P13" s="239">
        <v>0.44</v>
      </c>
      <c r="Q13" s="35"/>
      <c r="R13" s="168">
        <v>1</v>
      </c>
      <c r="S13" s="169"/>
      <c r="T13" s="169">
        <f>R13*O13</f>
        <v>0.28499999999999998</v>
      </c>
      <c r="U13" s="48"/>
      <c r="W13" s="43" t="s">
        <v>118</v>
      </c>
      <c r="X13" s="42">
        <v>0.9</v>
      </c>
    </row>
    <row r="14" spans="2:24" ht="15.75" thickBot="1">
      <c r="B14" s="463"/>
      <c r="C14" s="455"/>
      <c r="D14" s="489" t="s">
        <v>204</v>
      </c>
      <c r="E14" s="412" t="s">
        <v>31</v>
      </c>
      <c r="F14" s="30" t="s">
        <v>217</v>
      </c>
      <c r="G14" s="414"/>
      <c r="H14" s="414"/>
      <c r="I14" s="30" t="s">
        <v>266</v>
      </c>
      <c r="J14" s="230">
        <v>3.3</v>
      </c>
      <c r="K14" s="171"/>
      <c r="L14" s="172">
        <f t="shared" si="1"/>
        <v>1.0606060606060608E-2</v>
      </c>
      <c r="M14" s="173"/>
      <c r="N14" s="175"/>
      <c r="O14" s="174">
        <v>3.5000000000000003E-2</v>
      </c>
      <c r="P14" s="176"/>
      <c r="Q14" s="35"/>
      <c r="R14" s="168">
        <v>1</v>
      </c>
      <c r="S14" s="169"/>
      <c r="T14" s="169">
        <f>R14*O14</f>
        <v>3.5000000000000003E-2</v>
      </c>
      <c r="U14" s="48"/>
      <c r="W14" s="142" t="s">
        <v>141</v>
      </c>
      <c r="X14" s="44">
        <v>0.4</v>
      </c>
    </row>
    <row r="15" spans="2:24" ht="15">
      <c r="B15" s="463"/>
      <c r="C15" s="455"/>
      <c r="D15" s="490"/>
      <c r="E15" s="413"/>
      <c r="F15" s="286" t="s">
        <v>218</v>
      </c>
      <c r="G15" s="360" t="s">
        <v>211</v>
      </c>
      <c r="H15" s="360" t="s">
        <v>261</v>
      </c>
      <c r="I15" s="286" t="s">
        <v>250</v>
      </c>
      <c r="J15" s="365">
        <v>8</v>
      </c>
      <c r="K15" s="356"/>
      <c r="L15" s="364">
        <v>0.62</v>
      </c>
      <c r="M15" s="357"/>
      <c r="N15" s="358"/>
      <c r="O15" s="361">
        <f>J15*L15</f>
        <v>4.96</v>
      </c>
      <c r="P15" s="359"/>
      <c r="Q15" s="35"/>
      <c r="R15" s="370">
        <v>1</v>
      </c>
      <c r="S15" s="371"/>
      <c r="T15" s="371">
        <f>R15*O15</f>
        <v>4.96</v>
      </c>
      <c r="U15" s="372"/>
    </row>
    <row r="16" spans="2:24" ht="15.75" customHeight="1">
      <c r="B16" s="463"/>
      <c r="C16" s="455"/>
      <c r="D16" s="491" t="s">
        <v>205</v>
      </c>
      <c r="E16" s="465" t="s">
        <v>212</v>
      </c>
      <c r="F16" s="502"/>
      <c r="G16" s="465" t="s">
        <v>211</v>
      </c>
      <c r="H16" s="466" t="s">
        <v>260</v>
      </c>
      <c r="I16" s="465"/>
      <c r="J16" s="486">
        <v>8.26</v>
      </c>
      <c r="K16" s="477">
        <f>0.065*3/J16</f>
        <v>2.3607748184019371E-2</v>
      </c>
      <c r="L16" s="478">
        <f>0.19*3/J16</f>
        <v>6.9007263922518172E-2</v>
      </c>
      <c r="M16" s="481">
        <f>2.3*3/J16</f>
        <v>0.83535108958837767</v>
      </c>
      <c r="N16" s="482">
        <v>6.5000000000000002E-2</v>
      </c>
      <c r="O16" s="483">
        <v>0.19</v>
      </c>
      <c r="P16" s="484">
        <v>2.2999999999999998</v>
      </c>
      <c r="Q16" s="35"/>
      <c r="R16" s="426">
        <v>1</v>
      </c>
      <c r="S16" s="429"/>
      <c r="T16" s="432">
        <f>O16*P16</f>
        <v>0.43699999999999994</v>
      </c>
      <c r="U16" s="435"/>
    </row>
    <row r="17" spans="2:21" ht="14.25" customHeight="1">
      <c r="B17" s="463"/>
      <c r="C17" s="455"/>
      <c r="D17" s="492"/>
      <c r="E17" s="466"/>
      <c r="F17" s="503"/>
      <c r="G17" s="466"/>
      <c r="H17" s="466"/>
      <c r="I17" s="466"/>
      <c r="J17" s="487"/>
      <c r="K17" s="477"/>
      <c r="L17" s="479"/>
      <c r="M17" s="481"/>
      <c r="N17" s="482"/>
      <c r="O17" s="483"/>
      <c r="P17" s="484"/>
      <c r="Q17" s="35"/>
      <c r="R17" s="427"/>
      <c r="S17" s="430"/>
      <c r="T17" s="433"/>
      <c r="U17" s="436"/>
    </row>
    <row r="18" spans="2:21" ht="14.25" customHeight="1">
      <c r="B18" s="463"/>
      <c r="C18" s="455"/>
      <c r="D18" s="493"/>
      <c r="E18" s="467"/>
      <c r="F18" s="504"/>
      <c r="G18" s="467"/>
      <c r="H18" s="467"/>
      <c r="I18" s="467"/>
      <c r="J18" s="488"/>
      <c r="K18" s="477"/>
      <c r="L18" s="480"/>
      <c r="M18" s="481"/>
      <c r="N18" s="482"/>
      <c r="O18" s="483"/>
      <c r="P18" s="484"/>
      <c r="Q18" s="35"/>
      <c r="R18" s="428"/>
      <c r="S18" s="431"/>
      <c r="T18" s="434"/>
      <c r="U18" s="437"/>
    </row>
    <row r="19" spans="2:21" ht="15">
      <c r="B19" s="463"/>
      <c r="C19" s="455"/>
      <c r="D19" s="451" t="s">
        <v>201</v>
      </c>
      <c r="E19" s="34" t="s">
        <v>194</v>
      </c>
      <c r="F19" s="362" t="s">
        <v>263</v>
      </c>
      <c r="G19" s="449" t="s">
        <v>211</v>
      </c>
      <c r="H19" s="448" t="s">
        <v>192</v>
      </c>
      <c r="I19" s="138"/>
      <c r="J19" s="231">
        <v>5</v>
      </c>
      <c r="K19" s="223"/>
      <c r="L19" s="224">
        <f>0.07*2</f>
        <v>0.14000000000000001</v>
      </c>
      <c r="M19" s="236">
        <f>0.167*2</f>
        <v>0.33400000000000002</v>
      </c>
      <c r="N19" s="177"/>
      <c r="O19" s="178">
        <f>L19*J19</f>
        <v>0.70000000000000007</v>
      </c>
      <c r="P19" s="179">
        <f>M19*J19</f>
        <v>1.6700000000000002</v>
      </c>
      <c r="Q19" s="35"/>
      <c r="R19" s="180">
        <v>1</v>
      </c>
      <c r="S19" s="181"/>
      <c r="T19" s="181">
        <f>R19*P19</f>
        <v>1.6700000000000002</v>
      </c>
      <c r="U19" s="49"/>
    </row>
    <row r="20" spans="2:21" ht="15">
      <c r="B20" s="463"/>
      <c r="C20" s="461"/>
      <c r="D20" s="485"/>
      <c r="E20" s="34" t="s">
        <v>195</v>
      </c>
      <c r="F20" s="363" t="s">
        <v>262</v>
      </c>
      <c r="G20" s="468"/>
      <c r="H20" s="468"/>
      <c r="I20" s="34"/>
      <c r="J20" s="139">
        <v>5</v>
      </c>
      <c r="K20" s="223"/>
      <c r="L20" s="224">
        <v>6.4000000000000001E-2</v>
      </c>
      <c r="M20" s="226"/>
      <c r="N20" s="223"/>
      <c r="O20" s="227">
        <f>L20*J20</f>
        <v>0.32</v>
      </c>
      <c r="P20" s="226"/>
      <c r="Q20" s="35"/>
      <c r="R20" s="180">
        <v>1</v>
      </c>
      <c r="S20" s="336"/>
      <c r="T20" s="262">
        <f>R20*O20</f>
        <v>0.32</v>
      </c>
      <c r="U20" s="255"/>
    </row>
    <row r="21" spans="2:21" ht="15">
      <c r="B21" s="463"/>
      <c r="C21" s="460"/>
      <c r="D21" s="145" t="s">
        <v>235</v>
      </c>
      <c r="E21" s="120" t="s">
        <v>48</v>
      </c>
      <c r="F21" s="120" t="s">
        <v>236</v>
      </c>
      <c r="G21" s="120" t="s">
        <v>214</v>
      </c>
      <c r="H21" s="120" t="s">
        <v>191</v>
      </c>
      <c r="I21" s="120"/>
      <c r="J21" s="232">
        <v>3.3</v>
      </c>
      <c r="K21" s="171"/>
      <c r="L21" s="172">
        <f>O21/J21</f>
        <v>3.6363636363636368E-3</v>
      </c>
      <c r="M21" s="173"/>
      <c r="N21" s="163"/>
      <c r="O21" s="166">
        <v>1.2E-2</v>
      </c>
      <c r="P21" s="225"/>
      <c r="Q21" s="35"/>
      <c r="R21" s="280">
        <v>1</v>
      </c>
      <c r="S21" s="326"/>
      <c r="T21" s="326">
        <f>R21*O21</f>
        <v>1.2E-2</v>
      </c>
      <c r="U21" s="48"/>
    </row>
    <row r="22" spans="2:21" ht="15.75" thickBot="1">
      <c r="B22" s="464"/>
      <c r="C22" s="456"/>
      <c r="D22" s="146" t="s">
        <v>198</v>
      </c>
      <c r="E22" s="129" t="s">
        <v>47</v>
      </c>
      <c r="F22" s="245"/>
      <c r="G22" s="129" t="s">
        <v>213</v>
      </c>
      <c r="H22" s="129" t="s">
        <v>193</v>
      </c>
      <c r="I22" s="129"/>
      <c r="J22" s="144">
        <v>3.3</v>
      </c>
      <c r="K22" s="188"/>
      <c r="L22" s="189">
        <f>O22/J22</f>
        <v>0.39393939393939398</v>
      </c>
      <c r="M22" s="190"/>
      <c r="N22" s="188"/>
      <c r="O22" s="366">
        <v>1.3</v>
      </c>
      <c r="P22" s="190"/>
      <c r="Q22" s="35"/>
      <c r="R22" s="191">
        <v>0</v>
      </c>
      <c r="S22" s="192"/>
      <c r="T22" s="192">
        <f>R22*O22</f>
        <v>0</v>
      </c>
      <c r="U22" s="143"/>
    </row>
    <row r="23" spans="2:21" ht="15.75" thickBot="1">
      <c r="B23" s="122" t="s">
        <v>14</v>
      </c>
      <c r="C23" s="51"/>
      <c r="D23" s="136" t="s">
        <v>223</v>
      </c>
      <c r="E23" s="123" t="s">
        <v>224</v>
      </c>
      <c r="F23" s="123"/>
      <c r="G23" s="123" t="s">
        <v>219</v>
      </c>
      <c r="H23" s="123" t="s">
        <v>191</v>
      </c>
      <c r="I23" s="123"/>
      <c r="J23" s="123">
        <v>3.3</v>
      </c>
      <c r="K23" s="199"/>
      <c r="L23" s="200">
        <f>0.13</f>
        <v>0.13</v>
      </c>
      <c r="M23" s="201"/>
      <c r="N23" s="199"/>
      <c r="O23" s="202">
        <f>L23*J23</f>
        <v>0.42899999999999999</v>
      </c>
      <c r="P23" s="201"/>
      <c r="Q23" s="35"/>
      <c r="R23" s="337">
        <v>1</v>
      </c>
      <c r="S23" s="338"/>
      <c r="T23" s="338">
        <f t="shared" ref="T23:T24" si="3">R23*O23</f>
        <v>0.42899999999999999</v>
      </c>
      <c r="U23" s="339"/>
    </row>
    <row r="24" spans="2:21" ht="15" customHeight="1">
      <c r="B24" s="462" t="s">
        <v>34</v>
      </c>
      <c r="C24" s="454"/>
      <c r="D24" s="469" t="s">
        <v>225</v>
      </c>
      <c r="E24" s="459" t="s">
        <v>226</v>
      </c>
      <c r="F24" s="282"/>
      <c r="G24" s="459" t="s">
        <v>220</v>
      </c>
      <c r="H24" s="459" t="s">
        <v>191</v>
      </c>
      <c r="I24" s="128" t="s">
        <v>237</v>
      </c>
      <c r="J24" s="127">
        <v>3.3</v>
      </c>
      <c r="K24" s="193"/>
      <c r="L24" s="194">
        <v>1.2999999999999999E-2</v>
      </c>
      <c r="M24" s="249"/>
      <c r="N24" s="193"/>
      <c r="O24" s="367">
        <f>L24*J24</f>
        <v>4.2899999999999994E-2</v>
      </c>
      <c r="P24" s="249"/>
      <c r="Q24" s="278"/>
      <c r="R24" s="280"/>
      <c r="S24" s="326"/>
      <c r="T24" s="326">
        <f t="shared" si="3"/>
        <v>0</v>
      </c>
      <c r="U24" s="281"/>
    </row>
    <row r="25" spans="2:21" ht="15">
      <c r="B25" s="463"/>
      <c r="C25" s="455"/>
      <c r="D25" s="458"/>
      <c r="E25" s="414"/>
      <c r="F25" s="150" t="s">
        <v>241</v>
      </c>
      <c r="G25" s="414"/>
      <c r="H25" s="414"/>
      <c r="I25" s="30" t="s">
        <v>238</v>
      </c>
      <c r="J25" s="31">
        <v>3.3</v>
      </c>
      <c r="K25" s="248"/>
      <c r="L25" s="174">
        <v>1.0999999999999999E-2</v>
      </c>
      <c r="M25" s="250"/>
      <c r="N25" s="248"/>
      <c r="O25" s="247">
        <f t="shared" ref="O25:O26" si="4">L25*J25</f>
        <v>3.6299999999999999E-2</v>
      </c>
      <c r="P25" s="173"/>
      <c r="Q25" s="278"/>
      <c r="R25" s="168"/>
      <c r="S25" s="169"/>
      <c r="T25" s="169"/>
      <c r="U25" s="48"/>
    </row>
    <row r="26" spans="2:21" ht="15">
      <c r="B26" s="463"/>
      <c r="C26" s="455"/>
      <c r="D26" s="470"/>
      <c r="E26" s="413"/>
      <c r="F26" s="230" t="s">
        <v>240</v>
      </c>
      <c r="G26" s="413"/>
      <c r="H26" s="414"/>
      <c r="I26" s="29" t="s">
        <v>239</v>
      </c>
      <c r="J26" s="30">
        <v>3.3</v>
      </c>
      <c r="K26" s="171"/>
      <c r="L26" s="242">
        <v>0.55000000000000004</v>
      </c>
      <c r="M26" s="173"/>
      <c r="N26" s="171"/>
      <c r="O26" s="172">
        <f t="shared" si="4"/>
        <v>1.8149999999999999</v>
      </c>
      <c r="P26" s="225"/>
      <c r="Q26" s="278"/>
      <c r="R26" s="168">
        <v>1</v>
      </c>
      <c r="S26" s="169"/>
      <c r="T26" s="169">
        <f>R26*O26</f>
        <v>1.8149999999999999</v>
      </c>
      <c r="U26" s="48"/>
    </row>
    <row r="27" spans="2:21" ht="15">
      <c r="B27" s="463"/>
      <c r="C27" s="455"/>
      <c r="D27" s="457" t="s">
        <v>52</v>
      </c>
      <c r="E27" s="412" t="s">
        <v>221</v>
      </c>
      <c r="F27" s="230"/>
      <c r="G27" s="412" t="s">
        <v>208</v>
      </c>
      <c r="H27" s="414"/>
      <c r="I27" s="30" t="s">
        <v>90</v>
      </c>
      <c r="J27" s="30">
        <v>3.3</v>
      </c>
      <c r="K27" s="195">
        <v>4.4999999999999998E-2</v>
      </c>
      <c r="L27" s="174">
        <v>5.5000000000000007E-2</v>
      </c>
      <c r="M27" s="170">
        <v>0.12</v>
      </c>
      <c r="N27" s="171">
        <f>J27*K27</f>
        <v>0.14849999999999999</v>
      </c>
      <c r="O27" s="172">
        <f>L27*J27</f>
        <v>0.18150000000000002</v>
      </c>
      <c r="P27" s="173">
        <f>M27*J27</f>
        <v>0.39599999999999996</v>
      </c>
      <c r="Q27" s="35"/>
      <c r="R27" s="168">
        <v>1</v>
      </c>
      <c r="S27" s="169"/>
      <c r="T27" s="169">
        <f>R27*O27</f>
        <v>0.18150000000000002</v>
      </c>
      <c r="U27" s="48"/>
    </row>
    <row r="28" spans="2:21" ht="15" customHeight="1">
      <c r="B28" s="463"/>
      <c r="C28" s="455"/>
      <c r="D28" s="458"/>
      <c r="E28" s="414"/>
      <c r="F28" s="232" t="s">
        <v>265</v>
      </c>
      <c r="G28" s="414"/>
      <c r="H28" s="414"/>
      <c r="I28" s="412" t="s">
        <v>87</v>
      </c>
      <c r="J28" s="412">
        <v>3.3</v>
      </c>
      <c r="K28" s="410">
        <v>0.6</v>
      </c>
      <c r="L28" s="438">
        <v>0.8</v>
      </c>
      <c r="M28" s="440">
        <v>1</v>
      </c>
      <c r="N28" s="442">
        <f>J28*K28</f>
        <v>1.9799999999999998</v>
      </c>
      <c r="O28" s="444">
        <f>L28*J28</f>
        <v>2.64</v>
      </c>
      <c r="P28" s="446">
        <f>M28*J28</f>
        <v>3.3</v>
      </c>
      <c r="Q28" s="35"/>
      <c r="R28" s="418">
        <f>100%-R27</f>
        <v>0</v>
      </c>
      <c r="S28" s="422"/>
      <c r="T28" s="420">
        <f>R28*O28</f>
        <v>0</v>
      </c>
      <c r="U28" s="424"/>
    </row>
    <row r="29" spans="2:21" ht="14.25" customHeight="1">
      <c r="B29" s="463"/>
      <c r="C29" s="455"/>
      <c r="D29" s="458"/>
      <c r="E29" s="414"/>
      <c r="F29" s="277" t="s">
        <v>244</v>
      </c>
      <c r="G29" s="413"/>
      <c r="H29" s="413"/>
      <c r="I29" s="413"/>
      <c r="J29" s="414"/>
      <c r="K29" s="411"/>
      <c r="L29" s="439"/>
      <c r="M29" s="441"/>
      <c r="N29" s="443"/>
      <c r="O29" s="445"/>
      <c r="P29" s="447"/>
      <c r="Q29" s="35"/>
      <c r="R29" s="419"/>
      <c r="S29" s="423"/>
      <c r="T29" s="421"/>
      <c r="U29" s="425"/>
    </row>
    <row r="30" spans="2:21">
      <c r="B30" s="463"/>
      <c r="C30" s="455"/>
      <c r="D30" s="240" t="s">
        <v>227</v>
      </c>
      <c r="E30" s="34" t="s">
        <v>229</v>
      </c>
      <c r="F30" s="139"/>
      <c r="G30" s="448" t="s">
        <v>206</v>
      </c>
      <c r="H30" s="448" t="s">
        <v>192</v>
      </c>
      <c r="I30" s="32"/>
      <c r="J30" s="34">
        <v>5</v>
      </c>
      <c r="K30" s="269"/>
      <c r="L30" s="252">
        <v>0</v>
      </c>
      <c r="M30" s="226"/>
      <c r="N30" s="269"/>
      <c r="O30" s="241">
        <v>0</v>
      </c>
      <c r="P30" s="251"/>
      <c r="R30" s="261">
        <v>0</v>
      </c>
      <c r="S30" s="238"/>
      <c r="T30" s="262">
        <f>R30*O30</f>
        <v>0</v>
      </c>
      <c r="U30" s="135"/>
    </row>
    <row r="31" spans="2:21" ht="15">
      <c r="B31" s="463"/>
      <c r="C31" s="455"/>
      <c r="D31" s="451" t="s">
        <v>228</v>
      </c>
      <c r="E31" s="448" t="s">
        <v>222</v>
      </c>
      <c r="F31" s="257"/>
      <c r="G31" s="449"/>
      <c r="H31" s="449"/>
      <c r="I31" s="34" t="s">
        <v>245</v>
      </c>
      <c r="J31" s="34">
        <v>5</v>
      </c>
      <c r="K31" s="223"/>
      <c r="L31" s="227">
        <f>O31/5</f>
        <v>0.122</v>
      </c>
      <c r="M31" s="226"/>
      <c r="N31" s="256"/>
      <c r="O31" s="224">
        <v>0.61</v>
      </c>
      <c r="P31" s="236"/>
      <c r="Q31" s="35"/>
      <c r="R31" s="253">
        <v>0</v>
      </c>
      <c r="S31" s="254"/>
      <c r="T31" s="254">
        <f>R31*O31</f>
        <v>0</v>
      </c>
      <c r="U31" s="255"/>
    </row>
    <row r="32" spans="2:21" ht="15">
      <c r="B32" s="463"/>
      <c r="C32" s="455"/>
      <c r="D32" s="452"/>
      <c r="E32" s="449"/>
      <c r="F32" s="257"/>
      <c r="G32" s="449"/>
      <c r="H32" s="449"/>
      <c r="I32" s="34" t="s">
        <v>242</v>
      </c>
      <c r="J32" s="34">
        <v>5</v>
      </c>
      <c r="K32" s="223"/>
      <c r="L32" s="227">
        <f>O32/5</f>
        <v>0.54</v>
      </c>
      <c r="M32" s="226"/>
      <c r="N32" s="256"/>
      <c r="O32" s="224">
        <v>2.7</v>
      </c>
      <c r="P32" s="236"/>
      <c r="Q32" s="35"/>
      <c r="R32" s="253">
        <v>0</v>
      </c>
      <c r="S32" s="254"/>
      <c r="T32" s="254">
        <f t="shared" ref="T32" si="5">R32*O32</f>
        <v>0</v>
      </c>
      <c r="U32" s="255"/>
    </row>
    <row r="33" spans="2:22" ht="15.75" thickBot="1">
      <c r="B33" s="464"/>
      <c r="C33" s="456"/>
      <c r="D33" s="453"/>
      <c r="E33" s="450"/>
      <c r="F33" s="258"/>
      <c r="G33" s="450"/>
      <c r="H33" s="450"/>
      <c r="I33" s="33" t="s">
        <v>243</v>
      </c>
      <c r="J33" s="33">
        <v>5</v>
      </c>
      <c r="K33" s="182"/>
      <c r="L33" s="185">
        <f>O33/5</f>
        <v>0.91999999999999993</v>
      </c>
      <c r="M33" s="184">
        <f>P33/5</f>
        <v>1</v>
      </c>
      <c r="N33" s="196"/>
      <c r="O33" s="183">
        <v>4.5999999999999996</v>
      </c>
      <c r="P33" s="197">
        <v>5</v>
      </c>
      <c r="Q33" s="35"/>
      <c r="R33" s="186">
        <v>1</v>
      </c>
      <c r="S33" s="187"/>
      <c r="T33" s="267">
        <f>R33*P33</f>
        <v>5</v>
      </c>
      <c r="U33" s="61"/>
    </row>
    <row r="34" spans="2:22">
      <c r="B34" s="462" t="s">
        <v>53</v>
      </c>
      <c r="C34" s="141" t="s">
        <v>53</v>
      </c>
      <c r="D34" s="272" t="s">
        <v>246</v>
      </c>
      <c r="E34" s="124" t="s">
        <v>234</v>
      </c>
      <c r="F34" s="124"/>
      <c r="G34" s="124" t="s">
        <v>231</v>
      </c>
      <c r="H34" s="124" t="s">
        <v>186</v>
      </c>
      <c r="I34" s="124"/>
      <c r="J34" s="124">
        <v>5</v>
      </c>
      <c r="K34" s="203"/>
      <c r="L34" s="204">
        <f>O34/J34</f>
        <v>0.2</v>
      </c>
      <c r="M34" s="205"/>
      <c r="N34" s="203"/>
      <c r="O34" s="204">
        <v>1</v>
      </c>
      <c r="P34" s="205"/>
      <c r="Q34" s="46"/>
      <c r="R34" s="206">
        <v>0</v>
      </c>
      <c r="S34" s="207"/>
      <c r="T34" s="208">
        <f>R34*O34</f>
        <v>0</v>
      </c>
      <c r="U34" s="66"/>
    </row>
    <row r="35" spans="2:22">
      <c r="B35" s="463"/>
      <c r="C35" s="460" t="s">
        <v>15</v>
      </c>
      <c r="D35" s="273" t="s">
        <v>247</v>
      </c>
      <c r="E35" s="64" t="s">
        <v>233</v>
      </c>
      <c r="F35" s="64"/>
      <c r="G35" s="64" t="s">
        <v>230</v>
      </c>
      <c r="H35" s="64" t="s">
        <v>187</v>
      </c>
      <c r="I35" s="57"/>
      <c r="J35" s="57">
        <v>5</v>
      </c>
      <c r="K35" s="209"/>
      <c r="L35" s="210">
        <f>O35/J35</f>
        <v>0.2</v>
      </c>
      <c r="M35" s="211"/>
      <c r="N35" s="209"/>
      <c r="O35" s="210">
        <v>1</v>
      </c>
      <c r="P35" s="211"/>
      <c r="Q35" s="46"/>
      <c r="R35" s="212">
        <v>0</v>
      </c>
      <c r="S35" s="213"/>
      <c r="T35" s="214">
        <f>R35*O35</f>
        <v>0</v>
      </c>
      <c r="U35" s="58"/>
    </row>
    <row r="36" spans="2:22">
      <c r="B36" s="463"/>
      <c r="C36" s="461"/>
      <c r="D36" s="274" t="s">
        <v>247</v>
      </c>
      <c r="E36" s="63" t="s">
        <v>233</v>
      </c>
      <c r="F36" s="63"/>
      <c r="G36" s="63" t="s">
        <v>230</v>
      </c>
      <c r="H36" s="63" t="s">
        <v>51</v>
      </c>
      <c r="I36" s="55"/>
      <c r="J36" s="55">
        <v>3.3</v>
      </c>
      <c r="K36" s="270"/>
      <c r="L36" s="215"/>
      <c r="M36" s="271">
        <f>P36/J36</f>
        <v>0.60606060606060608</v>
      </c>
      <c r="N36" s="270"/>
      <c r="O36" s="215"/>
      <c r="P36" s="216">
        <v>2</v>
      </c>
      <c r="R36" s="217">
        <v>1</v>
      </c>
      <c r="S36" s="56"/>
      <c r="T36" s="218">
        <f>R36*P36</f>
        <v>2</v>
      </c>
      <c r="U36" s="59"/>
    </row>
    <row r="37" spans="2:22" ht="15.75" thickBot="1">
      <c r="B37" s="464"/>
      <c r="C37" s="275" t="s">
        <v>13</v>
      </c>
      <c r="D37" s="276" t="s">
        <v>248</v>
      </c>
      <c r="E37" s="126" t="s">
        <v>232</v>
      </c>
      <c r="F37" s="126" t="s">
        <v>264</v>
      </c>
      <c r="G37" s="126" t="s">
        <v>208</v>
      </c>
      <c r="H37" s="126" t="s">
        <v>60</v>
      </c>
      <c r="I37" s="125"/>
      <c r="J37" s="125">
        <v>3.3</v>
      </c>
      <c r="K37" s="219">
        <f>N37/J37</f>
        <v>0.11515151515151516</v>
      </c>
      <c r="L37" s="220">
        <f>O37/J37</f>
        <v>0.24242424242424246</v>
      </c>
      <c r="M37" s="221">
        <f>P37/J37</f>
        <v>0.54545454545454553</v>
      </c>
      <c r="N37" s="259">
        <v>0.38</v>
      </c>
      <c r="O37" s="222">
        <v>0.8</v>
      </c>
      <c r="P37" s="260">
        <v>1.8</v>
      </c>
      <c r="Q37" s="46"/>
      <c r="R37" s="263">
        <v>0</v>
      </c>
      <c r="S37" s="264"/>
      <c r="T37" s="265">
        <f>R37*O37</f>
        <v>0</v>
      </c>
      <c r="U37" s="266"/>
    </row>
    <row r="38" spans="2:22">
      <c r="O38" s="35"/>
      <c r="P38" s="35"/>
      <c r="Q38" s="35"/>
      <c r="S38" s="50" t="s">
        <v>124</v>
      </c>
      <c r="T38" s="198">
        <f>SUM(T5:T37)/X13</f>
        <v>20.613965555555556</v>
      </c>
      <c r="U38" s="62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5">
        <f>1.135*(6*3+6*3+4*3+4*3)/(3+3+3+3+1+1)*X6/3600</f>
        <v>4.9374069785647396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32.506991932510658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-27.56958495394592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-84.811246181081501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-558.38186063325395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-68.923962384864808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8">
    <mergeCell ref="C2:D2"/>
    <mergeCell ref="K2:M2"/>
    <mergeCell ref="N2:P2"/>
    <mergeCell ref="S2:U2"/>
    <mergeCell ref="B3:B4"/>
    <mergeCell ref="C3:D4"/>
    <mergeCell ref="E3:E4"/>
    <mergeCell ref="F3:F4"/>
    <mergeCell ref="G3:G4"/>
    <mergeCell ref="H3:H4"/>
    <mergeCell ref="O3:O4"/>
    <mergeCell ref="P3:P4"/>
    <mergeCell ref="B5:B7"/>
    <mergeCell ref="C5:C6"/>
    <mergeCell ref="G5:G6"/>
    <mergeCell ref="C7:C8"/>
    <mergeCell ref="B8:B22"/>
    <mergeCell ref="H8:H14"/>
    <mergeCell ref="C9:C20"/>
    <mergeCell ref="G9:G14"/>
    <mergeCell ref="I3:I4"/>
    <mergeCell ref="J3:J4"/>
    <mergeCell ref="K3:K4"/>
    <mergeCell ref="L3:L4"/>
    <mergeCell ref="M3:M4"/>
    <mergeCell ref="N3:N4"/>
    <mergeCell ref="J16:J18"/>
    <mergeCell ref="K16:K18"/>
    <mergeCell ref="D12:D13"/>
    <mergeCell ref="E12:E13"/>
    <mergeCell ref="D14:D15"/>
    <mergeCell ref="E14:E15"/>
    <mergeCell ref="D16:D18"/>
    <mergeCell ref="E16:E18"/>
    <mergeCell ref="S16:S18"/>
    <mergeCell ref="T16:T18"/>
    <mergeCell ref="U16:U18"/>
    <mergeCell ref="D19:D20"/>
    <mergeCell ref="G19:G20"/>
    <mergeCell ref="H19:H20"/>
    <mergeCell ref="L16:L18"/>
    <mergeCell ref="M16:M18"/>
    <mergeCell ref="N16:N18"/>
    <mergeCell ref="O16:O18"/>
    <mergeCell ref="P16:P18"/>
    <mergeCell ref="R16:R18"/>
    <mergeCell ref="F16:F18"/>
    <mergeCell ref="G16:G18"/>
    <mergeCell ref="H16:H18"/>
    <mergeCell ref="I16:I18"/>
    <mergeCell ref="C21:C22"/>
    <mergeCell ref="B24:B33"/>
    <mergeCell ref="C24:C33"/>
    <mergeCell ref="D24:D26"/>
    <mergeCell ref="E24:E26"/>
    <mergeCell ref="D31:D33"/>
    <mergeCell ref="E31:E33"/>
    <mergeCell ref="U28:U29"/>
    <mergeCell ref="G30:G33"/>
    <mergeCell ref="H30:H33"/>
    <mergeCell ref="K28:K29"/>
    <mergeCell ref="L28:L29"/>
    <mergeCell ref="M28:M29"/>
    <mergeCell ref="N28:N29"/>
    <mergeCell ref="O28:O29"/>
    <mergeCell ref="P28:P29"/>
    <mergeCell ref="H24:H29"/>
    <mergeCell ref="G27:G29"/>
    <mergeCell ref="I28:I29"/>
    <mergeCell ref="J28:J29"/>
    <mergeCell ref="G24:G26"/>
    <mergeCell ref="B34:B37"/>
    <mergeCell ref="C35:C36"/>
    <mergeCell ref="R28:R29"/>
    <mergeCell ref="S28:S29"/>
    <mergeCell ref="T28:T29"/>
    <mergeCell ref="D27:D29"/>
    <mergeCell ref="E27:E29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B2:H28"/>
  <sheetViews>
    <sheetView zoomScaleNormal="100" zoomScaleSheetLayoutView="75" workbookViewId="0">
      <selection activeCell="B26" sqref="B26"/>
    </sheetView>
  </sheetViews>
  <sheetFormatPr defaultColWidth="9" defaultRowHeight="14.25"/>
  <cols>
    <col min="2" max="2" width="54.75" bestFit="1" customWidth="1"/>
    <col min="3" max="3" width="12.875" bestFit="1" customWidth="1"/>
    <col min="5" max="5" width="6.375" customWidth="1"/>
    <col min="6" max="6" width="9.25" customWidth="1"/>
    <col min="7" max="7" width="9.125" bestFit="1" customWidth="1"/>
    <col min="8" max="8" width="14.125" bestFit="1" customWidth="1"/>
  </cols>
  <sheetData>
    <row r="2" spans="2:8">
      <c r="B2" s="1" t="s">
        <v>103</v>
      </c>
    </row>
    <row r="4" spans="2:8">
      <c r="B4" t="s">
        <v>131</v>
      </c>
      <c r="C4">
        <v>500</v>
      </c>
      <c r="E4" t="s">
        <v>17</v>
      </c>
      <c r="F4" s="13">
        <v>22</v>
      </c>
      <c r="G4" s="13">
        <v>0</v>
      </c>
      <c r="H4">
        <v>3.3342999503020398</v>
      </c>
    </row>
    <row r="5" spans="2:8">
      <c r="B5" t="s">
        <v>132</v>
      </c>
      <c r="C5">
        <f>INDEX(G4:H28,MATCH(F4,G4:G28,0),2)</f>
        <v>30.893332021598599</v>
      </c>
      <c r="G5" s="13">
        <v>1</v>
      </c>
      <c r="H5">
        <v>-10.271498329457399</v>
      </c>
    </row>
    <row r="6" spans="2:8">
      <c r="B6" t="s">
        <v>11</v>
      </c>
      <c r="C6">
        <v>398600</v>
      </c>
      <c r="G6" s="13">
        <v>2</v>
      </c>
      <c r="H6">
        <v>-23.528290252111699</v>
      </c>
    </row>
    <row r="7" spans="2:8">
      <c r="B7" t="s">
        <v>101</v>
      </c>
      <c r="C7">
        <v>6378.14</v>
      </c>
      <c r="G7" s="13">
        <v>3</v>
      </c>
      <c r="H7">
        <v>-36.118151262630199</v>
      </c>
    </row>
    <row r="8" spans="2:8">
      <c r="B8" t="s">
        <v>121</v>
      </c>
      <c r="C8">
        <f>2*PI()*SQRT(($C$7+$C$4)^3/$C$6)</f>
        <v>5676.9848887954295</v>
      </c>
      <c r="G8" s="13">
        <v>4</v>
      </c>
      <c r="H8">
        <v>-47.400155406867697</v>
      </c>
    </row>
    <row r="9" spans="2:8">
      <c r="G9" s="13">
        <v>5</v>
      </c>
      <c r="H9">
        <v>-56.011313651595202</v>
      </c>
    </row>
    <row r="10" spans="2:8">
      <c r="B10" t="s">
        <v>133</v>
      </c>
      <c r="C10">
        <f>IF(C5&lt;ASIN(C7/(C7+C4))*180/PI(),(360-2*ASIN((((1/COS(C5*PI()/180))^2)*(((C7/(C7+C4))^2-(SIN(C5*PI()/180))^2)))^0.5)*180/PI())/360*C8,C8)</f>
        <v>3654.1161779686181</v>
      </c>
      <c r="G10" s="13">
        <v>6</v>
      </c>
      <c r="H10">
        <v>-59.571099866250798</v>
      </c>
    </row>
    <row r="11" spans="2:8">
      <c r="B11" t="s">
        <v>130</v>
      </c>
      <c r="C11">
        <f>C8-C10</f>
        <v>2022.8687108268114</v>
      </c>
      <c r="G11" s="13">
        <v>7</v>
      </c>
      <c r="H11">
        <v>-56.426129695037702</v>
      </c>
    </row>
    <row r="12" spans="2:8">
      <c r="B12" t="s">
        <v>102</v>
      </c>
      <c r="C12">
        <f>90</f>
        <v>90</v>
      </c>
      <c r="G12" s="13">
        <v>8</v>
      </c>
      <c r="H12">
        <v>-48.062620260921399</v>
      </c>
    </row>
    <row r="13" spans="2:8">
      <c r="G13" s="13">
        <v>9</v>
      </c>
      <c r="H13">
        <v>-36.902155799572</v>
      </c>
    </row>
    <row r="14" spans="2:8">
      <c r="B14" t="s">
        <v>129</v>
      </c>
      <c r="C14">
        <v>0.2</v>
      </c>
      <c r="G14" s="13">
        <v>10</v>
      </c>
      <c r="H14">
        <v>-24.37277069061</v>
      </c>
    </row>
    <row r="15" spans="2:8">
      <c r="B15" t="s">
        <v>118</v>
      </c>
      <c r="C15">
        <v>0.9</v>
      </c>
      <c r="G15" s="13">
        <v>11</v>
      </c>
      <c r="H15">
        <v>-11.147552962117</v>
      </c>
    </row>
    <row r="16" spans="2:8">
      <c r="B16" t="s">
        <v>141</v>
      </c>
      <c r="C16">
        <v>0.4</v>
      </c>
      <c r="G16" s="13">
        <v>12</v>
      </c>
      <c r="H16">
        <v>2.4420052163108199</v>
      </c>
    </row>
    <row r="17" spans="7:8">
      <c r="G17" s="13">
        <v>13</v>
      </c>
      <c r="H17">
        <v>16.205456724665702</v>
      </c>
    </row>
    <row r="18" spans="7:8">
      <c r="G18" s="13">
        <v>14</v>
      </c>
      <c r="H18">
        <v>29.998122792946798</v>
      </c>
    </row>
    <row r="19" spans="7:8">
      <c r="G19" s="13">
        <v>15</v>
      </c>
      <c r="H19">
        <v>43.647692426302797</v>
      </c>
    </row>
    <row r="20" spans="7:8">
      <c r="G20" s="13">
        <v>16</v>
      </c>
      <c r="H20">
        <v>56.810926741248501</v>
      </c>
    </row>
    <row r="21" spans="7:8">
      <c r="G21" s="13">
        <v>17</v>
      </c>
      <c r="H21">
        <v>68.422001172795902</v>
      </c>
    </row>
    <row r="22" spans="7:8">
      <c r="G22" s="13">
        <v>18</v>
      </c>
      <c r="H22">
        <v>74.371379328089901</v>
      </c>
    </row>
    <row r="23" spans="7:8">
      <c r="G23" s="13">
        <v>19</v>
      </c>
      <c r="H23">
        <v>69.058097270869794</v>
      </c>
    </row>
    <row r="24" spans="7:8">
      <c r="G24" s="13">
        <v>20</v>
      </c>
      <c r="H24">
        <v>57.633973354615897</v>
      </c>
    </row>
    <row r="25" spans="7:8">
      <c r="G25" s="13">
        <v>21</v>
      </c>
      <c r="H25">
        <v>44.524976015620197</v>
      </c>
    </row>
    <row r="26" spans="7:8">
      <c r="G26" s="13">
        <v>22</v>
      </c>
      <c r="H26">
        <v>30.893332021598599</v>
      </c>
    </row>
    <row r="27" spans="7:8">
      <c r="G27" s="13">
        <v>23</v>
      </c>
      <c r="H27">
        <v>17.103944718787101</v>
      </c>
    </row>
    <row r="28" spans="7:8">
      <c r="G28" s="13">
        <v>24</v>
      </c>
      <c r="H28">
        <v>3.3342999503020398</v>
      </c>
    </row>
  </sheetData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10"/>
  <sheetViews>
    <sheetView zoomScale="145" zoomScaleNormal="145" zoomScaleSheetLayoutView="75" workbookViewId="0">
      <selection activeCell="A6" sqref="A6:C6"/>
    </sheetView>
  </sheetViews>
  <sheetFormatPr defaultColWidth="9" defaultRowHeight="14.25"/>
  <cols>
    <col min="3" max="3" width="33.375" customWidth="1"/>
  </cols>
  <sheetData>
    <row r="1" spans="1:9">
      <c r="A1" s="515" t="s">
        <v>76</v>
      </c>
      <c r="B1" s="516"/>
      <c r="C1" s="517"/>
      <c r="D1" s="14"/>
      <c r="E1" s="5" t="e">
        <f>#REF!-#REF!</f>
        <v>#REF!</v>
      </c>
      <c r="F1" s="5"/>
      <c r="G1" s="5"/>
      <c r="H1" s="4" t="s">
        <v>99</v>
      </c>
      <c r="I1" s="1"/>
    </row>
    <row r="2" spans="1:9">
      <c r="A2" s="515" t="s">
        <v>122</v>
      </c>
      <c r="B2" s="516"/>
      <c r="C2" s="517"/>
      <c r="D2" s="14"/>
      <c r="E2" s="5" t="e">
        <f>E1/40*100</f>
        <v>#REF!</v>
      </c>
      <c r="F2" s="5"/>
      <c r="G2" s="5"/>
      <c r="H2" s="4" t="s">
        <v>86</v>
      </c>
      <c r="I2" s="1"/>
    </row>
    <row r="3" spans="1:9">
      <c r="A3" s="515" t="s">
        <v>78</v>
      </c>
      <c r="B3" s="516"/>
      <c r="C3" s="517"/>
      <c r="D3" s="14"/>
      <c r="E3" s="5" t="e">
        <f>100/E2</f>
        <v>#REF!</v>
      </c>
      <c r="F3" s="5"/>
      <c r="G3" s="5"/>
      <c r="H3" s="4" t="s">
        <v>88</v>
      </c>
      <c r="I3" s="1"/>
    </row>
    <row r="4" spans="1:9">
      <c r="A4" s="515" t="s">
        <v>9</v>
      </c>
      <c r="B4" s="516"/>
      <c r="C4" s="517"/>
      <c r="D4" s="14"/>
      <c r="E4" s="5" t="e">
        <f>IF(E2*6&gt;100,100,E2*6)</f>
        <v>#REF!</v>
      </c>
      <c r="F4" s="5"/>
      <c r="G4" s="5"/>
      <c r="H4" s="4" t="s">
        <v>86</v>
      </c>
      <c r="I4" s="1"/>
    </row>
    <row r="5" spans="1:9">
      <c r="A5" s="515" t="s">
        <v>5</v>
      </c>
      <c r="B5" s="516"/>
      <c r="C5" s="517"/>
      <c r="D5" s="14"/>
      <c r="E5" s="5"/>
      <c r="F5" s="5" t="e">
        <f>40*$E$4/100-#REF!</f>
        <v>#REF!</v>
      </c>
      <c r="G5" s="5" t="e">
        <f>40*$E$4/100-#REF!</f>
        <v>#REF!</v>
      </c>
      <c r="H5" s="4" t="s">
        <v>99</v>
      </c>
      <c r="I5" s="1"/>
    </row>
    <row r="6" spans="1:9">
      <c r="A6" s="515" t="s">
        <v>10</v>
      </c>
      <c r="B6" s="516"/>
      <c r="C6" s="517"/>
      <c r="D6" s="14"/>
      <c r="E6" s="5"/>
      <c r="F6" s="5" t="e">
        <f>F5/40*100</f>
        <v>#REF!</v>
      </c>
      <c r="G6" s="5" t="e">
        <f>G5/40*100</f>
        <v>#REF!</v>
      </c>
      <c r="H6" s="4" t="s">
        <v>86</v>
      </c>
      <c r="I6" s="2" t="s">
        <v>71</v>
      </c>
    </row>
    <row r="7" spans="1:9">
      <c r="A7" s="515" t="s">
        <v>6</v>
      </c>
      <c r="B7" s="516"/>
      <c r="C7" s="517"/>
      <c r="D7" s="14"/>
      <c r="E7" s="5"/>
      <c r="F7" s="5" t="e">
        <f>F5/40*100-40</f>
        <v>#REF!</v>
      </c>
      <c r="G7" s="5" t="e">
        <f>G5/40*100-40</f>
        <v>#REF!</v>
      </c>
      <c r="H7" s="4" t="s">
        <v>86</v>
      </c>
      <c r="I7" s="2" t="s">
        <v>71</v>
      </c>
    </row>
    <row r="8" spans="1:9">
      <c r="A8" s="11" t="s">
        <v>114</v>
      </c>
      <c r="B8" s="7"/>
      <c r="C8" s="6" t="s">
        <v>28</v>
      </c>
      <c r="D8" s="6"/>
      <c r="E8" s="3" t="e">
        <f>(#REF!+#REF!+#REF!+#REF!+#REF!+#REF!+#REF!+#REF!+#REF!+#REF!+#REF!+#REF!)/3.3</f>
        <v>#REF!</v>
      </c>
      <c r="F8" s="3" t="e">
        <f>(#REF!+#REF!+#REF!+#REF!+#REF!+#REF!+#REF!+#REF!+#REF!+#REF!+#REF!+#REF!)/3.3</f>
        <v>#REF!</v>
      </c>
      <c r="G8" s="3" t="e">
        <f>(#REF!+#REF!+#REF!+#REF!+#REF!+#REF!+#REF!+#REF!+#REF!+#REF!+#REF!+#REF!)/3.3</f>
        <v>#REF!</v>
      </c>
      <c r="H8" s="4"/>
      <c r="I8" s="2" t="s">
        <v>36</v>
      </c>
    </row>
    <row r="9" spans="1:9">
      <c r="A9" s="9"/>
      <c r="B9" s="8"/>
      <c r="C9" s="6" t="s">
        <v>32</v>
      </c>
      <c r="D9" s="6"/>
      <c r="E9" s="3" t="e">
        <f>(#REF!+#REF!+#REF!+#REF!+#REF!)/5</f>
        <v>#REF!</v>
      </c>
      <c r="F9" s="3" t="e">
        <f>(#REF!+#REF!+#REF!+#REF!+#REF!)/5</f>
        <v>#REF!</v>
      </c>
      <c r="G9" s="3" t="e">
        <f>(#REF!+#REF!+#REF!+#REF!+#REF!)/5</f>
        <v>#REF!</v>
      </c>
      <c r="H9" s="4"/>
      <c r="I9" s="2" t="s">
        <v>36</v>
      </c>
    </row>
    <row r="10" spans="1:9">
      <c r="A10" s="10"/>
      <c r="B10" s="12"/>
      <c r="C10" s="6" t="s">
        <v>43</v>
      </c>
      <c r="D10" s="6"/>
      <c r="E10" s="3" t="e">
        <f>(#REF!+#REF!+#REF!)/8.26</f>
        <v>#REF!</v>
      </c>
      <c r="F10" s="3" t="e">
        <f>(#REF!+#REF!+#REF!)/8.26</f>
        <v>#REF!</v>
      </c>
      <c r="G10" s="3" t="e">
        <f>(#REF!+#REF!+#REF!)/8.26</f>
        <v>#REF!</v>
      </c>
      <c r="H10" s="4"/>
      <c r="I10" s="2" t="s">
        <v>40</v>
      </c>
    </row>
  </sheetData>
  <mergeCells count="7">
    <mergeCell ref="A5:C5"/>
    <mergeCell ref="A7:C7"/>
    <mergeCell ref="A1:C1"/>
    <mergeCell ref="A2:C2"/>
    <mergeCell ref="A3:C3"/>
    <mergeCell ref="A4:C4"/>
    <mergeCell ref="A6:C6"/>
  </mergeCells>
  <phoneticPr fontId="9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6"/>
  <sheetViews>
    <sheetView topLeftCell="A18" zoomScaleNormal="100" zoomScaleSheetLayoutView="75" workbookViewId="0">
      <selection activeCell="A60" sqref="A60"/>
    </sheetView>
  </sheetViews>
  <sheetFormatPr defaultColWidth="9" defaultRowHeight="14.25"/>
  <cols>
    <col min="1" max="1" width="23.5" customWidth="1"/>
    <col min="2" max="2" width="12.5" customWidth="1"/>
    <col min="3" max="16" width="13.75" customWidth="1"/>
  </cols>
  <sheetData>
    <row r="1" spans="1:16" ht="16.5">
      <c r="A1" s="72"/>
      <c r="B1" s="73" t="s">
        <v>89</v>
      </c>
      <c r="C1" s="73" t="s">
        <v>98</v>
      </c>
      <c r="D1" s="73" t="s">
        <v>95</v>
      </c>
      <c r="E1" s="73" t="s">
        <v>92</v>
      </c>
      <c r="F1" s="73" t="s">
        <v>94</v>
      </c>
      <c r="G1" s="73" t="s">
        <v>85</v>
      </c>
      <c r="H1" s="73" t="s">
        <v>91</v>
      </c>
      <c r="I1" s="73" t="s">
        <v>97</v>
      </c>
      <c r="J1" s="73" t="s">
        <v>96</v>
      </c>
      <c r="K1" s="73" t="s">
        <v>46</v>
      </c>
      <c r="L1" s="73" t="s">
        <v>67</v>
      </c>
      <c r="M1" s="73" t="s">
        <v>24</v>
      </c>
      <c r="N1" s="73" t="s">
        <v>63</v>
      </c>
      <c r="O1" s="73" t="s">
        <v>64</v>
      </c>
      <c r="P1" s="74" t="s">
        <v>70</v>
      </c>
    </row>
    <row r="2" spans="1:16" ht="16.5">
      <c r="A2" s="75"/>
      <c r="B2" s="18" t="s">
        <v>77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76"/>
    </row>
    <row r="3" spans="1:16">
      <c r="A3" s="75"/>
      <c r="B3" s="526" t="s">
        <v>74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76"/>
    </row>
    <row r="4" spans="1:16">
      <c r="A4" s="75"/>
      <c r="B4" s="527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76"/>
    </row>
    <row r="5" spans="1:16" ht="16.5">
      <c r="A5" s="77" t="s">
        <v>82</v>
      </c>
      <c r="B5" s="21" t="s">
        <v>100</v>
      </c>
      <c r="C5" s="22" t="s">
        <v>1</v>
      </c>
      <c r="D5" s="21" t="s">
        <v>142</v>
      </c>
      <c r="E5" s="21" t="s">
        <v>143</v>
      </c>
      <c r="F5" s="21" t="s">
        <v>144</v>
      </c>
      <c r="G5" s="21" t="s">
        <v>145</v>
      </c>
      <c r="H5" s="21" t="s">
        <v>148</v>
      </c>
      <c r="I5" s="21" t="s">
        <v>146</v>
      </c>
      <c r="J5" s="21" t="s">
        <v>147</v>
      </c>
      <c r="K5" s="21" t="s">
        <v>149</v>
      </c>
      <c r="L5" s="21" t="s">
        <v>150</v>
      </c>
      <c r="M5" s="21" t="s">
        <v>153</v>
      </c>
      <c r="N5" s="21" t="s">
        <v>151</v>
      </c>
      <c r="O5" s="21" t="s">
        <v>152</v>
      </c>
      <c r="P5" s="78" t="s">
        <v>154</v>
      </c>
    </row>
    <row r="6" spans="1:16" ht="16.5">
      <c r="A6" s="79"/>
      <c r="B6" s="528" t="s">
        <v>27</v>
      </c>
      <c r="C6" s="27" t="s">
        <v>66</v>
      </c>
      <c r="D6" s="522" t="s">
        <v>41</v>
      </c>
      <c r="E6" s="522" t="s">
        <v>23</v>
      </c>
      <c r="F6" s="522" t="s">
        <v>27</v>
      </c>
      <c r="G6" s="522" t="s">
        <v>19</v>
      </c>
      <c r="H6" s="522" t="s">
        <v>23</v>
      </c>
      <c r="I6" s="522" t="s">
        <v>37</v>
      </c>
      <c r="J6" s="522" t="s">
        <v>45</v>
      </c>
      <c r="K6" s="519" t="s">
        <v>37</v>
      </c>
      <c r="L6" s="519" t="s">
        <v>21</v>
      </c>
      <c r="M6" s="519" t="s">
        <v>23</v>
      </c>
      <c r="N6" s="519" t="s">
        <v>19</v>
      </c>
      <c r="O6" s="519" t="s">
        <v>41</v>
      </c>
      <c r="P6" s="519" t="s">
        <v>37</v>
      </c>
    </row>
    <row r="7" spans="1:16" ht="16.5">
      <c r="A7" s="79" t="s">
        <v>123</v>
      </c>
      <c r="B7" s="529"/>
      <c r="C7" s="26" t="s">
        <v>107</v>
      </c>
      <c r="D7" s="523"/>
      <c r="E7" s="523"/>
      <c r="F7" s="523"/>
      <c r="G7" s="523"/>
      <c r="H7" s="523"/>
      <c r="I7" s="523"/>
      <c r="J7" s="523"/>
      <c r="K7" s="520"/>
      <c r="L7" s="520"/>
      <c r="M7" s="520"/>
      <c r="N7" s="520"/>
      <c r="O7" s="520"/>
      <c r="P7" s="520"/>
    </row>
    <row r="8" spans="1:16" ht="16.5">
      <c r="A8" s="79"/>
      <c r="B8" s="529"/>
      <c r="C8" s="20" t="s">
        <v>30</v>
      </c>
      <c r="D8" s="523"/>
      <c r="E8" s="523"/>
      <c r="F8" s="523"/>
      <c r="G8" s="523"/>
      <c r="H8" s="523"/>
      <c r="I8" s="523"/>
      <c r="J8" s="523"/>
      <c r="K8" s="520"/>
      <c r="L8" s="520"/>
      <c r="M8" s="520"/>
      <c r="N8" s="520"/>
      <c r="O8" s="520"/>
      <c r="P8" s="520"/>
    </row>
    <row r="9" spans="1:16" ht="16.5">
      <c r="A9" s="79" t="s">
        <v>81</v>
      </c>
      <c r="B9" s="529"/>
      <c r="C9" s="23" t="s">
        <v>108</v>
      </c>
      <c r="D9" s="523"/>
      <c r="E9" s="523"/>
      <c r="F9" s="523"/>
      <c r="G9" s="523"/>
      <c r="H9" s="523"/>
      <c r="I9" s="523"/>
      <c r="J9" s="523"/>
      <c r="K9" s="520"/>
      <c r="L9" s="520"/>
      <c r="M9" s="520"/>
      <c r="N9" s="520"/>
      <c r="O9" s="520"/>
      <c r="P9" s="520"/>
    </row>
    <row r="10" spans="1:16" ht="16.5">
      <c r="A10" s="79"/>
      <c r="B10" s="530"/>
      <c r="C10" s="27" t="s">
        <v>58</v>
      </c>
      <c r="D10" s="524"/>
      <c r="E10" s="524"/>
      <c r="F10" s="524"/>
      <c r="G10" s="524"/>
      <c r="H10" s="524"/>
      <c r="I10" s="524"/>
      <c r="J10" s="524"/>
      <c r="K10" s="521"/>
      <c r="L10" s="521"/>
      <c r="M10" s="521"/>
      <c r="N10" s="521"/>
      <c r="O10" s="521"/>
      <c r="P10" s="521"/>
    </row>
    <row r="11" spans="1:16" ht="16.5">
      <c r="A11" s="80" t="s">
        <v>113</v>
      </c>
      <c r="B11" s="24" t="s">
        <v>105</v>
      </c>
      <c r="C11" s="24" t="s">
        <v>137</v>
      </c>
      <c r="D11" s="25" t="s">
        <v>155</v>
      </c>
      <c r="E11" s="25" t="s">
        <v>157</v>
      </c>
      <c r="F11" s="25" t="s">
        <v>158</v>
      </c>
      <c r="G11" s="25" t="s">
        <v>159</v>
      </c>
      <c r="H11" s="25" t="s">
        <v>166</v>
      </c>
      <c r="I11" s="25" t="s">
        <v>160</v>
      </c>
      <c r="J11" s="25" t="s">
        <v>156</v>
      </c>
      <c r="K11" s="25" t="s">
        <v>161</v>
      </c>
      <c r="L11" s="25" t="s">
        <v>167</v>
      </c>
      <c r="M11" s="25" t="s">
        <v>164</v>
      </c>
      <c r="N11" s="25" t="s">
        <v>162</v>
      </c>
      <c r="O11" s="25" t="s">
        <v>165</v>
      </c>
      <c r="P11" s="81" t="s">
        <v>163</v>
      </c>
    </row>
    <row r="12" spans="1:16" ht="16.5">
      <c r="A12" s="80"/>
      <c r="B12" s="531" t="s">
        <v>68</v>
      </c>
      <c r="C12" s="531" t="s">
        <v>35</v>
      </c>
      <c r="D12" s="526" t="s">
        <v>68</v>
      </c>
      <c r="E12" s="526" t="s">
        <v>44</v>
      </c>
      <c r="F12" s="526" t="s">
        <v>68</v>
      </c>
      <c r="G12" s="526" t="s">
        <v>33</v>
      </c>
      <c r="H12" s="526" t="s">
        <v>49</v>
      </c>
      <c r="I12" s="19" t="s">
        <v>18</v>
      </c>
      <c r="J12" s="526" t="s">
        <v>49</v>
      </c>
      <c r="K12" s="518" t="s">
        <v>33</v>
      </c>
      <c r="L12" s="518" t="s">
        <v>69</v>
      </c>
      <c r="M12" s="518" t="s">
        <v>20</v>
      </c>
      <c r="N12" s="518" t="s">
        <v>33</v>
      </c>
      <c r="O12" s="518" t="s">
        <v>33</v>
      </c>
      <c r="P12" s="525" t="s">
        <v>22</v>
      </c>
    </row>
    <row r="13" spans="1:16" ht="16.5">
      <c r="A13" s="80" t="s">
        <v>110</v>
      </c>
      <c r="B13" s="531"/>
      <c r="C13" s="531"/>
      <c r="D13" s="526"/>
      <c r="E13" s="526"/>
      <c r="F13" s="526"/>
      <c r="G13" s="526"/>
      <c r="H13" s="526"/>
      <c r="I13" s="18" t="s">
        <v>168</v>
      </c>
      <c r="J13" s="526"/>
      <c r="K13" s="518"/>
      <c r="L13" s="518"/>
      <c r="M13" s="518"/>
      <c r="N13" s="518"/>
      <c r="O13" s="518"/>
      <c r="P13" s="525"/>
    </row>
    <row r="14" spans="1:16" ht="16.5">
      <c r="A14" s="80"/>
      <c r="B14" s="531"/>
      <c r="C14" s="531"/>
      <c r="D14" s="526"/>
      <c r="E14" s="526"/>
      <c r="F14" s="526"/>
      <c r="G14" s="526"/>
      <c r="H14" s="526"/>
      <c r="I14" s="19" t="s">
        <v>55</v>
      </c>
      <c r="J14" s="526"/>
      <c r="K14" s="518"/>
      <c r="L14" s="518"/>
      <c r="M14" s="518"/>
      <c r="N14" s="518"/>
      <c r="O14" s="518"/>
      <c r="P14" s="82" t="s">
        <v>169</v>
      </c>
    </row>
    <row r="15" spans="1:16" ht="16.5">
      <c r="A15" s="80" t="s">
        <v>3</v>
      </c>
      <c r="B15" s="531"/>
      <c r="C15" s="531"/>
      <c r="D15" s="526"/>
      <c r="E15" s="526"/>
      <c r="F15" s="526"/>
      <c r="G15" s="526"/>
      <c r="H15" s="526"/>
      <c r="I15" s="18" t="s">
        <v>170</v>
      </c>
      <c r="J15" s="526"/>
      <c r="K15" s="518"/>
      <c r="L15" s="518"/>
      <c r="M15" s="518"/>
      <c r="N15" s="518"/>
      <c r="O15" s="518"/>
      <c r="P15" s="83"/>
    </row>
    <row r="16" spans="1:16" ht="16.5">
      <c r="A16" s="80"/>
      <c r="B16" s="531"/>
      <c r="C16" s="531"/>
      <c r="D16" s="526"/>
      <c r="E16" s="526"/>
      <c r="F16" s="526"/>
      <c r="G16" s="526"/>
      <c r="H16" s="526"/>
      <c r="I16" s="19" t="s">
        <v>65</v>
      </c>
      <c r="J16" s="526"/>
      <c r="K16" s="518"/>
      <c r="L16" s="518"/>
      <c r="M16" s="518"/>
      <c r="N16" s="518"/>
      <c r="O16" s="518"/>
      <c r="P16" s="83"/>
    </row>
    <row r="17" spans="1:16" ht="16.5">
      <c r="A17" s="80" t="s">
        <v>26</v>
      </c>
      <c r="B17" s="17" t="s">
        <v>109</v>
      </c>
      <c r="C17" s="17" t="s">
        <v>139</v>
      </c>
      <c r="D17" s="18" t="s">
        <v>175</v>
      </c>
      <c r="E17" s="18" t="s">
        <v>173</v>
      </c>
      <c r="F17" s="18" t="s">
        <v>181</v>
      </c>
      <c r="G17" s="18" t="s">
        <v>179</v>
      </c>
      <c r="H17" s="18" t="s">
        <v>180</v>
      </c>
      <c r="I17" s="18" t="s">
        <v>182</v>
      </c>
      <c r="J17" s="18" t="s">
        <v>172</v>
      </c>
      <c r="K17" s="18" t="s">
        <v>176</v>
      </c>
      <c r="L17" s="18" t="s">
        <v>178</v>
      </c>
      <c r="M17" s="18" t="s">
        <v>171</v>
      </c>
      <c r="N17" s="18" t="s">
        <v>174</v>
      </c>
      <c r="O17" s="18" t="s">
        <v>177</v>
      </c>
      <c r="P17" s="83"/>
    </row>
    <row r="18" spans="1:16" ht="16.5">
      <c r="A18" s="84" t="s">
        <v>135</v>
      </c>
      <c r="B18" s="71" t="s">
        <v>111</v>
      </c>
      <c r="C18" s="71">
        <v>5674</v>
      </c>
      <c r="D18" s="71">
        <v>5667</v>
      </c>
      <c r="E18" s="71">
        <v>5659</v>
      </c>
      <c r="F18" s="71">
        <v>5668</v>
      </c>
      <c r="G18" s="71">
        <v>5668</v>
      </c>
      <c r="H18" s="71">
        <v>5667</v>
      </c>
      <c r="I18" s="71">
        <v>5667</v>
      </c>
      <c r="J18" s="71">
        <v>5664</v>
      </c>
      <c r="K18" s="71">
        <v>5664</v>
      </c>
      <c r="L18" s="71">
        <v>5675</v>
      </c>
      <c r="M18" s="71">
        <v>5665</v>
      </c>
      <c r="N18" s="71">
        <v>5668</v>
      </c>
      <c r="O18" s="71">
        <v>5667</v>
      </c>
      <c r="P18" s="85">
        <v>5620</v>
      </c>
    </row>
    <row r="19" spans="1:16" ht="16.5">
      <c r="A19" s="84" t="s">
        <v>117</v>
      </c>
      <c r="B19" s="71">
        <v>23.041</v>
      </c>
      <c r="C19" s="71">
        <v>18.747</v>
      </c>
      <c r="D19" s="71">
        <v>23.041</v>
      </c>
      <c r="E19" s="71">
        <v>23.041</v>
      </c>
      <c r="F19" s="71">
        <v>23.041</v>
      </c>
      <c r="G19" s="71">
        <v>23.041</v>
      </c>
      <c r="H19" s="71">
        <v>23.041</v>
      </c>
      <c r="I19" s="71">
        <v>23.041</v>
      </c>
      <c r="J19" s="71">
        <v>23.041</v>
      </c>
      <c r="K19" s="71">
        <v>23.041</v>
      </c>
      <c r="L19" s="71">
        <v>23.041</v>
      </c>
      <c r="M19" s="71">
        <v>23.041</v>
      </c>
      <c r="N19" s="71">
        <v>23.041</v>
      </c>
      <c r="O19" s="71">
        <v>23.041</v>
      </c>
      <c r="P19" s="85">
        <v>23.041</v>
      </c>
    </row>
    <row r="20" spans="1:16" ht="16.5">
      <c r="A20" s="84" t="s">
        <v>120</v>
      </c>
      <c r="B20" s="71">
        <v>6.5960000000000001</v>
      </c>
      <c r="C20" s="71">
        <v>9.4499999999999993</v>
      </c>
      <c r="D20" s="71">
        <v>6.5960000000000001</v>
      </c>
      <c r="E20" s="71">
        <v>6.5960000000000001</v>
      </c>
      <c r="F20" s="71">
        <v>6.5960000000000001</v>
      </c>
      <c r="G20" s="71">
        <v>6.5960000000000001</v>
      </c>
      <c r="H20" s="71">
        <v>6.5960000000000001</v>
      </c>
      <c r="I20" s="71">
        <v>9.2439999999999998</v>
      </c>
      <c r="J20" s="71">
        <v>6.5960000000000001</v>
      </c>
      <c r="K20" s="71">
        <v>6.5960000000000001</v>
      </c>
      <c r="L20" s="71">
        <v>6.5960000000000001</v>
      </c>
      <c r="M20" s="71">
        <v>6.5960000000000001</v>
      </c>
      <c r="N20" s="71">
        <v>6.5960000000000001</v>
      </c>
      <c r="O20" s="71">
        <v>6.5960000000000001</v>
      </c>
      <c r="P20" s="85">
        <v>8.3952000000000009</v>
      </c>
    </row>
    <row r="21" spans="1:16" ht="16.5">
      <c r="A21" s="86" t="s">
        <v>127</v>
      </c>
      <c r="B21" s="87">
        <f>B19-B20</f>
        <v>16.445</v>
      </c>
      <c r="C21" s="87">
        <f t="shared" ref="C21:P21" si="0">C19-C20</f>
        <v>9.2970000000000006</v>
      </c>
      <c r="D21" s="87">
        <f t="shared" si="0"/>
        <v>16.445</v>
      </c>
      <c r="E21" s="87">
        <f t="shared" si="0"/>
        <v>16.445</v>
      </c>
      <c r="F21" s="87">
        <f t="shared" si="0"/>
        <v>16.445</v>
      </c>
      <c r="G21" s="87">
        <f t="shared" si="0"/>
        <v>16.445</v>
      </c>
      <c r="H21" s="87">
        <f t="shared" si="0"/>
        <v>16.445</v>
      </c>
      <c r="I21" s="87">
        <f t="shared" si="0"/>
        <v>13.797000000000001</v>
      </c>
      <c r="J21" s="87">
        <f t="shared" si="0"/>
        <v>16.445</v>
      </c>
      <c r="K21" s="87">
        <f t="shared" si="0"/>
        <v>16.445</v>
      </c>
      <c r="L21" s="87">
        <f t="shared" si="0"/>
        <v>16.445</v>
      </c>
      <c r="M21" s="87">
        <f t="shared" si="0"/>
        <v>16.445</v>
      </c>
      <c r="N21" s="87">
        <f t="shared" si="0"/>
        <v>16.445</v>
      </c>
      <c r="O21" s="87">
        <f t="shared" si="0"/>
        <v>16.445</v>
      </c>
      <c r="P21" s="88">
        <f t="shared" si="0"/>
        <v>14.645799999999999</v>
      </c>
    </row>
    <row r="26" spans="1:16" ht="16.5">
      <c r="A26" s="89"/>
      <c r="B26" s="90" t="s">
        <v>77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2"/>
    </row>
    <row r="27" spans="1:16">
      <c r="A27" s="75"/>
      <c r="B27" s="526" t="s">
        <v>74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76"/>
    </row>
    <row r="28" spans="1:16">
      <c r="A28" s="75"/>
      <c r="B28" s="527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76"/>
    </row>
    <row r="29" spans="1:16" ht="16.5">
      <c r="A29" s="77" t="s">
        <v>82</v>
      </c>
      <c r="B29" s="21" t="s">
        <v>100</v>
      </c>
      <c r="C29" s="22" t="s">
        <v>1</v>
      </c>
      <c r="D29" s="21" t="s">
        <v>142</v>
      </c>
      <c r="E29" s="21" t="s">
        <v>143</v>
      </c>
      <c r="F29" s="21" t="s">
        <v>144</v>
      </c>
      <c r="G29" s="21" t="s">
        <v>145</v>
      </c>
      <c r="H29" s="21" t="s">
        <v>148</v>
      </c>
      <c r="I29" s="21" t="s">
        <v>146</v>
      </c>
      <c r="J29" s="21" t="s">
        <v>147</v>
      </c>
      <c r="K29" s="21" t="s">
        <v>149</v>
      </c>
      <c r="L29" s="21" t="s">
        <v>150</v>
      </c>
      <c r="M29" s="21" t="s">
        <v>153</v>
      </c>
      <c r="N29" s="21" t="s">
        <v>151</v>
      </c>
      <c r="O29" s="21" t="s">
        <v>152</v>
      </c>
      <c r="P29" s="78" t="s">
        <v>154</v>
      </c>
    </row>
    <row r="30" spans="1:16" ht="16.5">
      <c r="A30" s="79"/>
      <c r="B30" s="528" t="s">
        <v>27</v>
      </c>
      <c r="C30" s="27" t="s">
        <v>66</v>
      </c>
      <c r="D30" s="522" t="s">
        <v>41</v>
      </c>
      <c r="E30" s="522" t="s">
        <v>23</v>
      </c>
      <c r="F30" s="522" t="s">
        <v>27</v>
      </c>
      <c r="G30" s="522" t="s">
        <v>19</v>
      </c>
      <c r="H30" s="522" t="s">
        <v>23</v>
      </c>
      <c r="I30" s="522" t="s">
        <v>37</v>
      </c>
      <c r="J30" s="522" t="s">
        <v>45</v>
      </c>
      <c r="K30" s="519" t="s">
        <v>37</v>
      </c>
      <c r="L30" s="519" t="s">
        <v>21</v>
      </c>
      <c r="M30" s="519" t="s">
        <v>23</v>
      </c>
      <c r="N30" s="519" t="s">
        <v>19</v>
      </c>
      <c r="O30" s="519" t="s">
        <v>41</v>
      </c>
      <c r="P30" s="519" t="s">
        <v>37</v>
      </c>
    </row>
    <row r="31" spans="1:16" ht="16.5">
      <c r="A31" s="79" t="s">
        <v>123</v>
      </c>
      <c r="B31" s="529"/>
      <c r="C31" s="26" t="s">
        <v>107</v>
      </c>
      <c r="D31" s="523"/>
      <c r="E31" s="523"/>
      <c r="F31" s="523"/>
      <c r="G31" s="523"/>
      <c r="H31" s="523"/>
      <c r="I31" s="523"/>
      <c r="J31" s="523"/>
      <c r="K31" s="520"/>
      <c r="L31" s="520"/>
      <c r="M31" s="520"/>
      <c r="N31" s="520"/>
      <c r="O31" s="520"/>
      <c r="P31" s="520"/>
    </row>
    <row r="32" spans="1:16" ht="16.5">
      <c r="A32" s="79"/>
      <c r="B32" s="529"/>
      <c r="C32" s="20" t="s">
        <v>30</v>
      </c>
      <c r="D32" s="523"/>
      <c r="E32" s="523"/>
      <c r="F32" s="523"/>
      <c r="G32" s="523"/>
      <c r="H32" s="523"/>
      <c r="I32" s="523"/>
      <c r="J32" s="523"/>
      <c r="K32" s="520"/>
      <c r="L32" s="520"/>
      <c r="M32" s="520"/>
      <c r="N32" s="520"/>
      <c r="O32" s="520"/>
      <c r="P32" s="520"/>
    </row>
    <row r="33" spans="1:16" ht="16.5">
      <c r="A33" s="79" t="s">
        <v>81</v>
      </c>
      <c r="B33" s="529"/>
      <c r="C33" s="23" t="s">
        <v>108</v>
      </c>
      <c r="D33" s="523"/>
      <c r="E33" s="523"/>
      <c r="F33" s="523"/>
      <c r="G33" s="523"/>
      <c r="H33" s="523"/>
      <c r="I33" s="523"/>
      <c r="J33" s="523"/>
      <c r="K33" s="520"/>
      <c r="L33" s="520"/>
      <c r="M33" s="520"/>
      <c r="N33" s="520"/>
      <c r="O33" s="520"/>
      <c r="P33" s="520"/>
    </row>
    <row r="34" spans="1:16" ht="16.5">
      <c r="A34" s="79"/>
      <c r="B34" s="530"/>
      <c r="C34" s="27" t="s">
        <v>58</v>
      </c>
      <c r="D34" s="524"/>
      <c r="E34" s="524"/>
      <c r="F34" s="524"/>
      <c r="G34" s="524"/>
      <c r="H34" s="524"/>
      <c r="I34" s="524"/>
      <c r="J34" s="524"/>
      <c r="K34" s="521"/>
      <c r="L34" s="521"/>
      <c r="M34" s="521"/>
      <c r="N34" s="521"/>
      <c r="O34" s="521"/>
      <c r="P34" s="521"/>
    </row>
    <row r="35" spans="1:16" ht="16.5">
      <c r="A35" s="80" t="s">
        <v>113</v>
      </c>
      <c r="B35" s="24" t="s">
        <v>105</v>
      </c>
      <c r="C35" s="24" t="s">
        <v>137</v>
      </c>
      <c r="D35" s="25" t="s">
        <v>155</v>
      </c>
      <c r="E35" s="25" t="s">
        <v>157</v>
      </c>
      <c r="F35" s="25" t="s">
        <v>158</v>
      </c>
      <c r="G35" s="25" t="s">
        <v>159</v>
      </c>
      <c r="H35" s="25" t="s">
        <v>166</v>
      </c>
      <c r="I35" s="25" t="s">
        <v>160</v>
      </c>
      <c r="J35" s="25" t="s">
        <v>156</v>
      </c>
      <c r="K35" s="25" t="s">
        <v>161</v>
      </c>
      <c r="L35" s="25" t="s">
        <v>167</v>
      </c>
      <c r="M35" s="25" t="s">
        <v>164</v>
      </c>
      <c r="N35" s="25" t="s">
        <v>162</v>
      </c>
      <c r="O35" s="25" t="s">
        <v>165</v>
      </c>
      <c r="P35" s="81" t="s">
        <v>163</v>
      </c>
    </row>
    <row r="36" spans="1:16" ht="16.5">
      <c r="A36" s="80"/>
      <c r="B36" s="531" t="s">
        <v>68</v>
      </c>
      <c r="C36" s="531" t="s">
        <v>35</v>
      </c>
      <c r="D36" s="526" t="s">
        <v>68</v>
      </c>
      <c r="E36" s="526" t="s">
        <v>44</v>
      </c>
      <c r="F36" s="526" t="s">
        <v>68</v>
      </c>
      <c r="G36" s="526" t="s">
        <v>33</v>
      </c>
      <c r="H36" s="526" t="s">
        <v>49</v>
      </c>
      <c r="I36" s="19" t="s">
        <v>18</v>
      </c>
      <c r="J36" s="526" t="s">
        <v>49</v>
      </c>
      <c r="K36" s="518" t="s">
        <v>33</v>
      </c>
      <c r="L36" s="518" t="s">
        <v>69</v>
      </c>
      <c r="M36" s="518" t="s">
        <v>20</v>
      </c>
      <c r="N36" s="518" t="s">
        <v>33</v>
      </c>
      <c r="O36" s="518" t="s">
        <v>33</v>
      </c>
      <c r="P36" s="525" t="s">
        <v>22</v>
      </c>
    </row>
    <row r="37" spans="1:16" ht="16.5">
      <c r="A37" s="80" t="s">
        <v>110</v>
      </c>
      <c r="B37" s="531"/>
      <c r="C37" s="531"/>
      <c r="D37" s="526"/>
      <c r="E37" s="526"/>
      <c r="F37" s="526"/>
      <c r="G37" s="526"/>
      <c r="H37" s="526"/>
      <c r="I37" s="18" t="s">
        <v>168</v>
      </c>
      <c r="J37" s="526"/>
      <c r="K37" s="518"/>
      <c r="L37" s="518"/>
      <c r="M37" s="518"/>
      <c r="N37" s="518"/>
      <c r="O37" s="518"/>
      <c r="P37" s="525"/>
    </row>
    <row r="38" spans="1:16" ht="16.5">
      <c r="A38" s="80"/>
      <c r="B38" s="531"/>
      <c r="C38" s="531"/>
      <c r="D38" s="526"/>
      <c r="E38" s="526"/>
      <c r="F38" s="526"/>
      <c r="G38" s="526"/>
      <c r="H38" s="526"/>
      <c r="I38" s="19" t="s">
        <v>55</v>
      </c>
      <c r="J38" s="526"/>
      <c r="K38" s="518"/>
      <c r="L38" s="518"/>
      <c r="M38" s="518"/>
      <c r="N38" s="518"/>
      <c r="O38" s="518"/>
      <c r="P38" s="82" t="s">
        <v>169</v>
      </c>
    </row>
    <row r="39" spans="1:16" ht="16.5">
      <c r="A39" s="80" t="s">
        <v>3</v>
      </c>
      <c r="B39" s="531"/>
      <c r="C39" s="531"/>
      <c r="D39" s="526"/>
      <c r="E39" s="526"/>
      <c r="F39" s="526"/>
      <c r="G39" s="526"/>
      <c r="H39" s="526"/>
      <c r="I39" s="18" t="s">
        <v>170</v>
      </c>
      <c r="J39" s="526"/>
      <c r="K39" s="518"/>
      <c r="L39" s="518"/>
      <c r="M39" s="518"/>
      <c r="N39" s="518"/>
      <c r="O39" s="518"/>
      <c r="P39" s="83"/>
    </row>
    <row r="40" spans="1:16" ht="16.5">
      <c r="A40" s="80"/>
      <c r="B40" s="531"/>
      <c r="C40" s="531"/>
      <c r="D40" s="526"/>
      <c r="E40" s="526"/>
      <c r="F40" s="526"/>
      <c r="G40" s="526"/>
      <c r="H40" s="526"/>
      <c r="I40" s="19" t="s">
        <v>65</v>
      </c>
      <c r="J40" s="526"/>
      <c r="K40" s="518"/>
      <c r="L40" s="518"/>
      <c r="M40" s="518"/>
      <c r="N40" s="518"/>
      <c r="O40" s="518"/>
      <c r="P40" s="83"/>
    </row>
    <row r="41" spans="1:16" ht="16.5">
      <c r="A41" s="80" t="s">
        <v>26</v>
      </c>
      <c r="B41" s="17" t="s">
        <v>109</v>
      </c>
      <c r="C41" s="17" t="s">
        <v>139</v>
      </c>
      <c r="D41" s="18" t="s">
        <v>175</v>
      </c>
      <c r="E41" s="18" t="s">
        <v>173</v>
      </c>
      <c r="F41" s="18" t="s">
        <v>181</v>
      </c>
      <c r="G41" s="18" t="s">
        <v>179</v>
      </c>
      <c r="H41" s="18" t="s">
        <v>180</v>
      </c>
      <c r="I41" s="18" t="s">
        <v>182</v>
      </c>
      <c r="J41" s="18" t="s">
        <v>172</v>
      </c>
      <c r="K41" s="18" t="s">
        <v>176</v>
      </c>
      <c r="L41" s="18" t="s">
        <v>178</v>
      </c>
      <c r="M41" s="18" t="s">
        <v>171</v>
      </c>
      <c r="N41" s="18" t="s">
        <v>174</v>
      </c>
      <c r="O41" s="18" t="s">
        <v>177</v>
      </c>
      <c r="P41" s="83"/>
    </row>
    <row r="42" spans="1:16" ht="16.5">
      <c r="A42" s="84" t="s">
        <v>135</v>
      </c>
      <c r="B42" s="71" t="s">
        <v>111</v>
      </c>
      <c r="C42" s="71">
        <v>5674</v>
      </c>
      <c r="D42" s="71">
        <v>5667</v>
      </c>
      <c r="E42" s="71">
        <v>5659</v>
      </c>
      <c r="F42" s="71">
        <v>5668</v>
      </c>
      <c r="G42" s="71">
        <v>5668</v>
      </c>
      <c r="H42" s="71">
        <v>5667</v>
      </c>
      <c r="I42" s="71">
        <v>5667</v>
      </c>
      <c r="J42" s="71">
        <v>5664</v>
      </c>
      <c r="K42" s="71">
        <v>5664</v>
      </c>
      <c r="L42" s="71">
        <v>5675</v>
      </c>
      <c r="M42" s="71">
        <v>5665</v>
      </c>
      <c r="N42" s="71">
        <v>5668</v>
      </c>
      <c r="O42" s="71">
        <v>5667</v>
      </c>
      <c r="P42" s="85">
        <v>5620</v>
      </c>
    </row>
    <row r="43" spans="1:16" ht="16.5">
      <c r="A43" s="84" t="s">
        <v>117</v>
      </c>
      <c r="B43" s="71">
        <v>23.041</v>
      </c>
      <c r="C43" s="71">
        <v>18.747</v>
      </c>
      <c r="D43" s="71">
        <v>23.041</v>
      </c>
      <c r="E43" s="71">
        <v>23.041</v>
      </c>
      <c r="F43" s="71">
        <v>23.041</v>
      </c>
      <c r="G43" s="71">
        <v>23.041</v>
      </c>
      <c r="H43" s="71">
        <v>23.041</v>
      </c>
      <c r="I43" s="71">
        <v>23.041</v>
      </c>
      <c r="J43" s="71">
        <v>23.041</v>
      </c>
      <c r="K43" s="71">
        <v>23.041</v>
      </c>
      <c r="L43" s="71">
        <v>23.041</v>
      </c>
      <c r="M43" s="71">
        <v>23.041</v>
      </c>
      <c r="N43" s="71">
        <v>23.041</v>
      </c>
      <c r="O43" s="71">
        <v>23.041</v>
      </c>
      <c r="P43" s="85">
        <v>23.041</v>
      </c>
    </row>
    <row r="44" spans="1:16" ht="16.5">
      <c r="A44" s="84" t="s">
        <v>120</v>
      </c>
      <c r="B44" s="71">
        <v>6.5960000000000001</v>
      </c>
      <c r="C44" s="71">
        <v>9.4499999999999993</v>
      </c>
      <c r="D44" s="71">
        <v>6.5960000000000001</v>
      </c>
      <c r="E44" s="71">
        <v>6.5960000000000001</v>
      </c>
      <c r="F44" s="71">
        <v>6.5960000000000001</v>
      </c>
      <c r="G44" s="71">
        <v>6.5960000000000001</v>
      </c>
      <c r="H44" s="71">
        <v>6.5960000000000001</v>
      </c>
      <c r="I44" s="71">
        <v>9.2439999999999998</v>
      </c>
      <c r="J44" s="71">
        <v>6.5960000000000001</v>
      </c>
      <c r="K44" s="71">
        <v>6.5960000000000001</v>
      </c>
      <c r="L44" s="71">
        <v>6.5960000000000001</v>
      </c>
      <c r="M44" s="71">
        <v>6.5960000000000001</v>
      </c>
      <c r="N44" s="71">
        <v>6.5960000000000001</v>
      </c>
      <c r="O44" s="71">
        <v>6.5960000000000001</v>
      </c>
      <c r="P44" s="85">
        <v>3.56</v>
      </c>
    </row>
    <row r="45" spans="1:16" ht="16.5">
      <c r="A45" s="86" t="s">
        <v>127</v>
      </c>
      <c r="B45" s="87">
        <f>B43-B44</f>
        <v>16.445</v>
      </c>
      <c r="C45" s="87">
        <f t="shared" ref="C45:P45" si="1">C43-C44</f>
        <v>9.2970000000000006</v>
      </c>
      <c r="D45" s="87">
        <f t="shared" si="1"/>
        <v>16.445</v>
      </c>
      <c r="E45" s="87">
        <f t="shared" si="1"/>
        <v>16.445</v>
      </c>
      <c r="F45" s="87">
        <f t="shared" si="1"/>
        <v>16.445</v>
      </c>
      <c r="G45" s="87">
        <f t="shared" si="1"/>
        <v>16.445</v>
      </c>
      <c r="H45" s="87">
        <f t="shared" si="1"/>
        <v>16.445</v>
      </c>
      <c r="I45" s="87">
        <f t="shared" si="1"/>
        <v>13.797000000000001</v>
      </c>
      <c r="J45" s="87">
        <f t="shared" si="1"/>
        <v>16.445</v>
      </c>
      <c r="K45" s="87">
        <f t="shared" si="1"/>
        <v>16.445</v>
      </c>
      <c r="L45" s="87">
        <f t="shared" si="1"/>
        <v>16.445</v>
      </c>
      <c r="M45" s="87">
        <f t="shared" si="1"/>
        <v>16.445</v>
      </c>
      <c r="N45" s="87">
        <f t="shared" si="1"/>
        <v>16.445</v>
      </c>
      <c r="O45" s="87">
        <f t="shared" si="1"/>
        <v>16.445</v>
      </c>
      <c r="P45" s="88">
        <f t="shared" si="1"/>
        <v>19.481000000000002</v>
      </c>
    </row>
    <row r="47" spans="1:16" ht="16.5">
      <c r="A47" s="95" t="s">
        <v>116</v>
      </c>
      <c r="B47" s="98">
        <f>B43*A48</f>
        <v>20.736900000000002</v>
      </c>
      <c r="C47" s="99">
        <f>C43*A48</f>
        <v>16.872299999999999</v>
      </c>
      <c r="D47" s="99">
        <f>D43*A48</f>
        <v>20.736900000000002</v>
      </c>
      <c r="E47" s="99">
        <f>E43*A48</f>
        <v>20.736900000000002</v>
      </c>
      <c r="F47" s="99">
        <f>F43*A48</f>
        <v>20.736900000000002</v>
      </c>
      <c r="G47" s="99">
        <f>G43*A48</f>
        <v>20.736900000000002</v>
      </c>
      <c r="H47" s="99">
        <f>H43*A48</f>
        <v>20.736900000000002</v>
      </c>
      <c r="I47" s="99">
        <f>I43*A48</f>
        <v>20.736900000000002</v>
      </c>
      <c r="J47" s="99">
        <f>J43*A48</f>
        <v>20.736900000000002</v>
      </c>
      <c r="K47" s="99">
        <f>K43*A48</f>
        <v>20.736900000000002</v>
      </c>
      <c r="L47" s="99">
        <f>L43*A48</f>
        <v>20.736900000000002</v>
      </c>
      <c r="M47" s="99">
        <f>M43*A48</f>
        <v>20.736900000000002</v>
      </c>
      <c r="N47" s="99">
        <f>N43*A48</f>
        <v>20.736900000000002</v>
      </c>
      <c r="O47" s="99">
        <f>O43*A48</f>
        <v>20.736900000000002</v>
      </c>
      <c r="P47" s="104">
        <f>P43*A48</f>
        <v>20.736900000000002</v>
      </c>
    </row>
    <row r="48" spans="1:16" ht="16.5">
      <c r="A48" s="102">
        <v>0.9</v>
      </c>
      <c r="B48" s="100">
        <f t="shared" ref="B48:P48" si="2">B44</f>
        <v>6.5960000000000001</v>
      </c>
      <c r="C48" s="101">
        <f t="shared" si="2"/>
        <v>9.4499999999999993</v>
      </c>
      <c r="D48" s="101">
        <f t="shared" si="2"/>
        <v>6.5960000000000001</v>
      </c>
      <c r="E48" s="101">
        <f t="shared" si="2"/>
        <v>6.5960000000000001</v>
      </c>
      <c r="F48" s="101">
        <f t="shared" si="2"/>
        <v>6.5960000000000001</v>
      </c>
      <c r="G48" s="101">
        <f t="shared" si="2"/>
        <v>6.5960000000000001</v>
      </c>
      <c r="H48" s="101">
        <f t="shared" si="2"/>
        <v>6.5960000000000001</v>
      </c>
      <c r="I48" s="101">
        <f t="shared" si="2"/>
        <v>9.2439999999999998</v>
      </c>
      <c r="J48" s="101">
        <f t="shared" si="2"/>
        <v>6.5960000000000001</v>
      </c>
      <c r="K48" s="101">
        <f t="shared" si="2"/>
        <v>6.5960000000000001</v>
      </c>
      <c r="L48" s="101">
        <f t="shared" si="2"/>
        <v>6.5960000000000001</v>
      </c>
      <c r="M48" s="101">
        <f t="shared" si="2"/>
        <v>6.5960000000000001</v>
      </c>
      <c r="N48" s="101">
        <f t="shared" si="2"/>
        <v>6.5960000000000001</v>
      </c>
      <c r="O48" s="101">
        <f t="shared" si="2"/>
        <v>6.5960000000000001</v>
      </c>
      <c r="P48" s="109">
        <f t="shared" si="2"/>
        <v>3.56</v>
      </c>
    </row>
    <row r="49" spans="1:16" ht="16.5">
      <c r="A49" s="96"/>
      <c r="B49" s="97">
        <f>B47-B48</f>
        <v>14.140900000000002</v>
      </c>
      <c r="C49" s="110">
        <f>C47-C48</f>
        <v>7.4222999999999999</v>
      </c>
      <c r="D49" s="110">
        <f t="shared" ref="D49:P49" si="3">D47-D48</f>
        <v>14.140900000000002</v>
      </c>
      <c r="E49" s="110">
        <f t="shared" si="3"/>
        <v>14.140900000000002</v>
      </c>
      <c r="F49" s="110">
        <f t="shared" si="3"/>
        <v>14.140900000000002</v>
      </c>
      <c r="G49" s="110">
        <f t="shared" si="3"/>
        <v>14.140900000000002</v>
      </c>
      <c r="H49" s="110">
        <f t="shared" si="3"/>
        <v>14.140900000000002</v>
      </c>
      <c r="I49" s="110">
        <f t="shared" si="3"/>
        <v>11.492900000000002</v>
      </c>
      <c r="J49" s="110">
        <f t="shared" si="3"/>
        <v>14.140900000000002</v>
      </c>
      <c r="K49" s="110">
        <f t="shared" si="3"/>
        <v>14.140900000000002</v>
      </c>
      <c r="L49" s="110">
        <f t="shared" si="3"/>
        <v>14.140900000000002</v>
      </c>
      <c r="M49" s="110">
        <f t="shared" si="3"/>
        <v>14.140900000000002</v>
      </c>
      <c r="N49" s="110">
        <f t="shared" si="3"/>
        <v>14.140900000000002</v>
      </c>
      <c r="O49" s="110">
        <f t="shared" si="3"/>
        <v>14.140900000000002</v>
      </c>
      <c r="P49" s="111">
        <f t="shared" si="3"/>
        <v>17.176900000000003</v>
      </c>
    </row>
    <row r="50" spans="1:16" ht="16.5">
      <c r="A50" s="93" t="s">
        <v>116</v>
      </c>
      <c r="B50" s="112">
        <f>B43*A51</f>
        <v>18.4328</v>
      </c>
      <c r="C50" s="113">
        <f>C43*A51</f>
        <v>14.9976</v>
      </c>
      <c r="D50" s="113">
        <f>D43*A51</f>
        <v>18.4328</v>
      </c>
      <c r="E50" s="113">
        <f>E43*A51</f>
        <v>18.4328</v>
      </c>
      <c r="F50" s="113">
        <f>F43*A51</f>
        <v>18.4328</v>
      </c>
      <c r="G50" s="113">
        <f>G43*A51</f>
        <v>18.4328</v>
      </c>
      <c r="H50" s="113">
        <f>H43*A51</f>
        <v>18.4328</v>
      </c>
      <c r="I50" s="113">
        <f>I43*A51</f>
        <v>18.4328</v>
      </c>
      <c r="J50" s="113">
        <f>J43*A51</f>
        <v>18.4328</v>
      </c>
      <c r="K50" s="113">
        <f>K43*A51</f>
        <v>18.4328</v>
      </c>
      <c r="L50" s="113">
        <f>L43*A51</f>
        <v>18.4328</v>
      </c>
      <c r="M50" s="113">
        <f>M43*A51</f>
        <v>18.4328</v>
      </c>
      <c r="N50" s="113">
        <f>N43*A51</f>
        <v>18.4328</v>
      </c>
      <c r="O50" s="113">
        <f>O43*A51</f>
        <v>18.4328</v>
      </c>
      <c r="P50" s="116">
        <f>P43*A51</f>
        <v>18.4328</v>
      </c>
    </row>
    <row r="51" spans="1:16" ht="16.5">
      <c r="A51" s="103">
        <v>0.8</v>
      </c>
      <c r="B51" s="105">
        <f t="shared" ref="B51:P51" si="4">B44</f>
        <v>6.5960000000000001</v>
      </c>
      <c r="C51" s="106">
        <f t="shared" si="4"/>
        <v>9.4499999999999993</v>
      </c>
      <c r="D51" s="106">
        <f t="shared" si="4"/>
        <v>6.5960000000000001</v>
      </c>
      <c r="E51" s="106">
        <f t="shared" si="4"/>
        <v>6.5960000000000001</v>
      </c>
      <c r="F51" s="106">
        <f t="shared" si="4"/>
        <v>6.5960000000000001</v>
      </c>
      <c r="G51" s="106">
        <f t="shared" si="4"/>
        <v>6.5960000000000001</v>
      </c>
      <c r="H51" s="106">
        <f t="shared" si="4"/>
        <v>6.5960000000000001</v>
      </c>
      <c r="I51" s="106">
        <f t="shared" si="4"/>
        <v>9.2439999999999998</v>
      </c>
      <c r="J51" s="106">
        <f t="shared" si="4"/>
        <v>6.5960000000000001</v>
      </c>
      <c r="K51" s="106">
        <f t="shared" si="4"/>
        <v>6.5960000000000001</v>
      </c>
      <c r="L51" s="106">
        <f t="shared" si="4"/>
        <v>6.5960000000000001</v>
      </c>
      <c r="M51" s="106">
        <f t="shared" si="4"/>
        <v>6.5960000000000001</v>
      </c>
      <c r="N51" s="106">
        <f t="shared" si="4"/>
        <v>6.5960000000000001</v>
      </c>
      <c r="O51" s="106">
        <f t="shared" si="4"/>
        <v>6.5960000000000001</v>
      </c>
      <c r="P51" s="117">
        <f t="shared" si="4"/>
        <v>3.56</v>
      </c>
    </row>
    <row r="52" spans="1:16" ht="16.5">
      <c r="A52" s="94"/>
      <c r="B52" s="114">
        <f>B50-B51</f>
        <v>11.8368</v>
      </c>
      <c r="C52" s="115">
        <f>C50-C51</f>
        <v>5.547600000000001</v>
      </c>
      <c r="D52" s="115">
        <f t="shared" ref="D52:P52" si="5">D50-D51</f>
        <v>11.8368</v>
      </c>
      <c r="E52" s="115">
        <f t="shared" si="5"/>
        <v>11.8368</v>
      </c>
      <c r="F52" s="115">
        <f t="shared" si="5"/>
        <v>11.8368</v>
      </c>
      <c r="G52" s="115">
        <f t="shared" si="5"/>
        <v>11.8368</v>
      </c>
      <c r="H52" s="115">
        <f t="shared" si="5"/>
        <v>11.8368</v>
      </c>
      <c r="I52" s="115">
        <f t="shared" si="5"/>
        <v>9.1888000000000005</v>
      </c>
      <c r="J52" s="115">
        <f t="shared" si="5"/>
        <v>11.8368</v>
      </c>
      <c r="K52" s="115">
        <f t="shared" si="5"/>
        <v>11.8368</v>
      </c>
      <c r="L52" s="115">
        <f t="shared" si="5"/>
        <v>11.8368</v>
      </c>
      <c r="M52" s="115">
        <f t="shared" si="5"/>
        <v>11.8368</v>
      </c>
      <c r="N52" s="115">
        <f t="shared" si="5"/>
        <v>11.8368</v>
      </c>
      <c r="O52" s="115">
        <f t="shared" si="5"/>
        <v>11.8368</v>
      </c>
      <c r="P52" s="118">
        <f t="shared" si="5"/>
        <v>14.8728</v>
      </c>
    </row>
    <row r="53" spans="1:16" ht="16.5">
      <c r="A53" s="95" t="s">
        <v>116</v>
      </c>
      <c r="B53" s="98">
        <f>B43*A54</f>
        <v>16.128699999999998</v>
      </c>
      <c r="C53" s="99">
        <f>C43*A54</f>
        <v>13.1229</v>
      </c>
      <c r="D53" s="99">
        <f>D43*A54</f>
        <v>16.128699999999998</v>
      </c>
      <c r="E53" s="99">
        <f>E43*A54</f>
        <v>16.128699999999998</v>
      </c>
      <c r="F53" s="99">
        <f>F43*A54</f>
        <v>16.128699999999998</v>
      </c>
      <c r="G53" s="99">
        <f>G43*A54</f>
        <v>16.128699999999998</v>
      </c>
      <c r="H53" s="99">
        <f>H43*A54</f>
        <v>16.128699999999998</v>
      </c>
      <c r="I53" s="99">
        <f>I43*A54</f>
        <v>16.128699999999998</v>
      </c>
      <c r="J53" s="99">
        <f>J43*A54</f>
        <v>16.128699999999998</v>
      </c>
      <c r="K53" s="99">
        <f>K43*A54</f>
        <v>16.128699999999998</v>
      </c>
      <c r="L53" s="99">
        <f>L43*A54</f>
        <v>16.128699999999998</v>
      </c>
      <c r="M53" s="99">
        <f>M43*A54</f>
        <v>16.128699999999998</v>
      </c>
      <c r="N53" s="99">
        <f>N43*A54</f>
        <v>16.128699999999998</v>
      </c>
      <c r="O53" s="99">
        <f>O43*A54</f>
        <v>16.128699999999998</v>
      </c>
      <c r="P53" s="104">
        <f>P43*A54</f>
        <v>16.128699999999998</v>
      </c>
    </row>
    <row r="54" spans="1:16" ht="16.5">
      <c r="A54" s="102">
        <v>0.7</v>
      </c>
      <c r="B54" s="100">
        <f t="shared" ref="B54:P54" si="6">B44</f>
        <v>6.5960000000000001</v>
      </c>
      <c r="C54" s="101">
        <f t="shared" si="6"/>
        <v>9.4499999999999993</v>
      </c>
      <c r="D54" s="101">
        <f t="shared" si="6"/>
        <v>6.5960000000000001</v>
      </c>
      <c r="E54" s="101">
        <f t="shared" si="6"/>
        <v>6.5960000000000001</v>
      </c>
      <c r="F54" s="101">
        <f t="shared" si="6"/>
        <v>6.5960000000000001</v>
      </c>
      <c r="G54" s="101">
        <f t="shared" si="6"/>
        <v>6.5960000000000001</v>
      </c>
      <c r="H54" s="101">
        <f t="shared" si="6"/>
        <v>6.5960000000000001</v>
      </c>
      <c r="I54" s="101">
        <f t="shared" si="6"/>
        <v>9.2439999999999998</v>
      </c>
      <c r="J54" s="101">
        <f t="shared" si="6"/>
        <v>6.5960000000000001</v>
      </c>
      <c r="K54" s="101">
        <f t="shared" si="6"/>
        <v>6.5960000000000001</v>
      </c>
      <c r="L54" s="101">
        <f t="shared" si="6"/>
        <v>6.5960000000000001</v>
      </c>
      <c r="M54" s="101">
        <f t="shared" si="6"/>
        <v>6.5960000000000001</v>
      </c>
      <c r="N54" s="101">
        <f t="shared" si="6"/>
        <v>6.5960000000000001</v>
      </c>
      <c r="O54" s="101">
        <f t="shared" si="6"/>
        <v>6.5960000000000001</v>
      </c>
      <c r="P54" s="109">
        <f t="shared" si="6"/>
        <v>3.56</v>
      </c>
    </row>
    <row r="55" spans="1:16" ht="16.5">
      <c r="A55" s="96"/>
      <c r="B55" s="97">
        <f>B53-B54</f>
        <v>9.5326999999999984</v>
      </c>
      <c r="C55" s="110">
        <f>C53-C54</f>
        <v>3.6729000000000003</v>
      </c>
      <c r="D55" s="110">
        <f t="shared" ref="D55:P55" si="7">D53-D54</f>
        <v>9.5326999999999984</v>
      </c>
      <c r="E55" s="110">
        <f t="shared" si="7"/>
        <v>9.5326999999999984</v>
      </c>
      <c r="F55" s="110">
        <f t="shared" si="7"/>
        <v>9.5326999999999984</v>
      </c>
      <c r="G55" s="110">
        <f t="shared" si="7"/>
        <v>9.5326999999999984</v>
      </c>
      <c r="H55" s="110">
        <f t="shared" si="7"/>
        <v>9.5326999999999984</v>
      </c>
      <c r="I55" s="110">
        <f t="shared" si="7"/>
        <v>6.8846999999999987</v>
      </c>
      <c r="J55" s="110">
        <f t="shared" si="7"/>
        <v>9.5326999999999984</v>
      </c>
      <c r="K55" s="110">
        <f t="shared" si="7"/>
        <v>9.5326999999999984</v>
      </c>
      <c r="L55" s="110">
        <f t="shared" si="7"/>
        <v>9.5326999999999984</v>
      </c>
      <c r="M55" s="110">
        <f t="shared" si="7"/>
        <v>9.5326999999999984</v>
      </c>
      <c r="N55" s="110">
        <f t="shared" si="7"/>
        <v>9.5326999999999984</v>
      </c>
      <c r="O55" s="110">
        <f t="shared" si="7"/>
        <v>9.5326999999999984</v>
      </c>
      <c r="P55" s="111">
        <f t="shared" si="7"/>
        <v>12.568699999999998</v>
      </c>
    </row>
    <row r="56" spans="1:16" ht="16.5">
      <c r="A56" s="93" t="s">
        <v>116</v>
      </c>
      <c r="B56" s="112">
        <f>B43*A57</f>
        <v>13.8246</v>
      </c>
      <c r="C56" s="113">
        <f>C43*A57</f>
        <v>11.248199999999999</v>
      </c>
      <c r="D56" s="113">
        <f>D43*A57</f>
        <v>13.8246</v>
      </c>
      <c r="E56" s="113">
        <f>E43*A57</f>
        <v>13.8246</v>
      </c>
      <c r="F56" s="113">
        <f>F43*A57</f>
        <v>13.8246</v>
      </c>
      <c r="G56" s="113">
        <f>G43*A57</f>
        <v>13.8246</v>
      </c>
      <c r="H56" s="113">
        <f>H43*A57</f>
        <v>13.8246</v>
      </c>
      <c r="I56" s="113">
        <f>I43*A57</f>
        <v>13.8246</v>
      </c>
      <c r="J56" s="113">
        <f>J43*A57</f>
        <v>13.8246</v>
      </c>
      <c r="K56" s="113">
        <f>K43*A57</f>
        <v>13.8246</v>
      </c>
      <c r="L56" s="113">
        <f>L43*A57</f>
        <v>13.8246</v>
      </c>
      <c r="M56" s="113">
        <f>M43*A57</f>
        <v>13.8246</v>
      </c>
      <c r="N56" s="113">
        <f>N43*A57</f>
        <v>13.8246</v>
      </c>
      <c r="O56" s="113">
        <f>O43*A57</f>
        <v>13.8246</v>
      </c>
      <c r="P56" s="116">
        <f>P43*A57</f>
        <v>13.8246</v>
      </c>
    </row>
    <row r="57" spans="1:16" ht="16.5">
      <c r="A57" s="103">
        <v>0.6</v>
      </c>
      <c r="B57" s="105">
        <f t="shared" ref="B57:P57" si="8">B44</f>
        <v>6.5960000000000001</v>
      </c>
      <c r="C57" s="106">
        <f t="shared" si="8"/>
        <v>9.4499999999999993</v>
      </c>
      <c r="D57" s="106">
        <f t="shared" si="8"/>
        <v>6.5960000000000001</v>
      </c>
      <c r="E57" s="106">
        <f t="shared" si="8"/>
        <v>6.5960000000000001</v>
      </c>
      <c r="F57" s="106">
        <f t="shared" si="8"/>
        <v>6.5960000000000001</v>
      </c>
      <c r="G57" s="106">
        <f t="shared" si="8"/>
        <v>6.5960000000000001</v>
      </c>
      <c r="H57" s="106">
        <f t="shared" si="8"/>
        <v>6.5960000000000001</v>
      </c>
      <c r="I57" s="106">
        <f t="shared" si="8"/>
        <v>9.2439999999999998</v>
      </c>
      <c r="J57" s="106">
        <f t="shared" si="8"/>
        <v>6.5960000000000001</v>
      </c>
      <c r="K57" s="106">
        <f t="shared" si="8"/>
        <v>6.5960000000000001</v>
      </c>
      <c r="L57" s="106">
        <f t="shared" si="8"/>
        <v>6.5960000000000001</v>
      </c>
      <c r="M57" s="106">
        <f t="shared" si="8"/>
        <v>6.5960000000000001</v>
      </c>
      <c r="N57" s="106">
        <f t="shared" si="8"/>
        <v>6.5960000000000001</v>
      </c>
      <c r="O57" s="106">
        <f t="shared" si="8"/>
        <v>6.5960000000000001</v>
      </c>
      <c r="P57" s="117">
        <f t="shared" si="8"/>
        <v>3.56</v>
      </c>
    </row>
    <row r="58" spans="1:16" ht="16.5">
      <c r="A58" s="94"/>
      <c r="B58" s="114">
        <f>B56-B57</f>
        <v>7.2286000000000001</v>
      </c>
      <c r="C58" s="115">
        <f>C56-C57</f>
        <v>1.7981999999999996</v>
      </c>
      <c r="D58" s="115">
        <f t="shared" ref="D58:P58" si="9">D56-D57</f>
        <v>7.2286000000000001</v>
      </c>
      <c r="E58" s="115">
        <f t="shared" si="9"/>
        <v>7.2286000000000001</v>
      </c>
      <c r="F58" s="115">
        <f t="shared" si="9"/>
        <v>7.2286000000000001</v>
      </c>
      <c r="G58" s="115">
        <f t="shared" si="9"/>
        <v>7.2286000000000001</v>
      </c>
      <c r="H58" s="115">
        <f t="shared" si="9"/>
        <v>7.2286000000000001</v>
      </c>
      <c r="I58" s="115">
        <f t="shared" si="9"/>
        <v>4.5806000000000004</v>
      </c>
      <c r="J58" s="115">
        <f t="shared" si="9"/>
        <v>7.2286000000000001</v>
      </c>
      <c r="K58" s="115">
        <f t="shared" si="9"/>
        <v>7.2286000000000001</v>
      </c>
      <c r="L58" s="115">
        <f t="shared" si="9"/>
        <v>7.2286000000000001</v>
      </c>
      <c r="M58" s="115">
        <f t="shared" si="9"/>
        <v>7.2286000000000001</v>
      </c>
      <c r="N58" s="115">
        <f t="shared" si="9"/>
        <v>7.2286000000000001</v>
      </c>
      <c r="O58" s="115">
        <f t="shared" si="9"/>
        <v>7.2286000000000001</v>
      </c>
      <c r="P58" s="118">
        <f t="shared" si="9"/>
        <v>10.2646</v>
      </c>
    </row>
    <row r="59" spans="1:16" ht="16.5">
      <c r="A59" s="95" t="s">
        <v>116</v>
      </c>
      <c r="B59" s="98">
        <f>B43*A60</f>
        <v>11.5205</v>
      </c>
      <c r="C59" s="99">
        <f>C43*A60</f>
        <v>9.3734999999999999</v>
      </c>
      <c r="D59" s="99">
        <f>D43*A60</f>
        <v>11.5205</v>
      </c>
      <c r="E59" s="99">
        <f>E43*A60</f>
        <v>11.5205</v>
      </c>
      <c r="F59" s="99">
        <f>F43*A60</f>
        <v>11.5205</v>
      </c>
      <c r="G59" s="99">
        <f>G43*A60</f>
        <v>11.5205</v>
      </c>
      <c r="H59" s="99">
        <f>H43*A60</f>
        <v>11.5205</v>
      </c>
      <c r="I59" s="99">
        <f>I43*A60</f>
        <v>11.5205</v>
      </c>
      <c r="J59" s="99">
        <f>J43*A60</f>
        <v>11.5205</v>
      </c>
      <c r="K59" s="99">
        <f>K43*A60</f>
        <v>11.5205</v>
      </c>
      <c r="L59" s="99">
        <f>L43*A60</f>
        <v>11.5205</v>
      </c>
      <c r="M59" s="99">
        <f>M43*A60</f>
        <v>11.5205</v>
      </c>
      <c r="N59" s="99">
        <f>N43*A60</f>
        <v>11.5205</v>
      </c>
      <c r="O59" s="99">
        <f>O43*A60</f>
        <v>11.5205</v>
      </c>
      <c r="P59" s="104">
        <f>P43*A60</f>
        <v>11.5205</v>
      </c>
    </row>
    <row r="60" spans="1:16" ht="16.5">
      <c r="A60" s="102">
        <v>0.5</v>
      </c>
      <c r="B60" s="100">
        <f t="shared" ref="B60:P60" si="10">B44</f>
        <v>6.5960000000000001</v>
      </c>
      <c r="C60" s="101">
        <f t="shared" si="10"/>
        <v>9.4499999999999993</v>
      </c>
      <c r="D60" s="101">
        <f t="shared" si="10"/>
        <v>6.5960000000000001</v>
      </c>
      <c r="E60" s="101">
        <f t="shared" si="10"/>
        <v>6.5960000000000001</v>
      </c>
      <c r="F60" s="101">
        <f t="shared" si="10"/>
        <v>6.5960000000000001</v>
      </c>
      <c r="G60" s="101">
        <f t="shared" si="10"/>
        <v>6.5960000000000001</v>
      </c>
      <c r="H60" s="101">
        <f t="shared" si="10"/>
        <v>6.5960000000000001</v>
      </c>
      <c r="I60" s="101">
        <f t="shared" si="10"/>
        <v>9.2439999999999998</v>
      </c>
      <c r="J60" s="101">
        <f t="shared" si="10"/>
        <v>6.5960000000000001</v>
      </c>
      <c r="K60" s="101">
        <f t="shared" si="10"/>
        <v>6.5960000000000001</v>
      </c>
      <c r="L60" s="101">
        <f t="shared" si="10"/>
        <v>6.5960000000000001</v>
      </c>
      <c r="M60" s="101">
        <f t="shared" si="10"/>
        <v>6.5960000000000001</v>
      </c>
      <c r="N60" s="101">
        <f t="shared" si="10"/>
        <v>6.5960000000000001</v>
      </c>
      <c r="O60" s="101">
        <f t="shared" si="10"/>
        <v>6.5960000000000001</v>
      </c>
      <c r="P60" s="109">
        <f t="shared" si="10"/>
        <v>3.56</v>
      </c>
    </row>
    <row r="61" spans="1:16" ht="16.5">
      <c r="A61" s="96"/>
      <c r="B61" s="97">
        <f>B59-B60</f>
        <v>4.9245000000000001</v>
      </c>
      <c r="C61" s="110">
        <f>C59-C60</f>
        <v>-7.6499999999999346E-2</v>
      </c>
      <c r="D61" s="110">
        <f t="shared" ref="D61:P61" si="11">D59-D60</f>
        <v>4.9245000000000001</v>
      </c>
      <c r="E61" s="110">
        <f t="shared" si="11"/>
        <v>4.9245000000000001</v>
      </c>
      <c r="F61" s="110">
        <f t="shared" si="11"/>
        <v>4.9245000000000001</v>
      </c>
      <c r="G61" s="110">
        <f t="shared" si="11"/>
        <v>4.9245000000000001</v>
      </c>
      <c r="H61" s="110">
        <f t="shared" si="11"/>
        <v>4.9245000000000001</v>
      </c>
      <c r="I61" s="110">
        <f t="shared" si="11"/>
        <v>2.2765000000000004</v>
      </c>
      <c r="J61" s="110">
        <f t="shared" si="11"/>
        <v>4.9245000000000001</v>
      </c>
      <c r="K61" s="110">
        <f t="shared" si="11"/>
        <v>4.9245000000000001</v>
      </c>
      <c r="L61" s="110">
        <f t="shared" si="11"/>
        <v>4.9245000000000001</v>
      </c>
      <c r="M61" s="110">
        <f t="shared" si="11"/>
        <v>4.9245000000000001</v>
      </c>
      <c r="N61" s="110">
        <f t="shared" si="11"/>
        <v>4.9245000000000001</v>
      </c>
      <c r="O61" s="110">
        <f t="shared" si="11"/>
        <v>4.9245000000000001</v>
      </c>
      <c r="P61" s="111">
        <f t="shared" si="11"/>
        <v>7.9604999999999997</v>
      </c>
    </row>
    <row r="62" spans="1:16" ht="16.5">
      <c r="A62" s="93" t="s">
        <v>116</v>
      </c>
      <c r="B62" s="112">
        <f>B43*A63</f>
        <v>9.2164000000000001</v>
      </c>
      <c r="C62" s="113">
        <f>C43*A63</f>
        <v>7.4988000000000001</v>
      </c>
      <c r="D62" s="113">
        <f>D43*A63</f>
        <v>9.2164000000000001</v>
      </c>
      <c r="E62" s="113">
        <f>E43*A63</f>
        <v>9.2164000000000001</v>
      </c>
      <c r="F62" s="113">
        <f>F43*A63</f>
        <v>9.2164000000000001</v>
      </c>
      <c r="G62" s="113">
        <f>G43*A63</f>
        <v>9.2164000000000001</v>
      </c>
      <c r="H62" s="113">
        <f>H43*A63</f>
        <v>9.2164000000000001</v>
      </c>
      <c r="I62" s="113">
        <f>I43*A63</f>
        <v>9.2164000000000001</v>
      </c>
      <c r="J62" s="113">
        <f>J43*A63</f>
        <v>9.2164000000000001</v>
      </c>
      <c r="K62" s="113">
        <f>K43*A63</f>
        <v>9.2164000000000001</v>
      </c>
      <c r="L62" s="113">
        <f>L43*A63</f>
        <v>9.2164000000000001</v>
      </c>
      <c r="M62" s="113">
        <f>M43*A63</f>
        <v>9.2164000000000001</v>
      </c>
      <c r="N62" s="113">
        <f>N43*A63</f>
        <v>9.2164000000000001</v>
      </c>
      <c r="O62" s="113">
        <f>O43*A63</f>
        <v>9.2164000000000001</v>
      </c>
      <c r="P62" s="116">
        <f>P43*A63</f>
        <v>9.2164000000000001</v>
      </c>
    </row>
    <row r="63" spans="1:16" ht="16.5">
      <c r="A63" s="103">
        <v>0.4</v>
      </c>
      <c r="B63" s="105">
        <f t="shared" ref="B63:P63" si="12">B44</f>
        <v>6.5960000000000001</v>
      </c>
      <c r="C63" s="106">
        <f t="shared" si="12"/>
        <v>9.4499999999999993</v>
      </c>
      <c r="D63" s="106">
        <f t="shared" si="12"/>
        <v>6.5960000000000001</v>
      </c>
      <c r="E63" s="106">
        <f t="shared" si="12"/>
        <v>6.5960000000000001</v>
      </c>
      <c r="F63" s="106">
        <f t="shared" si="12"/>
        <v>6.5960000000000001</v>
      </c>
      <c r="G63" s="106">
        <f t="shared" si="12"/>
        <v>6.5960000000000001</v>
      </c>
      <c r="H63" s="106">
        <f t="shared" si="12"/>
        <v>6.5960000000000001</v>
      </c>
      <c r="I63" s="106">
        <f t="shared" si="12"/>
        <v>9.2439999999999998</v>
      </c>
      <c r="J63" s="106">
        <f t="shared" si="12"/>
        <v>6.5960000000000001</v>
      </c>
      <c r="K63" s="106">
        <f t="shared" si="12"/>
        <v>6.5960000000000001</v>
      </c>
      <c r="L63" s="106">
        <f t="shared" si="12"/>
        <v>6.5960000000000001</v>
      </c>
      <c r="M63" s="106">
        <f t="shared" si="12"/>
        <v>6.5960000000000001</v>
      </c>
      <c r="N63" s="106">
        <f t="shared" si="12"/>
        <v>6.5960000000000001</v>
      </c>
      <c r="O63" s="106">
        <f t="shared" si="12"/>
        <v>6.5960000000000001</v>
      </c>
      <c r="P63" s="117">
        <f t="shared" si="12"/>
        <v>3.56</v>
      </c>
    </row>
    <row r="64" spans="1:16" ht="16.5">
      <c r="A64" s="94"/>
      <c r="B64" s="114">
        <f>B62-B63</f>
        <v>2.6204000000000001</v>
      </c>
      <c r="C64" s="115">
        <f>C62-C63</f>
        <v>-1.9511999999999992</v>
      </c>
      <c r="D64" s="115">
        <f t="shared" ref="D64:P64" si="13">D62-D63</f>
        <v>2.6204000000000001</v>
      </c>
      <c r="E64" s="115">
        <f t="shared" si="13"/>
        <v>2.6204000000000001</v>
      </c>
      <c r="F64" s="115">
        <f t="shared" si="13"/>
        <v>2.6204000000000001</v>
      </c>
      <c r="G64" s="115">
        <f t="shared" si="13"/>
        <v>2.6204000000000001</v>
      </c>
      <c r="H64" s="115">
        <f t="shared" si="13"/>
        <v>2.6204000000000001</v>
      </c>
      <c r="I64" s="115">
        <f t="shared" si="13"/>
        <v>-2.7599999999999625E-2</v>
      </c>
      <c r="J64" s="115">
        <f t="shared" si="13"/>
        <v>2.6204000000000001</v>
      </c>
      <c r="K64" s="115">
        <f t="shared" si="13"/>
        <v>2.6204000000000001</v>
      </c>
      <c r="L64" s="115">
        <f t="shared" si="13"/>
        <v>2.6204000000000001</v>
      </c>
      <c r="M64" s="115">
        <f t="shared" si="13"/>
        <v>2.6204000000000001</v>
      </c>
      <c r="N64" s="115">
        <f t="shared" si="13"/>
        <v>2.6204000000000001</v>
      </c>
      <c r="O64" s="115">
        <f t="shared" si="13"/>
        <v>2.6204000000000001</v>
      </c>
      <c r="P64" s="118">
        <f t="shared" si="13"/>
        <v>5.6563999999999997</v>
      </c>
    </row>
    <row r="65" spans="1:16" ht="16.5">
      <c r="A65" s="95" t="s">
        <v>116</v>
      </c>
      <c r="B65" s="98">
        <f>B43*A66</f>
        <v>6.9123000000000001</v>
      </c>
      <c r="C65" s="99">
        <f>C43*A66</f>
        <v>5.6240999999999994</v>
      </c>
      <c r="D65" s="99">
        <f>D43*A66</f>
        <v>6.9123000000000001</v>
      </c>
      <c r="E65" s="99">
        <f>E43*A66</f>
        <v>6.9123000000000001</v>
      </c>
      <c r="F65" s="99">
        <f>F43*A66</f>
        <v>6.9123000000000001</v>
      </c>
      <c r="G65" s="99">
        <f>G43*A66</f>
        <v>6.9123000000000001</v>
      </c>
      <c r="H65" s="99">
        <f>H43*A66</f>
        <v>6.9123000000000001</v>
      </c>
      <c r="I65" s="99">
        <f>I43*A66</f>
        <v>6.9123000000000001</v>
      </c>
      <c r="J65" s="99">
        <f>J43*A66</f>
        <v>6.9123000000000001</v>
      </c>
      <c r="K65" s="99">
        <f>K43*A66</f>
        <v>6.9123000000000001</v>
      </c>
      <c r="L65" s="99">
        <f>L43*A66</f>
        <v>6.9123000000000001</v>
      </c>
      <c r="M65" s="99">
        <f>M43*A66</f>
        <v>6.9123000000000001</v>
      </c>
      <c r="N65" s="99">
        <f>N43*A66</f>
        <v>6.9123000000000001</v>
      </c>
      <c r="O65" s="99">
        <f>O43*A66</f>
        <v>6.9123000000000001</v>
      </c>
      <c r="P65" s="104">
        <f>P43*A66</f>
        <v>6.9123000000000001</v>
      </c>
    </row>
    <row r="66" spans="1:16" ht="16.5">
      <c r="A66" s="102">
        <v>0.3</v>
      </c>
      <c r="B66" s="100">
        <f t="shared" ref="B66:P66" si="14">B44</f>
        <v>6.5960000000000001</v>
      </c>
      <c r="C66" s="101">
        <f t="shared" si="14"/>
        <v>9.4499999999999993</v>
      </c>
      <c r="D66" s="101">
        <f t="shared" si="14"/>
        <v>6.5960000000000001</v>
      </c>
      <c r="E66" s="101">
        <f t="shared" si="14"/>
        <v>6.5960000000000001</v>
      </c>
      <c r="F66" s="101">
        <f t="shared" si="14"/>
        <v>6.5960000000000001</v>
      </c>
      <c r="G66" s="101">
        <f t="shared" si="14"/>
        <v>6.5960000000000001</v>
      </c>
      <c r="H66" s="101">
        <f t="shared" si="14"/>
        <v>6.5960000000000001</v>
      </c>
      <c r="I66" s="101">
        <f t="shared" si="14"/>
        <v>9.2439999999999998</v>
      </c>
      <c r="J66" s="101">
        <f t="shared" si="14"/>
        <v>6.5960000000000001</v>
      </c>
      <c r="K66" s="101">
        <f t="shared" si="14"/>
        <v>6.5960000000000001</v>
      </c>
      <c r="L66" s="101">
        <f t="shared" si="14"/>
        <v>6.5960000000000001</v>
      </c>
      <c r="M66" s="101">
        <f t="shared" si="14"/>
        <v>6.5960000000000001</v>
      </c>
      <c r="N66" s="101">
        <f t="shared" si="14"/>
        <v>6.5960000000000001</v>
      </c>
      <c r="O66" s="101">
        <f t="shared" si="14"/>
        <v>6.5960000000000001</v>
      </c>
      <c r="P66" s="109">
        <f t="shared" si="14"/>
        <v>3.56</v>
      </c>
    </row>
    <row r="67" spans="1:16" ht="16.5">
      <c r="A67" s="96"/>
      <c r="B67" s="97">
        <f>B65-B66</f>
        <v>0.31630000000000003</v>
      </c>
      <c r="C67" s="110">
        <f>C65-C66</f>
        <v>-3.8258999999999999</v>
      </c>
      <c r="D67" s="110">
        <f t="shared" ref="D67:P67" si="15">D65-D66</f>
        <v>0.31630000000000003</v>
      </c>
      <c r="E67" s="110">
        <f t="shared" si="15"/>
        <v>0.31630000000000003</v>
      </c>
      <c r="F67" s="110">
        <f t="shared" si="15"/>
        <v>0.31630000000000003</v>
      </c>
      <c r="G67" s="110">
        <f t="shared" si="15"/>
        <v>0.31630000000000003</v>
      </c>
      <c r="H67" s="110">
        <f t="shared" si="15"/>
        <v>0.31630000000000003</v>
      </c>
      <c r="I67" s="110">
        <f t="shared" si="15"/>
        <v>-2.3316999999999997</v>
      </c>
      <c r="J67" s="110">
        <f t="shared" si="15"/>
        <v>0.31630000000000003</v>
      </c>
      <c r="K67" s="110">
        <f t="shared" si="15"/>
        <v>0.31630000000000003</v>
      </c>
      <c r="L67" s="110">
        <f t="shared" si="15"/>
        <v>0.31630000000000003</v>
      </c>
      <c r="M67" s="110">
        <f t="shared" si="15"/>
        <v>0.31630000000000003</v>
      </c>
      <c r="N67" s="110">
        <f t="shared" si="15"/>
        <v>0.31630000000000003</v>
      </c>
      <c r="O67" s="110">
        <f t="shared" si="15"/>
        <v>0.31630000000000003</v>
      </c>
      <c r="P67" s="111">
        <f t="shared" si="15"/>
        <v>3.3523000000000001</v>
      </c>
    </row>
    <row r="68" spans="1:16" ht="16.5">
      <c r="A68" s="93" t="s">
        <v>116</v>
      </c>
      <c r="B68" s="112">
        <f>B43*A69</f>
        <v>4.6082000000000001</v>
      </c>
      <c r="C68" s="113">
        <f>C43*A69</f>
        <v>3.7494000000000001</v>
      </c>
      <c r="D68" s="113">
        <f>D43*A69</f>
        <v>4.6082000000000001</v>
      </c>
      <c r="E68" s="113">
        <f>E43*A69</f>
        <v>4.6082000000000001</v>
      </c>
      <c r="F68" s="113">
        <f>F43*A69</f>
        <v>4.6082000000000001</v>
      </c>
      <c r="G68" s="113">
        <f>G43*A69</f>
        <v>4.6082000000000001</v>
      </c>
      <c r="H68" s="113">
        <f>H43*A69</f>
        <v>4.6082000000000001</v>
      </c>
      <c r="I68" s="113">
        <f>I43*A69</f>
        <v>4.6082000000000001</v>
      </c>
      <c r="J68" s="113">
        <f>J43*A69</f>
        <v>4.6082000000000001</v>
      </c>
      <c r="K68" s="113">
        <f>K43*A69</f>
        <v>4.6082000000000001</v>
      </c>
      <c r="L68" s="113">
        <f>L43*A69</f>
        <v>4.6082000000000001</v>
      </c>
      <c r="M68" s="113">
        <f>M43*A69</f>
        <v>4.6082000000000001</v>
      </c>
      <c r="N68" s="113">
        <f>N43*J69</f>
        <v>151.97843600000002</v>
      </c>
      <c r="O68" s="113">
        <f>O43*A69</f>
        <v>4.6082000000000001</v>
      </c>
      <c r="P68" s="116">
        <f>P43*A69</f>
        <v>4.6082000000000001</v>
      </c>
    </row>
    <row r="69" spans="1:16" ht="16.5">
      <c r="A69" s="103">
        <v>0.2</v>
      </c>
      <c r="B69" s="105">
        <f t="shared" ref="B69:P69" si="16">B44</f>
        <v>6.5960000000000001</v>
      </c>
      <c r="C69" s="106">
        <f t="shared" si="16"/>
        <v>9.4499999999999993</v>
      </c>
      <c r="D69" s="106">
        <f t="shared" si="16"/>
        <v>6.5960000000000001</v>
      </c>
      <c r="E69" s="106">
        <f t="shared" si="16"/>
        <v>6.5960000000000001</v>
      </c>
      <c r="F69" s="106">
        <f t="shared" si="16"/>
        <v>6.5960000000000001</v>
      </c>
      <c r="G69" s="106">
        <f t="shared" si="16"/>
        <v>6.5960000000000001</v>
      </c>
      <c r="H69" s="106">
        <f t="shared" si="16"/>
        <v>6.5960000000000001</v>
      </c>
      <c r="I69" s="106">
        <f t="shared" si="16"/>
        <v>9.2439999999999998</v>
      </c>
      <c r="J69" s="106">
        <f t="shared" si="16"/>
        <v>6.5960000000000001</v>
      </c>
      <c r="K69" s="106">
        <f t="shared" si="16"/>
        <v>6.5960000000000001</v>
      </c>
      <c r="L69" s="106">
        <f t="shared" si="16"/>
        <v>6.5960000000000001</v>
      </c>
      <c r="M69" s="106">
        <f t="shared" si="16"/>
        <v>6.5960000000000001</v>
      </c>
      <c r="N69" s="106">
        <f t="shared" si="16"/>
        <v>6.5960000000000001</v>
      </c>
      <c r="O69" s="106">
        <f t="shared" si="16"/>
        <v>6.5960000000000001</v>
      </c>
      <c r="P69" s="117">
        <f t="shared" si="16"/>
        <v>3.56</v>
      </c>
    </row>
    <row r="70" spans="1:16" ht="16.5">
      <c r="A70" s="94"/>
      <c r="B70" s="114">
        <f>B68-B69</f>
        <v>-1.9878</v>
      </c>
      <c r="C70" s="115">
        <f>C68-C69</f>
        <v>-5.7005999999999997</v>
      </c>
      <c r="D70" s="115">
        <f t="shared" ref="D70:P70" si="17">D68-D69</f>
        <v>-1.9878</v>
      </c>
      <c r="E70" s="115">
        <f t="shared" si="17"/>
        <v>-1.9878</v>
      </c>
      <c r="F70" s="115">
        <f t="shared" si="17"/>
        <v>-1.9878</v>
      </c>
      <c r="G70" s="115">
        <f t="shared" si="17"/>
        <v>-1.9878</v>
      </c>
      <c r="H70" s="115">
        <f t="shared" si="17"/>
        <v>-1.9878</v>
      </c>
      <c r="I70" s="115">
        <f t="shared" si="17"/>
        <v>-4.6357999999999997</v>
      </c>
      <c r="J70" s="115">
        <f t="shared" si="17"/>
        <v>-1.9878</v>
      </c>
      <c r="K70" s="115">
        <f t="shared" si="17"/>
        <v>-1.9878</v>
      </c>
      <c r="L70" s="115">
        <f t="shared" si="17"/>
        <v>-1.9878</v>
      </c>
      <c r="M70" s="115">
        <f t="shared" si="17"/>
        <v>-1.9878</v>
      </c>
      <c r="N70" s="115">
        <f t="shared" si="17"/>
        <v>145.38243600000001</v>
      </c>
      <c r="O70" s="115">
        <f t="shared" si="17"/>
        <v>-1.9878</v>
      </c>
      <c r="P70" s="118">
        <f t="shared" si="17"/>
        <v>1.0482</v>
      </c>
    </row>
    <row r="71" spans="1:16" ht="16.5">
      <c r="A71" s="95" t="s">
        <v>116</v>
      </c>
      <c r="B71" s="98">
        <f>B43*A72</f>
        <v>2.3041</v>
      </c>
      <c r="C71" s="99">
        <f>C43*A72</f>
        <v>1.8747</v>
      </c>
      <c r="D71" s="99">
        <f>D43*A72</f>
        <v>2.3041</v>
      </c>
      <c r="E71" s="99">
        <f>E43*A72</f>
        <v>2.3041</v>
      </c>
      <c r="F71" s="99">
        <f>F43*A72</f>
        <v>2.3041</v>
      </c>
      <c r="G71" s="99">
        <f>G43*A72</f>
        <v>2.3041</v>
      </c>
      <c r="H71" s="99">
        <f>H43*A72</f>
        <v>2.3041</v>
      </c>
      <c r="I71" s="99">
        <f>I43*A72</f>
        <v>2.3041</v>
      </c>
      <c r="J71" s="99">
        <f>J43*A72</f>
        <v>2.3041</v>
      </c>
      <c r="K71" s="99">
        <f>K43*A72</f>
        <v>2.3041</v>
      </c>
      <c r="L71" s="99">
        <f>L43*A72</f>
        <v>2.3041</v>
      </c>
      <c r="M71" s="99">
        <f>M43*A72</f>
        <v>2.3041</v>
      </c>
      <c r="N71" s="99">
        <f>N43*A72</f>
        <v>2.3041</v>
      </c>
      <c r="O71" s="99">
        <f>O43*A72</f>
        <v>2.3041</v>
      </c>
      <c r="P71" s="104">
        <f>P43*A72</f>
        <v>2.3041</v>
      </c>
    </row>
    <row r="72" spans="1:16" ht="16.5">
      <c r="A72" s="102">
        <v>0.1</v>
      </c>
      <c r="B72" s="100">
        <f t="shared" ref="B72:P72" si="18">B44</f>
        <v>6.5960000000000001</v>
      </c>
      <c r="C72" s="101">
        <f t="shared" si="18"/>
        <v>9.4499999999999993</v>
      </c>
      <c r="D72" s="101">
        <f t="shared" si="18"/>
        <v>6.5960000000000001</v>
      </c>
      <c r="E72" s="101">
        <f t="shared" si="18"/>
        <v>6.5960000000000001</v>
      </c>
      <c r="F72" s="101">
        <f t="shared" si="18"/>
        <v>6.5960000000000001</v>
      </c>
      <c r="G72" s="101">
        <f t="shared" si="18"/>
        <v>6.5960000000000001</v>
      </c>
      <c r="H72" s="101">
        <f t="shared" si="18"/>
        <v>6.5960000000000001</v>
      </c>
      <c r="I72" s="101">
        <f t="shared" si="18"/>
        <v>9.2439999999999998</v>
      </c>
      <c r="J72" s="101">
        <f t="shared" si="18"/>
        <v>6.5960000000000001</v>
      </c>
      <c r="K72" s="101">
        <f t="shared" si="18"/>
        <v>6.5960000000000001</v>
      </c>
      <c r="L72" s="101">
        <f t="shared" si="18"/>
        <v>6.5960000000000001</v>
      </c>
      <c r="M72" s="101">
        <f t="shared" si="18"/>
        <v>6.5960000000000001</v>
      </c>
      <c r="N72" s="101">
        <f t="shared" si="18"/>
        <v>6.5960000000000001</v>
      </c>
      <c r="O72" s="101">
        <f t="shared" si="18"/>
        <v>6.5960000000000001</v>
      </c>
      <c r="P72" s="109">
        <f t="shared" si="18"/>
        <v>3.56</v>
      </c>
    </row>
    <row r="73" spans="1:16" ht="16.5">
      <c r="A73" s="96"/>
      <c r="B73" s="97">
        <f>B71-B72</f>
        <v>-4.2919</v>
      </c>
      <c r="C73" s="110">
        <f>C71-C72</f>
        <v>-7.5752999999999995</v>
      </c>
      <c r="D73" s="110">
        <f t="shared" ref="D73:P73" si="19">D71-D72</f>
        <v>-4.2919</v>
      </c>
      <c r="E73" s="110">
        <f t="shared" si="19"/>
        <v>-4.2919</v>
      </c>
      <c r="F73" s="110">
        <f t="shared" si="19"/>
        <v>-4.2919</v>
      </c>
      <c r="G73" s="110">
        <f t="shared" si="19"/>
        <v>-4.2919</v>
      </c>
      <c r="H73" s="110">
        <f t="shared" si="19"/>
        <v>-4.2919</v>
      </c>
      <c r="I73" s="110">
        <f t="shared" si="19"/>
        <v>-6.9398999999999997</v>
      </c>
      <c r="J73" s="110">
        <f t="shared" si="19"/>
        <v>-4.2919</v>
      </c>
      <c r="K73" s="110">
        <f t="shared" si="19"/>
        <v>-4.2919</v>
      </c>
      <c r="L73" s="110">
        <f t="shared" si="19"/>
        <v>-4.2919</v>
      </c>
      <c r="M73" s="110">
        <f t="shared" si="19"/>
        <v>-4.2919</v>
      </c>
      <c r="N73" s="110">
        <f t="shared" si="19"/>
        <v>-4.2919</v>
      </c>
      <c r="O73" s="110">
        <f t="shared" si="19"/>
        <v>-4.2919</v>
      </c>
      <c r="P73" s="111">
        <f t="shared" si="19"/>
        <v>-1.2559</v>
      </c>
    </row>
    <row r="74" spans="1:16" ht="16.5">
      <c r="A74" s="93" t="s">
        <v>116</v>
      </c>
      <c r="B74" s="112">
        <f>B43*A75</f>
        <v>0</v>
      </c>
      <c r="C74" s="113">
        <f>C43*A75</f>
        <v>0</v>
      </c>
      <c r="D74" s="113">
        <f>D43*A75</f>
        <v>0</v>
      </c>
      <c r="E74" s="113">
        <f>E43*A75</f>
        <v>0</v>
      </c>
      <c r="F74" s="113">
        <f>F43*A75</f>
        <v>0</v>
      </c>
      <c r="G74" s="113">
        <f>G43*A75</f>
        <v>0</v>
      </c>
      <c r="H74" s="113">
        <f>H43*A75</f>
        <v>0</v>
      </c>
      <c r="I74" s="113">
        <f>I43*A75</f>
        <v>0</v>
      </c>
      <c r="J74" s="113">
        <f>J43*A75</f>
        <v>0</v>
      </c>
      <c r="K74" s="113">
        <f>K43*A75</f>
        <v>0</v>
      </c>
      <c r="L74" s="113">
        <f>L43*A75</f>
        <v>0</v>
      </c>
      <c r="M74" s="113">
        <f>M43*A75</f>
        <v>0</v>
      </c>
      <c r="N74" s="113">
        <f>N43*A75</f>
        <v>0</v>
      </c>
      <c r="O74" s="113">
        <f>O43*A75</f>
        <v>0</v>
      </c>
      <c r="P74" s="116">
        <f>P43*A75</f>
        <v>0</v>
      </c>
    </row>
    <row r="75" spans="1:16" ht="16.5">
      <c r="A75" s="103">
        <v>0</v>
      </c>
      <c r="B75" s="105">
        <f t="shared" ref="B75:P75" si="20">B44</f>
        <v>6.5960000000000001</v>
      </c>
      <c r="C75" s="106">
        <f t="shared" si="20"/>
        <v>9.4499999999999993</v>
      </c>
      <c r="D75" s="106">
        <f t="shared" si="20"/>
        <v>6.5960000000000001</v>
      </c>
      <c r="E75" s="106">
        <f t="shared" si="20"/>
        <v>6.5960000000000001</v>
      </c>
      <c r="F75" s="106">
        <f t="shared" si="20"/>
        <v>6.5960000000000001</v>
      </c>
      <c r="G75" s="106">
        <f t="shared" si="20"/>
        <v>6.5960000000000001</v>
      </c>
      <c r="H75" s="106">
        <f t="shared" si="20"/>
        <v>6.5960000000000001</v>
      </c>
      <c r="I75" s="106">
        <f t="shared" si="20"/>
        <v>9.2439999999999998</v>
      </c>
      <c r="J75" s="106">
        <f t="shared" si="20"/>
        <v>6.5960000000000001</v>
      </c>
      <c r="K75" s="106">
        <f t="shared" si="20"/>
        <v>6.5960000000000001</v>
      </c>
      <c r="L75" s="106">
        <f t="shared" si="20"/>
        <v>6.5960000000000001</v>
      </c>
      <c r="M75" s="106">
        <f t="shared" si="20"/>
        <v>6.5960000000000001</v>
      </c>
      <c r="N75" s="106">
        <f t="shared" si="20"/>
        <v>6.5960000000000001</v>
      </c>
      <c r="O75" s="106">
        <f t="shared" si="20"/>
        <v>6.5960000000000001</v>
      </c>
      <c r="P75" s="117">
        <f t="shared" si="20"/>
        <v>3.56</v>
      </c>
    </row>
    <row r="76" spans="1:16" ht="16.5">
      <c r="A76" s="94"/>
      <c r="B76" s="107">
        <f>B74-B75</f>
        <v>-6.5960000000000001</v>
      </c>
      <c r="C76" s="108">
        <f>C74-C75</f>
        <v>-9.4499999999999993</v>
      </c>
      <c r="D76" s="108">
        <f t="shared" ref="D76:P76" si="21">D74-D75</f>
        <v>-6.5960000000000001</v>
      </c>
      <c r="E76" s="108">
        <f t="shared" si="21"/>
        <v>-6.5960000000000001</v>
      </c>
      <c r="F76" s="108">
        <f t="shared" si="21"/>
        <v>-6.5960000000000001</v>
      </c>
      <c r="G76" s="108">
        <f t="shared" si="21"/>
        <v>-6.5960000000000001</v>
      </c>
      <c r="H76" s="108">
        <f t="shared" si="21"/>
        <v>-6.5960000000000001</v>
      </c>
      <c r="I76" s="108">
        <f t="shared" si="21"/>
        <v>-9.2439999999999998</v>
      </c>
      <c r="J76" s="108">
        <f t="shared" si="21"/>
        <v>-6.5960000000000001</v>
      </c>
      <c r="K76" s="108">
        <f t="shared" si="21"/>
        <v>-6.5960000000000001</v>
      </c>
      <c r="L76" s="108">
        <f t="shared" si="21"/>
        <v>-6.5960000000000001</v>
      </c>
      <c r="M76" s="108">
        <f t="shared" si="21"/>
        <v>-6.5960000000000001</v>
      </c>
      <c r="N76" s="108">
        <f t="shared" si="21"/>
        <v>-6.5960000000000001</v>
      </c>
      <c r="O76" s="108">
        <f t="shared" si="21"/>
        <v>-6.5960000000000001</v>
      </c>
      <c r="P76" s="119">
        <f t="shared" si="21"/>
        <v>-3.56</v>
      </c>
    </row>
  </sheetData>
  <mergeCells count="58">
    <mergeCell ref="B27:B28"/>
    <mergeCell ref="B30:B34"/>
    <mergeCell ref="B36:B40"/>
    <mergeCell ref="C36:C40"/>
    <mergeCell ref="H36:H40"/>
    <mergeCell ref="H30:H34"/>
    <mergeCell ref="G36:G40"/>
    <mergeCell ref="G30:G34"/>
    <mergeCell ref="F36:F40"/>
    <mergeCell ref="F30:F34"/>
    <mergeCell ref="E36:E40"/>
    <mergeCell ref="E30:E34"/>
    <mergeCell ref="D36:D40"/>
    <mergeCell ref="D30:D34"/>
    <mergeCell ref="M36:M40"/>
    <mergeCell ref="M30:M34"/>
    <mergeCell ref="I30:I34"/>
    <mergeCell ref="P36:P37"/>
    <mergeCell ref="L36:L40"/>
    <mergeCell ref="L30:L34"/>
    <mergeCell ref="K36:K40"/>
    <mergeCell ref="K30:K34"/>
    <mergeCell ref="J36:J40"/>
    <mergeCell ref="J30:J34"/>
    <mergeCell ref="P30:P34"/>
    <mergeCell ref="O36:O40"/>
    <mergeCell ref="O30:O34"/>
    <mergeCell ref="N36:N40"/>
    <mergeCell ref="N30:N34"/>
    <mergeCell ref="B3:B4"/>
    <mergeCell ref="B6:B10"/>
    <mergeCell ref="B12:B16"/>
    <mergeCell ref="C12:C16"/>
    <mergeCell ref="H12:H16"/>
    <mergeCell ref="H6:H10"/>
    <mergeCell ref="G12:G16"/>
    <mergeCell ref="G6:G10"/>
    <mergeCell ref="F12:F16"/>
    <mergeCell ref="F6:F10"/>
    <mergeCell ref="E12:E16"/>
    <mergeCell ref="E6:E10"/>
    <mergeCell ref="D12:D16"/>
    <mergeCell ref="D6:D10"/>
    <mergeCell ref="M12:M16"/>
    <mergeCell ref="M6:M10"/>
    <mergeCell ref="I6:I10"/>
    <mergeCell ref="P12:P13"/>
    <mergeCell ref="L12:L16"/>
    <mergeCell ref="L6:L10"/>
    <mergeCell ref="K12:K16"/>
    <mergeCell ref="K6:K10"/>
    <mergeCell ref="J12:J16"/>
    <mergeCell ref="J6:J10"/>
    <mergeCell ref="P6:P10"/>
    <mergeCell ref="O12:O16"/>
    <mergeCell ref="O6:O10"/>
    <mergeCell ref="N12:N16"/>
    <mergeCell ref="N6:N10"/>
  </mergeCells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2009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Detumbling</vt:lpstr>
      <vt:lpstr>① 2주기(Mission&amp;UHF)</vt:lpstr>
      <vt:lpstr>② 8주기(S-band)</vt:lpstr>
      <vt:lpstr>③ 2주기(S-band)</vt:lpstr>
      <vt:lpstr>④ 그 외</vt:lpstr>
      <vt:lpstr>commissioning</vt:lpstr>
      <vt:lpstr>parameter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SO YOUNG</dc:creator>
  <cp:lastModifiedBy>이진진</cp:lastModifiedBy>
  <cp:revision>109</cp:revision>
  <dcterms:created xsi:type="dcterms:W3CDTF">2022-05-05T15:04:23Z</dcterms:created>
  <dcterms:modified xsi:type="dcterms:W3CDTF">2022-10-22T02:05:19Z</dcterms:modified>
  <cp:version>1000.0100.01</cp:version>
</cp:coreProperties>
</file>