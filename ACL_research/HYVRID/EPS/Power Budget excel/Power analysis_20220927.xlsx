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L2022_13\내 드라이브\대학원\HYVRID\Power Budget excel\"/>
    </mc:Choice>
  </mc:AlternateContent>
  <xr:revisionPtr revIDLastSave="0" documentId="13_ncr:1_{71D18235-AE64-4878-96DB-F360BDFAE758}" xr6:coauthVersionLast="47" xr6:coauthVersionMax="47" xr10:uidLastSave="{00000000-0000-0000-0000-000000000000}"/>
  <bookViews>
    <workbookView xWindow="-120" yWindow="-120" windowWidth="29040" windowHeight="15840" tabRatio="861" activeTab="3" xr2:uid="{00000000-000D-0000-FFFF-FFFF00000000}"/>
  </bookViews>
  <sheets>
    <sheet name="Detumbling" sheetId="1" r:id="rId1"/>
    <sheet name="① 2주기(Mission&amp;UHF)" sheetId="2" r:id="rId2"/>
    <sheet name="② 8주기(S-band)" sheetId="3" r:id="rId3"/>
    <sheet name="③ 2주기(S-band)" sheetId="4" r:id="rId4"/>
    <sheet name="④ 그 외" sheetId="5" r:id="rId5"/>
    <sheet name="parameter" sheetId="6" r:id="rId6"/>
    <sheet name="Sheet1" sheetId="7" r:id="rId7"/>
    <sheet name="Sheet2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K14" i="1"/>
  <c r="H14" i="1"/>
  <c r="K12" i="1"/>
  <c r="P12" i="1" s="1"/>
  <c r="P4" i="2"/>
  <c r="O4" i="2"/>
  <c r="N4" i="2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P74" i="8"/>
  <c r="P76" i="8" s="1"/>
  <c r="O74" i="8"/>
  <c r="O76" i="8" s="1"/>
  <c r="N74" i="8"/>
  <c r="N76" i="8" s="1"/>
  <c r="M74" i="8"/>
  <c r="M76" i="8" s="1"/>
  <c r="L74" i="8"/>
  <c r="L76" i="8" s="1"/>
  <c r="K74" i="8"/>
  <c r="K76" i="8" s="1"/>
  <c r="J74" i="8"/>
  <c r="I74" i="8"/>
  <c r="I76" i="8" s="1"/>
  <c r="H74" i="8"/>
  <c r="H76" i="8" s="1"/>
  <c r="G74" i="8"/>
  <c r="G76" i="8" s="1"/>
  <c r="F74" i="8"/>
  <c r="E74" i="8"/>
  <c r="E76" i="8" s="1"/>
  <c r="D74" i="8"/>
  <c r="D76" i="8" s="1"/>
  <c r="C74" i="8"/>
  <c r="C76" i="8" s="1"/>
  <c r="B74" i="8"/>
  <c r="P73" i="8"/>
  <c r="M73" i="8"/>
  <c r="L73" i="8"/>
  <c r="I73" i="8"/>
  <c r="H73" i="8"/>
  <c r="E73" i="8"/>
  <c r="D73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P71" i="8"/>
  <c r="O71" i="8"/>
  <c r="N71" i="8"/>
  <c r="N73" i="8" s="1"/>
  <c r="M71" i="8"/>
  <c r="L71" i="8"/>
  <c r="K71" i="8"/>
  <c r="J71" i="8"/>
  <c r="J73" i="8" s="1"/>
  <c r="I71" i="8"/>
  <c r="H71" i="8"/>
  <c r="G71" i="8"/>
  <c r="F71" i="8"/>
  <c r="F73" i="8" s="1"/>
  <c r="E71" i="8"/>
  <c r="D71" i="8"/>
  <c r="C71" i="8"/>
  <c r="B71" i="8"/>
  <c r="B73" i="8" s="1"/>
  <c r="N70" i="8"/>
  <c r="M70" i="8"/>
  <c r="J70" i="8"/>
  <c r="I70" i="8"/>
  <c r="F70" i="8"/>
  <c r="E70" i="8"/>
  <c r="B70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P68" i="8"/>
  <c r="O68" i="8"/>
  <c r="O70" i="8" s="1"/>
  <c r="N68" i="8"/>
  <c r="M68" i="8"/>
  <c r="L68" i="8"/>
  <c r="K68" i="8"/>
  <c r="K70" i="8" s="1"/>
  <c r="J68" i="8"/>
  <c r="I68" i="8"/>
  <c r="H68" i="8"/>
  <c r="G68" i="8"/>
  <c r="G70" i="8" s="1"/>
  <c r="F68" i="8"/>
  <c r="E68" i="8"/>
  <c r="D68" i="8"/>
  <c r="C68" i="8"/>
  <c r="C70" i="8" s="1"/>
  <c r="B68" i="8"/>
  <c r="O67" i="8"/>
  <c r="N67" i="8"/>
  <c r="K67" i="8"/>
  <c r="J67" i="8"/>
  <c r="G67" i="8"/>
  <c r="F67" i="8"/>
  <c r="C67" i="8"/>
  <c r="B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P65" i="8"/>
  <c r="P67" i="8" s="1"/>
  <c r="O65" i="8"/>
  <c r="N65" i="8"/>
  <c r="M65" i="8"/>
  <c r="L65" i="8"/>
  <c r="L67" i="8" s="1"/>
  <c r="K65" i="8"/>
  <c r="J65" i="8"/>
  <c r="I65" i="8"/>
  <c r="H65" i="8"/>
  <c r="H67" i="8" s="1"/>
  <c r="G65" i="8"/>
  <c r="F65" i="8"/>
  <c r="E65" i="8"/>
  <c r="D65" i="8"/>
  <c r="D67" i="8" s="1"/>
  <c r="C65" i="8"/>
  <c r="B65" i="8"/>
  <c r="P64" i="8"/>
  <c r="O64" i="8"/>
  <c r="L64" i="8"/>
  <c r="K64" i="8"/>
  <c r="H64" i="8"/>
  <c r="G64" i="8"/>
  <c r="D64" i="8"/>
  <c r="C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P62" i="8"/>
  <c r="O62" i="8"/>
  <c r="N62" i="8"/>
  <c r="N64" i="8" s="1"/>
  <c r="M62" i="8"/>
  <c r="M64" i="8" s="1"/>
  <c r="L62" i="8"/>
  <c r="K62" i="8"/>
  <c r="J62" i="8"/>
  <c r="J64" i="8" s="1"/>
  <c r="I62" i="8"/>
  <c r="I64" i="8" s="1"/>
  <c r="H62" i="8"/>
  <c r="G62" i="8"/>
  <c r="F62" i="8"/>
  <c r="F64" i="8" s="1"/>
  <c r="E62" i="8"/>
  <c r="E64" i="8" s="1"/>
  <c r="D62" i="8"/>
  <c r="C62" i="8"/>
  <c r="B62" i="8"/>
  <c r="B64" i="8" s="1"/>
  <c r="P61" i="8"/>
  <c r="M61" i="8"/>
  <c r="L61" i="8"/>
  <c r="I61" i="8"/>
  <c r="H61" i="8"/>
  <c r="E61" i="8"/>
  <c r="D61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P59" i="8"/>
  <c r="O59" i="8"/>
  <c r="O61" i="8" s="1"/>
  <c r="N59" i="8"/>
  <c r="N61" i="8" s="1"/>
  <c r="M59" i="8"/>
  <c r="L59" i="8"/>
  <c r="K59" i="8"/>
  <c r="K61" i="8" s="1"/>
  <c r="J59" i="8"/>
  <c r="J61" i="8" s="1"/>
  <c r="I59" i="8"/>
  <c r="H59" i="8"/>
  <c r="G59" i="8"/>
  <c r="G61" i="8" s="1"/>
  <c r="F59" i="8"/>
  <c r="F61" i="8" s="1"/>
  <c r="E59" i="8"/>
  <c r="D59" i="8"/>
  <c r="C59" i="8"/>
  <c r="C61" i="8" s="1"/>
  <c r="B59" i="8"/>
  <c r="B61" i="8" s="1"/>
  <c r="N58" i="8"/>
  <c r="M58" i="8"/>
  <c r="J58" i="8"/>
  <c r="I58" i="8"/>
  <c r="F58" i="8"/>
  <c r="E58" i="8"/>
  <c r="B58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P56" i="8"/>
  <c r="P58" i="8" s="1"/>
  <c r="O56" i="8"/>
  <c r="O58" i="8" s="1"/>
  <c r="N56" i="8"/>
  <c r="M56" i="8"/>
  <c r="L56" i="8"/>
  <c r="L58" i="8" s="1"/>
  <c r="K56" i="8"/>
  <c r="K58" i="8" s="1"/>
  <c r="J56" i="8"/>
  <c r="I56" i="8"/>
  <c r="H56" i="8"/>
  <c r="H58" i="8" s="1"/>
  <c r="G56" i="8"/>
  <c r="G58" i="8" s="1"/>
  <c r="F56" i="8"/>
  <c r="E56" i="8"/>
  <c r="D56" i="8"/>
  <c r="D58" i="8" s="1"/>
  <c r="C56" i="8"/>
  <c r="C58" i="8" s="1"/>
  <c r="B56" i="8"/>
  <c r="O55" i="8"/>
  <c r="N55" i="8"/>
  <c r="K55" i="8"/>
  <c r="J55" i="8"/>
  <c r="G55" i="8"/>
  <c r="F55" i="8"/>
  <c r="C55" i="8"/>
  <c r="B55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P53" i="8"/>
  <c r="P55" i="8" s="1"/>
  <c r="O53" i="8"/>
  <c r="N53" i="8"/>
  <c r="M53" i="8"/>
  <c r="M55" i="8" s="1"/>
  <c r="L53" i="8"/>
  <c r="L55" i="8" s="1"/>
  <c r="K53" i="8"/>
  <c r="J53" i="8"/>
  <c r="I53" i="8"/>
  <c r="I55" i="8" s="1"/>
  <c r="H53" i="8"/>
  <c r="H55" i="8" s="1"/>
  <c r="G53" i="8"/>
  <c r="F53" i="8"/>
  <c r="E53" i="8"/>
  <c r="E55" i="8" s="1"/>
  <c r="D53" i="8"/>
  <c r="D55" i="8" s="1"/>
  <c r="C53" i="8"/>
  <c r="B53" i="8"/>
  <c r="P52" i="8"/>
  <c r="O52" i="8"/>
  <c r="L52" i="8"/>
  <c r="K52" i="8"/>
  <c r="H52" i="8"/>
  <c r="G52" i="8"/>
  <c r="D52" i="8"/>
  <c r="C52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P50" i="8"/>
  <c r="O50" i="8"/>
  <c r="N50" i="8"/>
  <c r="M50" i="8"/>
  <c r="M52" i="8" s="1"/>
  <c r="L50" i="8"/>
  <c r="K50" i="8"/>
  <c r="J50" i="8"/>
  <c r="I50" i="8"/>
  <c r="I52" i="8" s="1"/>
  <c r="H50" i="8"/>
  <c r="G50" i="8"/>
  <c r="F50" i="8"/>
  <c r="E50" i="8"/>
  <c r="E52" i="8" s="1"/>
  <c r="D50" i="8"/>
  <c r="C50" i="8"/>
  <c r="B50" i="8"/>
  <c r="P49" i="8"/>
  <c r="M49" i="8"/>
  <c r="L49" i="8"/>
  <c r="I49" i="8"/>
  <c r="H49" i="8"/>
  <c r="E49" i="8"/>
  <c r="D49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P47" i="8"/>
  <c r="O47" i="8"/>
  <c r="N47" i="8"/>
  <c r="N49" i="8" s="1"/>
  <c r="M47" i="8"/>
  <c r="L47" i="8"/>
  <c r="K47" i="8"/>
  <c r="J47" i="8"/>
  <c r="J49" i="8" s="1"/>
  <c r="I47" i="8"/>
  <c r="H47" i="8"/>
  <c r="G47" i="8"/>
  <c r="F47" i="8"/>
  <c r="F49" i="8" s="1"/>
  <c r="E47" i="8"/>
  <c r="D47" i="8"/>
  <c r="C47" i="8"/>
  <c r="B47" i="8"/>
  <c r="B49" i="8" s="1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G10" i="7"/>
  <c r="F10" i="7"/>
  <c r="E10" i="7"/>
  <c r="G9" i="7"/>
  <c r="F9" i="7"/>
  <c r="E9" i="7"/>
  <c r="G8" i="7"/>
  <c r="F8" i="7"/>
  <c r="E8" i="7"/>
  <c r="E1" i="7"/>
  <c r="E2" i="7" s="1"/>
  <c r="C12" i="6"/>
  <c r="C10" i="6"/>
  <c r="Y6" i="4" s="1"/>
  <c r="N4" i="4" s="1"/>
  <c r="C8" i="6"/>
  <c r="C5" i="6"/>
  <c r="W36" i="5"/>
  <c r="S25" i="5"/>
  <c r="R25" i="5"/>
  <c r="T25" i="5" s="1"/>
  <c r="I25" i="5"/>
  <c r="H25" i="5"/>
  <c r="G25" i="5"/>
  <c r="T24" i="5"/>
  <c r="O24" i="5"/>
  <c r="S24" i="5" s="1"/>
  <c r="N24" i="5"/>
  <c r="R24" i="5" s="1"/>
  <c r="L24" i="5"/>
  <c r="J24" i="5"/>
  <c r="S23" i="5"/>
  <c r="R23" i="5"/>
  <c r="T23" i="5" s="1"/>
  <c r="L23" i="5"/>
  <c r="K23" i="5"/>
  <c r="J23" i="5"/>
  <c r="L22" i="5"/>
  <c r="K22" i="5"/>
  <c r="I22" i="5"/>
  <c r="H22" i="5"/>
  <c r="S21" i="5"/>
  <c r="T21" i="5" s="1"/>
  <c r="L21" i="5"/>
  <c r="K21" i="5"/>
  <c r="R21" i="5" s="1"/>
  <c r="I21" i="5"/>
  <c r="H21" i="5"/>
  <c r="T20" i="5"/>
  <c r="S20" i="5"/>
  <c r="R20" i="5"/>
  <c r="K20" i="5"/>
  <c r="T19" i="5"/>
  <c r="S19" i="5"/>
  <c r="R19" i="5"/>
  <c r="S18" i="5"/>
  <c r="R18" i="5"/>
  <c r="T18" i="5" s="1"/>
  <c r="S17" i="5"/>
  <c r="R17" i="5"/>
  <c r="T17" i="5" s="1"/>
  <c r="K16" i="5"/>
  <c r="R16" i="5" s="1"/>
  <c r="S15" i="5"/>
  <c r="T15" i="5" s="1"/>
  <c r="L15" i="5"/>
  <c r="K15" i="5"/>
  <c r="R15" i="5" s="1"/>
  <c r="J15" i="5"/>
  <c r="I15" i="5"/>
  <c r="H15" i="5"/>
  <c r="G15" i="5"/>
  <c r="R14" i="5"/>
  <c r="T14" i="5" s="1"/>
  <c r="H14" i="5"/>
  <c r="K14" i="5" s="1"/>
  <c r="S14" i="5" s="1"/>
  <c r="S13" i="5"/>
  <c r="R13" i="5"/>
  <c r="K13" i="5"/>
  <c r="H13" i="5"/>
  <c r="K12" i="5"/>
  <c r="R12" i="5" s="1"/>
  <c r="S11" i="5"/>
  <c r="T11" i="5" s="1"/>
  <c r="K11" i="5"/>
  <c r="R11" i="5" s="1"/>
  <c r="I11" i="5"/>
  <c r="L11" i="5" s="1"/>
  <c r="H11" i="5"/>
  <c r="R10" i="5"/>
  <c r="T10" i="5" s="1"/>
  <c r="K10" i="5"/>
  <c r="S10" i="5" s="1"/>
  <c r="I10" i="5"/>
  <c r="L10" i="5" s="1"/>
  <c r="H10" i="5"/>
  <c r="S9" i="5"/>
  <c r="I9" i="5"/>
  <c r="L9" i="5" s="1"/>
  <c r="H9" i="5"/>
  <c r="K9" i="5" s="1"/>
  <c r="R9" i="5" s="1"/>
  <c r="T9" i="5" s="1"/>
  <c r="T8" i="5"/>
  <c r="S8" i="5"/>
  <c r="R8" i="5"/>
  <c r="L8" i="5"/>
  <c r="J8" i="5"/>
  <c r="S7" i="5"/>
  <c r="R7" i="5"/>
  <c r="I7" i="5"/>
  <c r="H7" i="5"/>
  <c r="T6" i="5"/>
  <c r="S6" i="5"/>
  <c r="R6" i="5"/>
  <c r="I6" i="5"/>
  <c r="H6" i="5"/>
  <c r="S5" i="5"/>
  <c r="R5" i="5"/>
  <c r="H5" i="5"/>
  <c r="Y3" i="5"/>
  <c r="X36" i="4"/>
  <c r="T25" i="4"/>
  <c r="S25" i="4"/>
  <c r="R25" i="4"/>
  <c r="U25" i="4" s="1"/>
  <c r="I25" i="4"/>
  <c r="H25" i="4"/>
  <c r="G25" i="4"/>
  <c r="P24" i="4"/>
  <c r="T24" i="4" s="1"/>
  <c r="U24" i="4" s="1"/>
  <c r="O24" i="4"/>
  <c r="S24" i="4" s="1"/>
  <c r="N24" i="4"/>
  <c r="R24" i="4" s="1"/>
  <c r="L24" i="4"/>
  <c r="J24" i="4"/>
  <c r="L23" i="4"/>
  <c r="S23" i="4" s="1"/>
  <c r="K23" i="4"/>
  <c r="J23" i="4"/>
  <c r="T22" i="4"/>
  <c r="S22" i="4"/>
  <c r="K22" i="4"/>
  <c r="R22" i="4" s="1"/>
  <c r="I22" i="4"/>
  <c r="L22" i="4" s="1"/>
  <c r="H22" i="4"/>
  <c r="S21" i="4"/>
  <c r="L21" i="4"/>
  <c r="T21" i="4" s="1"/>
  <c r="K21" i="4"/>
  <c r="R21" i="4" s="1"/>
  <c r="U21" i="4" s="1"/>
  <c r="I21" i="4"/>
  <c r="H21" i="4"/>
  <c r="K20" i="4"/>
  <c r="T19" i="4"/>
  <c r="S19" i="4"/>
  <c r="R19" i="4"/>
  <c r="U19" i="4" s="1"/>
  <c r="T18" i="4"/>
  <c r="S18" i="4"/>
  <c r="R18" i="4"/>
  <c r="U18" i="4" s="1"/>
  <c r="T17" i="4"/>
  <c r="S17" i="4"/>
  <c r="R17" i="4"/>
  <c r="U17" i="4" s="1"/>
  <c r="T16" i="4"/>
  <c r="S16" i="4"/>
  <c r="R16" i="4"/>
  <c r="U16" i="4" s="1"/>
  <c r="L15" i="4"/>
  <c r="T15" i="4" s="1"/>
  <c r="K15" i="4"/>
  <c r="I15" i="4"/>
  <c r="H15" i="4"/>
  <c r="G15" i="4"/>
  <c r="J15" i="4" s="1"/>
  <c r="H14" i="4"/>
  <c r="K14" i="4" s="1"/>
  <c r="K13" i="4"/>
  <c r="H13" i="4"/>
  <c r="K12" i="4"/>
  <c r="R12" i="4" s="1"/>
  <c r="R11" i="4"/>
  <c r="U11" i="4" s="1"/>
  <c r="L11" i="4"/>
  <c r="T11" i="4" s="1"/>
  <c r="I11" i="4"/>
  <c r="H11" i="4"/>
  <c r="K11" i="4" s="1"/>
  <c r="S11" i="4" s="1"/>
  <c r="L10" i="4"/>
  <c r="K10" i="4"/>
  <c r="I10" i="4"/>
  <c r="H10" i="4"/>
  <c r="T9" i="4"/>
  <c r="L9" i="4"/>
  <c r="K9" i="4"/>
  <c r="I9" i="4"/>
  <c r="H9" i="4"/>
  <c r="T8" i="4"/>
  <c r="U8" i="4" s="1"/>
  <c r="S8" i="4"/>
  <c r="R8" i="4"/>
  <c r="L8" i="4"/>
  <c r="J8" i="4"/>
  <c r="U7" i="4"/>
  <c r="S7" i="4"/>
  <c r="R7" i="4"/>
  <c r="P7" i="4"/>
  <c r="T7" i="4" s="1"/>
  <c r="I7" i="4"/>
  <c r="H7" i="4"/>
  <c r="S6" i="4"/>
  <c r="R6" i="4"/>
  <c r="P6" i="4"/>
  <c r="T6" i="4" s="1"/>
  <c r="I6" i="4"/>
  <c r="H6" i="4"/>
  <c r="T5" i="4"/>
  <c r="S5" i="4"/>
  <c r="R5" i="4"/>
  <c r="H5" i="4"/>
  <c r="P4" i="4"/>
  <c r="X36" i="3"/>
  <c r="T25" i="3"/>
  <c r="S25" i="3"/>
  <c r="R25" i="3"/>
  <c r="I25" i="3"/>
  <c r="H25" i="3"/>
  <c r="G25" i="3"/>
  <c r="S24" i="3"/>
  <c r="R24" i="3"/>
  <c r="P24" i="3"/>
  <c r="T24" i="3" s="1"/>
  <c r="O24" i="3"/>
  <c r="N24" i="3"/>
  <c r="L24" i="3"/>
  <c r="J24" i="3"/>
  <c r="S23" i="3"/>
  <c r="R23" i="3"/>
  <c r="L23" i="3"/>
  <c r="K23" i="3"/>
  <c r="T23" i="3" s="1"/>
  <c r="J23" i="3"/>
  <c r="S22" i="3"/>
  <c r="I22" i="3"/>
  <c r="L22" i="3" s="1"/>
  <c r="H22" i="3"/>
  <c r="K22" i="3" s="1"/>
  <c r="R21" i="3"/>
  <c r="U21" i="3" s="1"/>
  <c r="L21" i="3"/>
  <c r="T21" i="3" s="1"/>
  <c r="I21" i="3"/>
  <c r="H21" i="3"/>
  <c r="K21" i="3" s="1"/>
  <c r="S21" i="3" s="1"/>
  <c r="S20" i="3"/>
  <c r="K20" i="3"/>
  <c r="T20" i="3" s="1"/>
  <c r="T19" i="3"/>
  <c r="S19" i="3"/>
  <c r="R19" i="3"/>
  <c r="T18" i="3"/>
  <c r="S18" i="3"/>
  <c r="R18" i="3"/>
  <c r="U18" i="3" s="1"/>
  <c r="T17" i="3"/>
  <c r="S17" i="3"/>
  <c r="R17" i="3"/>
  <c r="U17" i="3" s="1"/>
  <c r="T16" i="3"/>
  <c r="S16" i="3"/>
  <c r="R16" i="3"/>
  <c r="K16" i="3"/>
  <c r="L15" i="3"/>
  <c r="K15" i="3"/>
  <c r="I15" i="3"/>
  <c r="H15" i="3"/>
  <c r="G15" i="3"/>
  <c r="J15" i="3" s="1"/>
  <c r="R14" i="3"/>
  <c r="K14" i="3"/>
  <c r="H14" i="3"/>
  <c r="S13" i="3"/>
  <c r="H13" i="3"/>
  <c r="K13" i="3" s="1"/>
  <c r="R13" i="3" s="1"/>
  <c r="K12" i="3"/>
  <c r="T12" i="3" s="1"/>
  <c r="L11" i="3"/>
  <c r="K11" i="3"/>
  <c r="I11" i="3"/>
  <c r="H11" i="3"/>
  <c r="T10" i="3"/>
  <c r="K10" i="3"/>
  <c r="I10" i="3"/>
  <c r="L10" i="3" s="1"/>
  <c r="H10" i="3"/>
  <c r="T9" i="3"/>
  <c r="S9" i="3"/>
  <c r="K9" i="3"/>
  <c r="R9" i="3" s="1"/>
  <c r="I9" i="3"/>
  <c r="L9" i="3" s="1"/>
  <c r="H9" i="3"/>
  <c r="T8" i="3"/>
  <c r="S8" i="3"/>
  <c r="U8" i="3" s="1"/>
  <c r="R8" i="3"/>
  <c r="L8" i="3"/>
  <c r="J8" i="3"/>
  <c r="T7" i="3"/>
  <c r="S7" i="3"/>
  <c r="R7" i="3"/>
  <c r="P7" i="3"/>
  <c r="I7" i="3"/>
  <c r="H7" i="3"/>
  <c r="T6" i="3"/>
  <c r="S6" i="3"/>
  <c r="R6" i="3"/>
  <c r="P6" i="3"/>
  <c r="I6" i="3"/>
  <c r="H6" i="3"/>
  <c r="T5" i="3"/>
  <c r="S5" i="3"/>
  <c r="R5" i="3"/>
  <c r="H5" i="3"/>
  <c r="P4" i="3"/>
  <c r="X36" i="2"/>
  <c r="T25" i="2"/>
  <c r="S25" i="2"/>
  <c r="R25" i="2"/>
  <c r="I25" i="2"/>
  <c r="H25" i="2"/>
  <c r="G25" i="2"/>
  <c r="S24" i="2"/>
  <c r="P24" i="2"/>
  <c r="O24" i="2"/>
  <c r="N24" i="2"/>
  <c r="R24" i="2" s="1"/>
  <c r="U24" i="2" s="1"/>
  <c r="L24" i="2"/>
  <c r="T24" i="2" s="1"/>
  <c r="J24" i="2"/>
  <c r="T23" i="2"/>
  <c r="S23" i="2"/>
  <c r="L23" i="2"/>
  <c r="R23" i="2" s="1"/>
  <c r="K23" i="2"/>
  <c r="J23" i="2"/>
  <c r="S22" i="2"/>
  <c r="I22" i="2"/>
  <c r="L22" i="2" s="1"/>
  <c r="H22" i="2"/>
  <c r="K22" i="2" s="1"/>
  <c r="T22" i="2" s="1"/>
  <c r="S21" i="2"/>
  <c r="I21" i="2"/>
  <c r="L21" i="2" s="1"/>
  <c r="T21" i="2" s="1"/>
  <c r="H21" i="2"/>
  <c r="K21" i="2" s="1"/>
  <c r="R21" i="2" s="1"/>
  <c r="U21" i="2" s="1"/>
  <c r="T20" i="2"/>
  <c r="S20" i="2"/>
  <c r="R20" i="2"/>
  <c r="U20" i="2" s="1"/>
  <c r="K20" i="2"/>
  <c r="T19" i="2"/>
  <c r="S19" i="2"/>
  <c r="R19" i="2"/>
  <c r="T18" i="2"/>
  <c r="S18" i="2"/>
  <c r="U18" i="2" s="1"/>
  <c r="R18" i="2"/>
  <c r="T17" i="2"/>
  <c r="S17" i="2"/>
  <c r="R17" i="2"/>
  <c r="T16" i="2"/>
  <c r="S16" i="2"/>
  <c r="K16" i="2"/>
  <c r="R16" i="2" s="1"/>
  <c r="L15" i="2"/>
  <c r="T15" i="2" s="1"/>
  <c r="K15" i="2"/>
  <c r="I15" i="2"/>
  <c r="H15" i="2"/>
  <c r="G15" i="2"/>
  <c r="J15" i="2" s="1"/>
  <c r="S14" i="2"/>
  <c r="R14" i="2"/>
  <c r="U14" i="2" s="1"/>
  <c r="H14" i="2"/>
  <c r="K14" i="2" s="1"/>
  <c r="T14" i="2" s="1"/>
  <c r="K13" i="2"/>
  <c r="H13" i="2"/>
  <c r="K12" i="2"/>
  <c r="T12" i="2" s="1"/>
  <c r="L11" i="2"/>
  <c r="K11" i="2"/>
  <c r="I11" i="2"/>
  <c r="H11" i="2"/>
  <c r="T10" i="2"/>
  <c r="L10" i="2"/>
  <c r="K10" i="2"/>
  <c r="I10" i="2"/>
  <c r="H10" i="2"/>
  <c r="L9" i="2"/>
  <c r="K9" i="2"/>
  <c r="I9" i="2"/>
  <c r="H9" i="2"/>
  <c r="T8" i="2"/>
  <c r="U8" i="2" s="1"/>
  <c r="S8" i="2"/>
  <c r="R8" i="2"/>
  <c r="L8" i="2"/>
  <c r="J8" i="2"/>
  <c r="T7" i="2"/>
  <c r="S7" i="2"/>
  <c r="U7" i="2" s="1"/>
  <c r="R7" i="2"/>
  <c r="P7" i="2"/>
  <c r="I7" i="2"/>
  <c r="H7" i="2"/>
  <c r="T6" i="2"/>
  <c r="S6" i="2"/>
  <c r="U6" i="2" s="1"/>
  <c r="R6" i="2"/>
  <c r="P6" i="2"/>
  <c r="I6" i="2"/>
  <c r="H6" i="2"/>
  <c r="T5" i="2"/>
  <c r="S5" i="2"/>
  <c r="R5" i="2"/>
  <c r="H5" i="2"/>
  <c r="P27" i="1"/>
  <c r="P25" i="1"/>
  <c r="I25" i="1"/>
  <c r="H25" i="1"/>
  <c r="G25" i="1"/>
  <c r="P24" i="1"/>
  <c r="L24" i="1"/>
  <c r="J24" i="1"/>
  <c r="P23" i="1"/>
  <c r="L23" i="1"/>
  <c r="K23" i="1"/>
  <c r="J23" i="1"/>
  <c r="P22" i="1"/>
  <c r="I22" i="1"/>
  <c r="L22" i="1" s="1"/>
  <c r="H22" i="1"/>
  <c r="K22" i="1" s="1"/>
  <c r="K21" i="1"/>
  <c r="P21" i="1" s="1"/>
  <c r="H21" i="1"/>
  <c r="K20" i="1"/>
  <c r="P20" i="1" s="1"/>
  <c r="P19" i="1"/>
  <c r="P18" i="1"/>
  <c r="P17" i="1"/>
  <c r="P16" i="1"/>
  <c r="K16" i="1"/>
  <c r="L15" i="1"/>
  <c r="J15" i="1"/>
  <c r="I15" i="1"/>
  <c r="H15" i="1"/>
  <c r="K15" i="1" s="1"/>
  <c r="P15" i="1" s="1"/>
  <c r="G15" i="1"/>
  <c r="P14" i="1"/>
  <c r="P13" i="1"/>
  <c r="K13" i="1"/>
  <c r="H13" i="1"/>
  <c r="K11" i="1"/>
  <c r="P11" i="1" s="1"/>
  <c r="I11" i="1"/>
  <c r="L11" i="1" s="1"/>
  <c r="H11" i="1"/>
  <c r="L10" i="1"/>
  <c r="K10" i="1"/>
  <c r="P10" i="1" s="1"/>
  <c r="I10" i="1"/>
  <c r="H10" i="1"/>
  <c r="L9" i="1"/>
  <c r="I9" i="1"/>
  <c r="H9" i="1"/>
  <c r="K9" i="1" s="1"/>
  <c r="P9" i="1" s="1"/>
  <c r="P8" i="1"/>
  <c r="L8" i="1"/>
  <c r="J8" i="1"/>
  <c r="H8" i="1"/>
  <c r="P7" i="1"/>
  <c r="I7" i="1"/>
  <c r="H7" i="1"/>
  <c r="T6" i="1"/>
  <c r="P6" i="1"/>
  <c r="I6" i="1"/>
  <c r="H6" i="1"/>
  <c r="P5" i="1"/>
  <c r="H5" i="1"/>
  <c r="T3" i="1"/>
  <c r="N4" i="1" s="1"/>
  <c r="S12" i="5" l="1"/>
  <c r="T12" i="5" s="1"/>
  <c r="S12" i="3"/>
  <c r="P26" i="1"/>
  <c r="P28" i="1" s="1"/>
  <c r="P29" i="1" s="1"/>
  <c r="P31" i="1" s="1"/>
  <c r="U6" i="4"/>
  <c r="X35" i="4"/>
  <c r="R27" i="4"/>
  <c r="S9" i="2"/>
  <c r="R9" i="2"/>
  <c r="U9" i="2" s="1"/>
  <c r="S11" i="2"/>
  <c r="R11" i="2"/>
  <c r="S13" i="2"/>
  <c r="R13" i="2"/>
  <c r="U13" i="2" s="1"/>
  <c r="S10" i="4"/>
  <c r="R10" i="4"/>
  <c r="R20" i="4"/>
  <c r="U20" i="4" s="1"/>
  <c r="T20" i="4"/>
  <c r="S20" i="4"/>
  <c r="T9" i="2"/>
  <c r="T11" i="2"/>
  <c r="T26" i="2" s="1"/>
  <c r="T28" i="2" s="1"/>
  <c r="T32" i="2" s="1"/>
  <c r="U9" i="3"/>
  <c r="U23" i="3"/>
  <c r="S9" i="4"/>
  <c r="S26" i="4" s="1"/>
  <c r="R9" i="4"/>
  <c r="S13" i="4"/>
  <c r="T13" i="4"/>
  <c r="R13" i="4"/>
  <c r="U13" i="4" s="1"/>
  <c r="S26" i="5"/>
  <c r="T7" i="5"/>
  <c r="E3" i="7"/>
  <c r="E4" i="7"/>
  <c r="R11" i="3"/>
  <c r="S11" i="3"/>
  <c r="R15" i="3"/>
  <c r="U15" i="3" s="1"/>
  <c r="S15" i="3"/>
  <c r="S14" i="4"/>
  <c r="R14" i="4"/>
  <c r="U14" i="4" s="1"/>
  <c r="S10" i="2"/>
  <c r="R10" i="2"/>
  <c r="U10" i="2" s="1"/>
  <c r="S12" i="2"/>
  <c r="S26" i="2" s="1"/>
  <c r="U19" i="2"/>
  <c r="R22" i="2"/>
  <c r="U22" i="2" s="1"/>
  <c r="U23" i="2"/>
  <c r="U5" i="3"/>
  <c r="R10" i="3"/>
  <c r="U10" i="3" s="1"/>
  <c r="S10" i="3"/>
  <c r="T14" i="3"/>
  <c r="S14" i="3"/>
  <c r="U14" i="3" s="1"/>
  <c r="T22" i="3"/>
  <c r="R22" i="3"/>
  <c r="U22" i="3" s="1"/>
  <c r="U5" i="4"/>
  <c r="T12" i="4"/>
  <c r="S12" i="4"/>
  <c r="T13" i="5"/>
  <c r="U12" i="4"/>
  <c r="S22" i="5"/>
  <c r="R22" i="5"/>
  <c r="T22" i="5" s="1"/>
  <c r="U5" i="2"/>
  <c r="R12" i="2"/>
  <c r="U12" i="2" s="1"/>
  <c r="T13" i="2"/>
  <c r="S15" i="2"/>
  <c r="R15" i="2"/>
  <c r="U15" i="2" s="1"/>
  <c r="U16" i="2"/>
  <c r="U17" i="2"/>
  <c r="U25" i="2"/>
  <c r="T11" i="3"/>
  <c r="T26" i="3" s="1"/>
  <c r="T28" i="3" s="1"/>
  <c r="T32" i="3" s="1"/>
  <c r="T13" i="3"/>
  <c r="U13" i="3" s="1"/>
  <c r="T15" i="3"/>
  <c r="U24" i="3"/>
  <c r="T10" i="4"/>
  <c r="T26" i="4" s="1"/>
  <c r="T28" i="4" s="1"/>
  <c r="T32" i="4" s="1"/>
  <c r="T14" i="4"/>
  <c r="S15" i="4"/>
  <c r="R15" i="4"/>
  <c r="U15" i="4" s="1"/>
  <c r="U22" i="4"/>
  <c r="T23" i="4"/>
  <c r="R23" i="4"/>
  <c r="U23" i="4" s="1"/>
  <c r="C11" i="6"/>
  <c r="Y3" i="4"/>
  <c r="E67" i="8"/>
  <c r="I67" i="8"/>
  <c r="M67" i="8"/>
  <c r="C49" i="8"/>
  <c r="G49" i="8"/>
  <c r="K49" i="8"/>
  <c r="O49" i="8"/>
  <c r="B52" i="8"/>
  <c r="F52" i="8"/>
  <c r="J52" i="8"/>
  <c r="N52" i="8"/>
  <c r="D70" i="8"/>
  <c r="H70" i="8"/>
  <c r="L70" i="8"/>
  <c r="P70" i="8"/>
  <c r="C73" i="8"/>
  <c r="G73" i="8"/>
  <c r="K73" i="8"/>
  <c r="O73" i="8"/>
  <c r="B76" i="8"/>
  <c r="F76" i="8"/>
  <c r="J76" i="8"/>
  <c r="Y6" i="3"/>
  <c r="N4" i="3" s="1"/>
  <c r="U7" i="3"/>
  <c r="U16" i="3"/>
  <c r="Y6" i="5"/>
  <c r="N4" i="5" s="1"/>
  <c r="Y3" i="2"/>
  <c r="Y6" i="2"/>
  <c r="Y3" i="3"/>
  <c r="U6" i="3"/>
  <c r="R12" i="3"/>
  <c r="U19" i="3"/>
  <c r="R20" i="3"/>
  <c r="U20" i="3" s="1"/>
  <c r="U25" i="3"/>
  <c r="T5" i="5"/>
  <c r="S16" i="5"/>
  <c r="T16" i="5" s="1"/>
  <c r="U12" i="3" l="1"/>
  <c r="S26" i="3"/>
  <c r="P30" i="1"/>
  <c r="P32" i="1"/>
  <c r="R27" i="2"/>
  <c r="X35" i="2"/>
  <c r="R26" i="2"/>
  <c r="R26" i="3"/>
  <c r="U10" i="4"/>
  <c r="X35" i="3"/>
  <c r="R27" i="3"/>
  <c r="Y7" i="5"/>
  <c r="O4" i="5" s="1"/>
  <c r="S28" i="5" s="1"/>
  <c r="S32" i="5" s="1"/>
  <c r="Y7" i="4"/>
  <c r="O4" i="4" s="1"/>
  <c r="S28" i="4" s="1"/>
  <c r="S32" i="4" s="1"/>
  <c r="Y7" i="2"/>
  <c r="S28" i="2" s="1"/>
  <c r="S32" i="2" s="1"/>
  <c r="T7" i="1"/>
  <c r="Y7" i="3"/>
  <c r="O4" i="3" s="1"/>
  <c r="S28" i="3" s="1"/>
  <c r="S32" i="3" s="1"/>
  <c r="U11" i="3"/>
  <c r="R26" i="5"/>
  <c r="U11" i="2"/>
  <c r="Y35" i="4"/>
  <c r="Z35" i="4" s="1"/>
  <c r="U27" i="4"/>
  <c r="G5" i="7"/>
  <c r="F5" i="7"/>
  <c r="U9" i="4"/>
  <c r="R26" i="4"/>
  <c r="R27" i="5"/>
  <c r="W35" i="5"/>
  <c r="X35" i="5" l="1"/>
  <c r="T27" i="5"/>
  <c r="Y35" i="2"/>
  <c r="Z35" i="2" s="1"/>
  <c r="U27" i="2"/>
  <c r="Y35" i="5"/>
  <c r="Y37" i="5" s="1"/>
  <c r="G6" i="7"/>
  <c r="G7" i="7"/>
  <c r="U26" i="4"/>
  <c r="R28" i="4"/>
  <c r="U26" i="3"/>
  <c r="R28" i="3"/>
  <c r="U28" i="3" s="1"/>
  <c r="Y36" i="3" s="1"/>
  <c r="Z36" i="3" s="1"/>
  <c r="F6" i="7"/>
  <c r="F7" i="7"/>
  <c r="Y35" i="3"/>
  <c r="R32" i="3"/>
  <c r="U32" i="3" s="1"/>
  <c r="U27" i="3"/>
  <c r="R28" i="5"/>
  <c r="T28" i="5" s="1"/>
  <c r="X36" i="5" s="1"/>
  <c r="Y36" i="5" s="1"/>
  <c r="T26" i="5"/>
  <c r="Z35" i="3"/>
  <c r="U26" i="2"/>
  <c r="R28" i="2"/>
  <c r="U28" i="2" s="1"/>
  <c r="Y36" i="2" s="1"/>
  <c r="Z36" i="2" s="1"/>
  <c r="Z37" i="3" l="1"/>
  <c r="R30" i="3"/>
  <c r="U30" i="3" s="1"/>
  <c r="R29" i="3"/>
  <c r="U29" i="3" s="1"/>
  <c r="R31" i="3" s="1"/>
  <c r="U31" i="3" s="1"/>
  <c r="R30" i="2"/>
  <c r="U30" i="2" s="1"/>
  <c r="R29" i="2"/>
  <c r="U29" i="2" s="1"/>
  <c r="R31" i="2" s="1"/>
  <c r="U31" i="2" s="1"/>
  <c r="R32" i="5"/>
  <c r="T32" i="5" s="1"/>
  <c r="U28" i="4"/>
  <c r="R32" i="4"/>
  <c r="U32" i="4" s="1"/>
  <c r="R32" i="2"/>
  <c r="U32" i="2" s="1"/>
  <c r="R30" i="5"/>
  <c r="T30" i="5" s="1"/>
  <c r="R29" i="5"/>
  <c r="T29" i="5" s="1"/>
  <c r="R31" i="5" s="1"/>
  <c r="T31" i="5" s="1"/>
  <c r="Z37" i="2"/>
  <c r="Y36" i="4" l="1"/>
  <c r="Z36" i="4" s="1"/>
  <c r="Z37" i="4" s="1"/>
  <c r="R30" i="4"/>
  <c r="U30" i="4" s="1"/>
  <c r="R29" i="4"/>
  <c r="U29" i="4" s="1"/>
  <c r="R31" i="4" s="1"/>
  <c r="U31" i="4" s="1"/>
</calcChain>
</file>

<file path=xl/sharedStrings.xml><?xml version="1.0" encoding="utf-8"?>
<sst xmlns="http://schemas.openxmlformats.org/spreadsheetml/2006/main" count="797" uniqueCount="224">
  <si>
    <t>sunlight</t>
  </si>
  <si>
    <t>Wheel x 3</t>
  </si>
  <si>
    <t>PULSAR-STX</t>
  </si>
  <si>
    <r>
      <rPr>
        <sz val="11"/>
        <color rgb="FF000000"/>
        <rFont val="맑은 고딕"/>
        <family val="3"/>
        <charset val="129"/>
      </rPr>
      <t>710</t>
    </r>
    <r>
      <rPr>
        <sz val="11"/>
        <color rgb="FFFF0000"/>
        <rFont val="맑은 고딕"/>
        <family val="3"/>
        <charset val="129"/>
      </rPr>
      <t xml:space="preserve"> (7043s)</t>
    </r>
  </si>
  <si>
    <t>worst case</t>
  </si>
  <si>
    <t>End ComN</t>
  </si>
  <si>
    <t>Current(A)</t>
  </si>
  <si>
    <t>After mission or S-band COM,charging magnitude</t>
  </si>
  <si>
    <t>SoC after mission or S-band COM except margin</t>
  </si>
  <si>
    <t>Required Energy (orbit average)</t>
  </si>
  <si>
    <t>Generated Energy(orbit average)</t>
  </si>
  <si>
    <t>Power Margin (orbit average)</t>
  </si>
  <si>
    <t>SoC after sun-pointing 6 orbit</t>
  </si>
  <si>
    <t>SoC after mission or S-band COM</t>
  </si>
  <si>
    <t>Earth Gravitational Standard Cosntant (km3/sec2)</t>
  </si>
  <si>
    <t>UHF antenna</t>
  </si>
  <si>
    <t>Cubecontrol</t>
  </si>
  <si>
    <t>GPS antenna</t>
  </si>
  <si>
    <t>S-band Tx</t>
  </si>
  <si>
    <t>EPS</t>
  </si>
  <si>
    <t>OBC</t>
  </si>
  <si>
    <t>PCDU</t>
  </si>
  <si>
    <t>PAYC</t>
  </si>
  <si>
    <t>CNDH</t>
  </si>
  <si>
    <t>PAYR</t>
  </si>
  <si>
    <t>GPS Rx</t>
  </si>
  <si>
    <t>Cubecomputer</t>
  </si>
  <si>
    <t>5V(2)</t>
  </si>
  <si>
    <t>LTAN</t>
  </si>
  <si>
    <t>935s</t>
  </si>
  <si>
    <t>3654s</t>
  </si>
  <si>
    <t>2016s</t>
  </si>
  <si>
    <t>3651s</t>
  </si>
  <si>
    <t>1970s</t>
  </si>
  <si>
    <t>3649s</t>
  </si>
  <si>
    <t>12주기</t>
  </si>
  <si>
    <t>Eclipse</t>
  </si>
  <si>
    <t xml:space="preserve">End </t>
  </si>
  <si>
    <t>3653s</t>
  </si>
  <si>
    <t>3.3V</t>
  </si>
  <si>
    <t>Total</t>
  </si>
  <si>
    <t>Etmp</t>
  </si>
  <si>
    <t>ADCS</t>
  </si>
  <si>
    <t>681s</t>
  </si>
  <si>
    <t>CubeMag</t>
  </si>
  <si>
    <t>5.0V</t>
  </si>
  <si>
    <t>2014s</t>
  </si>
  <si>
    <t>5V(1)</t>
  </si>
  <si>
    <t>COMS</t>
  </si>
  <si>
    <t>2025s</t>
  </si>
  <si>
    <t>&lt; 4.5 A</t>
  </si>
  <si>
    <t>3650s</t>
  </si>
  <si>
    <t>Idel</t>
  </si>
  <si>
    <t>Mode</t>
  </si>
  <si>
    <t>&lt; 4.7 A</t>
  </si>
  <si>
    <t>3652s</t>
  </si>
  <si>
    <t>Idle</t>
  </si>
  <si>
    <t>Vbat</t>
  </si>
  <si>
    <t>2010s</t>
  </si>
  <si>
    <t>3646s</t>
  </si>
  <si>
    <t>10주기</t>
  </si>
  <si>
    <t>OEM719</t>
  </si>
  <si>
    <t>TW1829</t>
  </si>
  <si>
    <t>2018s</t>
  </si>
  <si>
    <t>Time</t>
  </si>
  <si>
    <t>3.3V(3)</t>
  </si>
  <si>
    <t>UHF TRx</t>
  </si>
  <si>
    <t>PAYS</t>
  </si>
  <si>
    <t>Emppt</t>
  </si>
  <si>
    <t>661s</t>
  </si>
  <si>
    <t>Eman</t>
  </si>
  <si>
    <t>Product</t>
  </si>
  <si>
    <t>2458s</t>
  </si>
  <si>
    <t>Nominal</t>
  </si>
  <si>
    <t>VBAT</t>
  </si>
  <si>
    <t>3.3V(2)</t>
  </si>
  <si>
    <t>Power</t>
  </si>
  <si>
    <t>&gt;40%</t>
  </si>
  <si>
    <t>13주기</t>
  </si>
  <si>
    <t>14주기</t>
  </si>
  <si>
    <t>421s</t>
  </si>
  <si>
    <t>510s</t>
  </si>
  <si>
    <t>3.3V(1)</t>
  </si>
  <si>
    <t>11주기</t>
  </si>
  <si>
    <t>channel</t>
  </si>
  <si>
    <t>2015s</t>
  </si>
  <si>
    <t>2024s</t>
  </si>
  <si>
    <t>15주기</t>
  </si>
  <si>
    <t>ISIS</t>
  </si>
  <si>
    <t>&gt; 40 %</t>
  </si>
  <si>
    <t>Peak</t>
  </si>
  <si>
    <t>Note</t>
  </si>
  <si>
    <t>1367s</t>
  </si>
  <si>
    <t>Duty(%)</t>
  </si>
  <si>
    <t>Battery</t>
  </si>
  <si>
    <t>After sun-pointing, charging  magnitude</t>
  </si>
  <si>
    <r>
      <t xml:space="preserve">0 </t>
    </r>
    <r>
      <rPr>
        <sz val="11"/>
        <color rgb="FFFF0000"/>
        <rFont val="맑은 고딕"/>
        <family val="3"/>
        <charset val="129"/>
      </rPr>
      <t>(0s)</t>
    </r>
  </si>
  <si>
    <t xml:space="preserve">Need Orbit number for Full charge </t>
  </si>
  <si>
    <t>Power Margin Value (orbit average)</t>
  </si>
  <si>
    <t>CubeTorquers rod</t>
  </si>
  <si>
    <t>Power Margin Value</t>
  </si>
  <si>
    <t>CubeTorquers coil</t>
  </si>
  <si>
    <t>Depth of Discharge</t>
  </si>
  <si>
    <t xml:space="preserve">End Mission &amp; ComD </t>
  </si>
  <si>
    <t>Starbuck-Nano-Plus</t>
  </si>
  <si>
    <t>Start Index(Time)</t>
  </si>
  <si>
    <t>Cubesense V3 x 2</t>
  </si>
  <si>
    <t>Residual/Generation</t>
  </si>
  <si>
    <t>Mission &amp; UHF COM</t>
  </si>
  <si>
    <t>6주기</t>
  </si>
  <si>
    <t>%</t>
  </si>
  <si>
    <t>Tx</t>
  </si>
  <si>
    <t>N</t>
  </si>
  <si>
    <t>1주기</t>
  </si>
  <si>
    <t>DET</t>
  </si>
  <si>
    <t>Rx</t>
  </si>
  <si>
    <t>7주기</t>
  </si>
  <si>
    <t>sum</t>
  </si>
  <si>
    <t>4주기</t>
  </si>
  <si>
    <t>W</t>
  </si>
  <si>
    <t>5주기</t>
  </si>
  <si>
    <t>3주기</t>
  </si>
  <si>
    <t>9주기</t>
  </si>
  <si>
    <t>G-C</t>
  </si>
  <si>
    <t>GEN</t>
  </si>
  <si>
    <t>8주기</t>
  </si>
  <si>
    <t>Cam</t>
  </si>
  <si>
    <t>2주기</t>
  </si>
  <si>
    <t>CON</t>
  </si>
  <si>
    <t>Wh</t>
  </si>
  <si>
    <t>5V</t>
  </si>
  <si>
    <t>NST</t>
  </si>
  <si>
    <r>
      <t xml:space="preserve">139 </t>
    </r>
    <r>
      <rPr>
        <sz val="11"/>
        <color rgb="FFFF0000"/>
        <rFont val="맑은 고딕"/>
        <family val="3"/>
        <charset val="129"/>
      </rPr>
      <t>(1367s)</t>
    </r>
  </si>
  <si>
    <t>Earth Effective Radius (km)</t>
  </si>
  <si>
    <t>conversion efficiency (%)</t>
  </si>
  <si>
    <t>parameter</t>
  </si>
  <si>
    <t>Detumbling</t>
  </si>
  <si>
    <r>
      <rPr>
        <sz val="11"/>
        <color rgb="FF000000"/>
        <rFont val="맑은 고딕"/>
        <family val="3"/>
        <charset val="129"/>
      </rPr>
      <t>507</t>
    </r>
    <r>
      <rPr>
        <sz val="11"/>
        <color rgb="FFFF0000"/>
        <rFont val="맑은 고딕"/>
        <family val="3"/>
        <charset val="129"/>
      </rPr>
      <t xml:space="preserve"> (5019s)</t>
    </r>
  </si>
  <si>
    <t>Solar cell</t>
  </si>
  <si>
    <r>
      <rPr>
        <sz val="11"/>
        <color rgb="FF000000"/>
        <rFont val="맑은 고딕"/>
        <family val="3"/>
        <charset val="129"/>
      </rPr>
      <t>761</t>
    </r>
    <r>
      <rPr>
        <sz val="11"/>
        <color rgb="FFFF0000"/>
        <rFont val="맑은 고딕"/>
        <family val="3"/>
        <charset val="129"/>
      </rPr>
      <t xml:space="preserve"> (7552s)</t>
    </r>
  </si>
  <si>
    <t>ADCS module</t>
  </si>
  <si>
    <r>
      <rPr>
        <sz val="11"/>
        <color rgb="FF000000"/>
        <rFont val="맑은 고딕"/>
        <family val="3"/>
        <charset val="129"/>
      </rPr>
      <t>829</t>
    </r>
    <r>
      <rPr>
        <sz val="11"/>
        <color rgb="FFFF0000"/>
        <rFont val="맑은 고딕"/>
        <family val="3"/>
        <charset val="129"/>
      </rPr>
      <t xml:space="preserve"> (8232s)</t>
    </r>
  </si>
  <si>
    <t>Stand-by(D)</t>
  </si>
  <si>
    <r>
      <rPr>
        <sz val="11"/>
        <color rgb="FF000000"/>
        <rFont val="맑은 고딕"/>
        <family val="3"/>
        <charset val="129"/>
      </rPr>
      <t>709</t>
    </r>
    <r>
      <rPr>
        <sz val="11"/>
        <color rgb="FFFF0000"/>
        <rFont val="맑은 고딕"/>
        <family val="3"/>
        <charset val="129"/>
      </rPr>
      <t xml:space="preserve"> (7033s)</t>
    </r>
  </si>
  <si>
    <t>Start ComN</t>
  </si>
  <si>
    <t>Stand-by(N)</t>
  </si>
  <si>
    <t>1367+5668</t>
  </si>
  <si>
    <t>Stand-by</t>
  </si>
  <si>
    <t>Optimus-40</t>
  </si>
  <si>
    <t>GOMspace</t>
  </si>
  <si>
    <t>S-band COM</t>
  </si>
  <si>
    <t>Component</t>
  </si>
  <si>
    <t xml:space="preserve">Eclipse </t>
  </si>
  <si>
    <t>Peak load</t>
  </si>
  <si>
    <t>Subsystem</t>
  </si>
  <si>
    <t xml:space="preserve">Dayside </t>
  </si>
  <si>
    <t>Power Generation(Wh)</t>
  </si>
  <si>
    <t>Conversion Efficiency</t>
  </si>
  <si>
    <t>Consumption Power (W)</t>
  </si>
  <si>
    <t>Power Consumption(Wh)</t>
  </si>
  <si>
    <t>orbital period (sec)</t>
  </si>
  <si>
    <t>SoC after sun-pointing</t>
  </si>
  <si>
    <t xml:space="preserve">Start Mission &amp; ComD </t>
  </si>
  <si>
    <t>total power consumption</t>
  </si>
  <si>
    <t>solar panel efficiency</t>
  </si>
  <si>
    <t>S-band period</t>
  </si>
  <si>
    <t>Gen-Cons(Wh)</t>
  </si>
  <si>
    <t>charging rate</t>
  </si>
  <si>
    <t>DoD reference</t>
  </si>
  <si>
    <t>Eclipse (sec)</t>
  </si>
  <si>
    <t>attitdue (km)</t>
  </si>
  <si>
    <t>NanoCam - 70 mm</t>
  </si>
  <si>
    <t>Beta angle(deg)</t>
  </si>
  <si>
    <t>sunlight (sec)</t>
  </si>
  <si>
    <t>Voltage Input</t>
  </si>
  <si>
    <t>Total Time(sec)</t>
  </si>
  <si>
    <t>Missiond period</t>
  </si>
  <si>
    <t>NanoCom AX100</t>
  </si>
  <si>
    <r>
      <rPr>
        <sz val="11"/>
        <color rgb="FF000000"/>
        <rFont val="맑은 고딕"/>
        <family val="3"/>
        <charset val="129"/>
      </rPr>
      <t>1075</t>
    </r>
    <r>
      <rPr>
        <sz val="11"/>
        <color rgb="FFFF0000"/>
        <rFont val="맑은 고딕"/>
        <family val="3"/>
        <charset val="129"/>
      </rPr>
      <t xml:space="preserve"> (10689s)</t>
    </r>
  </si>
  <si>
    <t>Power Margin</t>
  </si>
  <si>
    <r>
      <rPr>
        <sz val="11"/>
        <color rgb="FF000000"/>
        <rFont val="맑은 고딕"/>
        <family val="3"/>
        <charset val="129"/>
      </rPr>
      <t>1278</t>
    </r>
    <r>
      <rPr>
        <sz val="11"/>
        <color rgb="FFFF0000"/>
        <rFont val="맑은 고딕"/>
        <family val="3"/>
        <charset val="129"/>
      </rPr>
      <t xml:space="preserve"> (12713s)</t>
    </r>
  </si>
  <si>
    <t>Orbit period</t>
  </si>
  <si>
    <t>required margin</t>
  </si>
  <si>
    <r>
      <t xml:space="preserve">1279 </t>
    </r>
    <r>
      <rPr>
        <sz val="11"/>
        <color rgb="FFFF0000"/>
        <rFont val="맑은 고딕"/>
        <family val="3"/>
        <charset val="129"/>
      </rPr>
      <t>(12713s)</t>
    </r>
  </si>
  <si>
    <r>
      <t xml:space="preserve">1849 </t>
    </r>
    <r>
      <rPr>
        <sz val="11"/>
        <color rgb="FFFF0000"/>
        <rFont val="맑은 고딕"/>
        <family val="3"/>
        <charset val="129"/>
      </rPr>
      <t>(18388s)</t>
    </r>
  </si>
  <si>
    <r>
      <t xml:space="preserve">2416 </t>
    </r>
    <r>
      <rPr>
        <sz val="11"/>
        <color rgb="FFFF0000"/>
        <rFont val="맑은 고딕"/>
        <family val="3"/>
        <charset val="129"/>
      </rPr>
      <t>(24055s)</t>
    </r>
  </si>
  <si>
    <r>
      <t xml:space="preserve">2985 </t>
    </r>
    <r>
      <rPr>
        <sz val="11"/>
        <color rgb="FFFF0000"/>
        <rFont val="맑은 고딕"/>
        <family val="3"/>
        <charset val="129"/>
      </rPr>
      <t>(29728s)</t>
    </r>
  </si>
  <si>
    <r>
      <t>4126</t>
    </r>
    <r>
      <rPr>
        <sz val="11"/>
        <color rgb="FFFF0000"/>
        <rFont val="맑은 고딕"/>
        <family val="3"/>
        <charset val="129"/>
      </rPr>
      <t xml:space="preserve"> (41077s)</t>
    </r>
  </si>
  <si>
    <r>
      <t xml:space="preserve">4696 </t>
    </r>
    <r>
      <rPr>
        <sz val="11"/>
        <color rgb="FFFF0000"/>
        <rFont val="맑은 고딕"/>
        <family val="3"/>
        <charset val="129"/>
      </rPr>
      <t>(46750s)</t>
    </r>
  </si>
  <si>
    <r>
      <t xml:space="preserve">3556 </t>
    </r>
    <r>
      <rPr>
        <sz val="11"/>
        <color rgb="FFFF0000"/>
        <rFont val="맑은 고딕"/>
        <family val="3"/>
        <charset val="129"/>
      </rPr>
      <t>(35403s)</t>
    </r>
  </si>
  <si>
    <r>
      <t xml:space="preserve">5265 </t>
    </r>
    <r>
      <rPr>
        <sz val="11"/>
        <color rgb="FFFF0000"/>
        <rFont val="맑은 고딕"/>
        <family val="3"/>
        <charset val="129"/>
      </rPr>
      <t>(52422s)</t>
    </r>
  </si>
  <si>
    <r>
      <t xml:space="preserve">5834 </t>
    </r>
    <r>
      <rPr>
        <sz val="11"/>
        <color rgb="FFFF0000"/>
        <rFont val="맑은 고딕"/>
        <family val="3"/>
        <charset val="129"/>
      </rPr>
      <t>(58093s)</t>
    </r>
  </si>
  <si>
    <r>
      <t xml:space="preserve">6972 </t>
    </r>
    <r>
      <rPr>
        <sz val="11"/>
        <color rgb="FFFF0000"/>
        <rFont val="맑은 고딕"/>
        <family val="3"/>
        <charset val="129"/>
      </rPr>
      <t>(69435s)</t>
    </r>
  </si>
  <si>
    <r>
      <t xml:space="preserve">7543 </t>
    </r>
    <r>
      <rPr>
        <sz val="11"/>
        <color rgb="FFFF0000"/>
        <rFont val="맑은 고딕"/>
        <family val="3"/>
        <charset val="129"/>
      </rPr>
      <t>(75108s)</t>
    </r>
  </si>
  <si>
    <r>
      <t xml:space="preserve">6404 </t>
    </r>
    <r>
      <rPr>
        <sz val="11"/>
        <color rgb="FFFF0000"/>
        <rFont val="맑은 고딕"/>
        <family val="3"/>
        <charset val="129"/>
      </rPr>
      <t>(63766s)</t>
    </r>
  </si>
  <si>
    <r>
      <t xml:space="preserve">8114 </t>
    </r>
    <r>
      <rPr>
        <sz val="11"/>
        <color rgb="FFFF0000"/>
        <rFont val="맑은 고딕"/>
        <family val="3"/>
        <charset val="129"/>
      </rPr>
      <t>(80782s)</t>
    </r>
  </si>
  <si>
    <r>
      <t xml:space="preserve">1646 </t>
    </r>
    <r>
      <rPr>
        <sz val="11"/>
        <color rgb="FFFF0000"/>
        <rFont val="맑은 고딕"/>
        <family val="3"/>
        <charset val="129"/>
      </rPr>
      <t>(16364s)</t>
    </r>
  </si>
  <si>
    <r>
      <t xml:space="preserve">5061 </t>
    </r>
    <r>
      <rPr>
        <sz val="11"/>
        <color rgb="FFFF0000"/>
        <rFont val="맑은 고딕"/>
        <family val="3"/>
        <charset val="129"/>
      </rPr>
      <t>(50395s)</t>
    </r>
  </si>
  <si>
    <r>
      <t xml:space="preserve">2214 </t>
    </r>
    <r>
      <rPr>
        <sz val="11"/>
        <color rgb="FFFF0000"/>
        <rFont val="맑은 고딕"/>
        <family val="3"/>
        <charset val="129"/>
      </rPr>
      <t>(22036s)</t>
    </r>
  </si>
  <si>
    <r>
      <t xml:space="preserve">2782 </t>
    </r>
    <r>
      <rPr>
        <sz val="11"/>
        <color rgb="FFFF0000"/>
        <rFont val="맑은 고딕"/>
        <family val="3"/>
        <charset val="129"/>
      </rPr>
      <t>(27707s)</t>
    </r>
  </si>
  <si>
    <r>
      <t xml:space="preserve">3353 </t>
    </r>
    <r>
      <rPr>
        <sz val="11"/>
        <color rgb="FFFF0000"/>
        <rFont val="맑은 고딕"/>
        <family val="3"/>
        <charset val="129"/>
      </rPr>
      <t>(33381s)</t>
    </r>
  </si>
  <si>
    <r>
      <t xml:space="preserve">4493 </t>
    </r>
    <r>
      <rPr>
        <sz val="11"/>
        <color rgb="FFFF0000"/>
        <rFont val="맑은 고딕"/>
        <family val="3"/>
        <charset val="129"/>
      </rPr>
      <t>(44726s)</t>
    </r>
  </si>
  <si>
    <r>
      <t>5631</t>
    </r>
    <r>
      <rPr>
        <sz val="11"/>
        <color rgb="FFFF0000"/>
        <rFont val="맑은 고딕"/>
        <family val="3"/>
        <charset val="129"/>
      </rPr>
      <t xml:space="preserve"> (56071s)</t>
    </r>
  </si>
  <si>
    <r>
      <t xml:space="preserve">7340 </t>
    </r>
    <r>
      <rPr>
        <sz val="11"/>
        <color rgb="FFFF0000"/>
        <rFont val="맑은 고딕"/>
        <family val="3"/>
        <charset val="129"/>
      </rPr>
      <t>(73088s)</t>
    </r>
  </si>
  <si>
    <r>
      <t xml:space="preserve">8482 </t>
    </r>
    <r>
      <rPr>
        <sz val="11"/>
        <color rgb="FFFF0000"/>
        <rFont val="맑은 고딕"/>
        <family val="3"/>
        <charset val="129"/>
      </rPr>
      <t>(84431s)</t>
    </r>
  </si>
  <si>
    <r>
      <t xml:space="preserve">6769 </t>
    </r>
    <r>
      <rPr>
        <sz val="11"/>
        <color rgb="FFFF0000"/>
        <rFont val="맑은 고딕"/>
        <family val="3"/>
        <charset val="129"/>
      </rPr>
      <t>(67414s)</t>
    </r>
  </si>
  <si>
    <r>
      <t xml:space="preserve">7911 </t>
    </r>
    <r>
      <rPr>
        <sz val="11"/>
        <color rgb="FFFF0000"/>
        <rFont val="맑은 고딕"/>
        <family val="3"/>
        <charset val="129"/>
      </rPr>
      <t>(78759s)</t>
    </r>
  </si>
  <si>
    <r>
      <t xml:space="preserve">3922 </t>
    </r>
    <r>
      <rPr>
        <sz val="11"/>
        <color rgb="FFFF0000"/>
        <rFont val="맑은 고딕"/>
        <family val="3"/>
        <charset val="129"/>
      </rPr>
      <t>(39051s)</t>
    </r>
  </si>
  <si>
    <r>
      <t xml:space="preserve">6201 </t>
    </r>
    <r>
      <rPr>
        <sz val="11"/>
        <color rgb="FFFF0000"/>
        <rFont val="맑은 고딕"/>
        <family val="3"/>
        <charset val="129"/>
      </rPr>
      <t>(61743s)</t>
    </r>
  </si>
  <si>
    <r>
      <t xml:space="preserve">4587 </t>
    </r>
    <r>
      <rPr>
        <sz val="11"/>
        <color rgb="FFFF0000"/>
        <rFont val="맑은 고딕"/>
        <family val="3"/>
        <charset val="129"/>
      </rPr>
      <t>(45660s)</t>
    </r>
  </si>
  <si>
    <r>
      <t xml:space="preserve">8680 </t>
    </r>
    <r>
      <rPr>
        <sz val="11"/>
        <color rgb="FFFF0000"/>
        <rFont val="맑은 고딕"/>
        <family val="3"/>
        <charset val="129"/>
      </rPr>
      <t>(86400s)</t>
    </r>
  </si>
  <si>
    <r>
      <t xml:space="preserve">4653 </t>
    </r>
    <r>
      <rPr>
        <sz val="11"/>
        <color rgb="FFFF0000"/>
        <rFont val="맑은 고딕"/>
        <family val="3"/>
        <charset val="129"/>
      </rPr>
      <t>(46320s)</t>
    </r>
  </si>
  <si>
    <r>
      <t xml:space="preserve">6971 </t>
    </r>
    <r>
      <rPr>
        <sz val="11"/>
        <color rgb="FFFF0000"/>
        <rFont val="맑은 고딕"/>
        <family val="3"/>
        <charset val="129"/>
      </rPr>
      <t>(69429s)</t>
    </r>
  </si>
  <si>
    <r>
      <t xml:space="preserve">5264 </t>
    </r>
    <r>
      <rPr>
        <sz val="11"/>
        <color rgb="FFFF0000"/>
        <rFont val="맑은 고딕"/>
        <family val="3"/>
        <charset val="129"/>
      </rPr>
      <t>(52412s)</t>
    </r>
  </si>
  <si>
    <r>
      <t xml:space="preserve">2415 </t>
    </r>
    <r>
      <rPr>
        <sz val="11"/>
        <color rgb="FFFF0000"/>
        <rFont val="맑은 고딕"/>
        <family val="3"/>
        <charset val="129"/>
      </rPr>
      <t>(24045s)</t>
    </r>
  </si>
  <si>
    <r>
      <t xml:space="preserve">7542 </t>
    </r>
    <r>
      <rPr>
        <sz val="11"/>
        <color rgb="FFFF0000"/>
        <rFont val="맑은 고딕"/>
        <family val="3"/>
        <charset val="129"/>
      </rPr>
      <t>(75101s)</t>
    </r>
  </si>
  <si>
    <r>
      <t xml:space="preserve">1848 </t>
    </r>
    <r>
      <rPr>
        <sz val="11"/>
        <color rgb="FFFF0000"/>
        <rFont val="맑은 고딕"/>
        <family val="3"/>
        <charset val="129"/>
      </rPr>
      <t>(18378s)</t>
    </r>
  </si>
  <si>
    <r>
      <t>5833</t>
    </r>
    <r>
      <rPr>
        <sz val="11"/>
        <color rgb="FFFF0000"/>
        <rFont val="맑은 고딕"/>
        <family val="3"/>
        <charset val="129"/>
      </rPr>
      <t xml:space="preserve"> (58084s)</t>
    </r>
  </si>
  <si>
    <r>
      <t xml:space="preserve">8113 </t>
    </r>
    <r>
      <rPr>
        <sz val="11"/>
        <color rgb="FFFF0000"/>
        <rFont val="맑은 고딕"/>
        <family val="3"/>
        <charset val="129"/>
      </rPr>
      <t>(80773s)</t>
    </r>
  </si>
  <si>
    <r>
      <t xml:space="preserve">6403 </t>
    </r>
    <r>
      <rPr>
        <sz val="11"/>
        <color rgb="FFFF0000"/>
        <rFont val="맑은 고딕"/>
        <family val="3"/>
        <charset val="129"/>
      </rPr>
      <t>(63766s)</t>
    </r>
  </si>
  <si>
    <r>
      <t xml:space="preserve">3555 </t>
    </r>
    <r>
      <rPr>
        <sz val="11"/>
        <color rgb="FFFF0000"/>
        <rFont val="맑은 고딕"/>
        <family val="3"/>
        <charset val="129"/>
      </rPr>
      <t>(35394s)</t>
    </r>
  </si>
  <si>
    <r>
      <t xml:space="preserve">4125 </t>
    </r>
    <r>
      <rPr>
        <sz val="11"/>
        <color rgb="FFFF0000"/>
        <rFont val="맑은 고딕"/>
        <family val="3"/>
        <charset val="129"/>
      </rPr>
      <t>(41068s)</t>
    </r>
  </si>
  <si>
    <r>
      <t xml:space="preserve">2984 </t>
    </r>
    <r>
      <rPr>
        <sz val="11"/>
        <color rgb="FFFF0000"/>
        <rFont val="맑은 고딕"/>
        <family val="3"/>
        <charset val="129"/>
      </rPr>
      <t>(29721s)</t>
    </r>
  </si>
  <si>
    <r>
      <t xml:space="preserve">4695 </t>
    </r>
    <r>
      <rPr>
        <sz val="11"/>
        <color rgb="FFFF0000"/>
        <rFont val="맑은 고딕"/>
        <family val="3"/>
        <charset val="129"/>
      </rPr>
      <t>(46740s)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</si>
</sst>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0000_);[Red]\(0.00000\)"/>
    <numFmt numFmtId="177" formatCode="0_);[Red]\(0\)"/>
    <numFmt numFmtId="178" formatCode="0.0000_ "/>
    <numFmt numFmtId="179" formatCode="0.00000_ "/>
    <numFmt numFmtId="180" formatCode="0.00_ "/>
  </numFmts>
  <fonts count="10">
    <font>
      <sz val="11"/>
      <color rgb="FF000000"/>
      <name val="D2Coding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4472C4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000000"/>
      <name val="D2Coding"/>
    </font>
    <font>
      <b/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4472C4"/>
      <name val="D2Coding"/>
    </font>
    <font>
      <sz val="8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3BA"/>
        <bgColor indexed="64"/>
      </patternFill>
    </fill>
    <fill>
      <patternFill patternType="solid">
        <fgColor rgb="FFB4D79C"/>
        <bgColor indexed="64"/>
      </patternFill>
    </fill>
    <fill>
      <patternFill patternType="solid">
        <fgColor rgb="FFFFE69E"/>
        <bgColor indexed="64"/>
      </patternFill>
    </fill>
    <fill>
      <patternFill patternType="solid">
        <fgColor rgb="FF93C570"/>
        <bgColor indexed="64"/>
      </patternFill>
    </fill>
    <fill>
      <patternFill patternType="solid">
        <fgColor rgb="FFFFDC78"/>
        <bgColor indexed="64"/>
      </patternFill>
    </fill>
    <fill>
      <patternFill patternType="solid">
        <fgColor rgb="FFCFFDFD"/>
        <bgColor indexed="64"/>
      </patternFill>
    </fill>
    <fill>
      <patternFill patternType="solid">
        <fgColor rgb="FFE7E7E7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3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176" fontId="0" fillId="0" borderId="0" xfId="0" applyNumberForma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177" fontId="0" fillId="0" borderId="0" xfId="0" applyNumberFormat="1">
      <alignment vertical="center"/>
    </xf>
    <xf numFmtId="176" fontId="0" fillId="3" borderId="1" xfId="0" applyNumberFormat="1" applyFill="1" applyBorder="1" applyAlignment="1">
      <alignment horizontal="right" vertical="center"/>
    </xf>
    <xf numFmtId="9" fontId="0" fillId="3" borderId="1" xfId="0" applyNumberFormat="1" applyFill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  <xf numFmtId="9" fontId="0" fillId="4" borderId="1" xfId="0" applyNumberFormat="1" applyFill="1" applyBorder="1" applyAlignment="1">
      <alignment horizontal="right" vertical="center"/>
    </xf>
    <xf numFmtId="0" fontId="0" fillId="2" borderId="9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2" borderId="1" xfId="0" applyNumberFormat="1" applyFill="1" applyBorder="1" applyAlignment="1">
      <alignment horizontal="right" vertical="center"/>
    </xf>
    <xf numFmtId="176" fontId="0" fillId="5" borderId="1" xfId="0" applyNumberFormat="1" applyFill="1" applyBorder="1" applyAlignment="1">
      <alignment horizontal="right" vertical="center"/>
    </xf>
    <xf numFmtId="9" fontId="0" fillId="5" borderId="1" xfId="0" applyNumberForma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right" vertical="center"/>
    </xf>
    <xf numFmtId="176" fontId="0" fillId="7" borderId="1" xfId="0" applyNumberFormat="1" applyFill="1" applyBorder="1" applyAlignment="1">
      <alignment horizontal="right" vertical="center"/>
    </xf>
    <xf numFmtId="176" fontId="5" fillId="7" borderId="1" xfId="0" applyNumberFormat="1" applyFont="1" applyFill="1" applyBorder="1" applyAlignment="1">
      <alignment horizontal="right" vertical="center"/>
    </xf>
    <xf numFmtId="9" fontId="0" fillId="7" borderId="1" xfId="0" applyNumberFormat="1" applyFill="1" applyBorder="1" applyAlignment="1">
      <alignment horizontal="right" vertical="center"/>
    </xf>
    <xf numFmtId="176" fontId="0" fillId="8" borderId="1" xfId="0" applyNumberFormat="1" applyFill="1" applyBorder="1" applyAlignment="1">
      <alignment horizontal="right" vertical="center"/>
    </xf>
    <xf numFmtId="176" fontId="5" fillId="8" borderId="1" xfId="0" applyNumberFormat="1" applyFont="1" applyFill="1" applyBorder="1" applyAlignment="1">
      <alignment horizontal="right" vertical="center"/>
    </xf>
    <xf numFmtId="9" fontId="0" fillId="8" borderId="1" xfId="0" applyNumberFormat="1" applyFill="1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  <xf numFmtId="176" fontId="0" fillId="9" borderId="1" xfId="0" applyNumberFormat="1" applyFill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shrinkToFit="1"/>
    </xf>
    <xf numFmtId="0" fontId="0" fillId="2" borderId="18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76" fontId="0" fillId="0" borderId="22" xfId="0" applyNumberFormat="1" applyBorder="1" applyAlignment="1">
      <alignment horizontal="right" vertical="center"/>
    </xf>
    <xf numFmtId="176" fontId="0" fillId="0" borderId="23" xfId="0" applyNumberFormat="1" applyBorder="1" applyAlignment="1">
      <alignment horizontal="right" vertical="center"/>
    </xf>
    <xf numFmtId="176" fontId="0" fillId="9" borderId="22" xfId="0" applyNumberFormat="1" applyFill="1" applyBorder="1" applyAlignment="1">
      <alignment horizontal="right" vertical="center"/>
    </xf>
    <xf numFmtId="176" fontId="0" fillId="9" borderId="23" xfId="0" applyNumberFormat="1" applyFill="1" applyBorder="1" applyAlignment="1">
      <alignment horizontal="right" vertical="center"/>
    </xf>
    <xf numFmtId="176" fontId="0" fillId="8" borderId="22" xfId="0" applyNumberFormat="1" applyFill="1" applyBorder="1" applyAlignment="1">
      <alignment horizontal="right" vertical="center"/>
    </xf>
    <xf numFmtId="176" fontId="0" fillId="8" borderId="23" xfId="0" applyNumberFormat="1" applyFill="1" applyBorder="1" applyAlignment="1">
      <alignment horizontal="right" vertical="center"/>
    </xf>
    <xf numFmtId="176" fontId="0" fillId="3" borderId="22" xfId="0" applyNumberFormat="1" applyFill="1" applyBorder="1" applyAlignment="1">
      <alignment horizontal="right" vertical="center"/>
    </xf>
    <xf numFmtId="176" fontId="0" fillId="3" borderId="23" xfId="0" applyNumberFormat="1" applyFill="1" applyBorder="1" applyAlignment="1">
      <alignment horizontal="right" vertical="center"/>
    </xf>
    <xf numFmtId="176" fontId="0" fillId="4" borderId="22" xfId="0" applyNumberFormat="1" applyFill="1" applyBorder="1" applyAlignment="1">
      <alignment horizontal="right" vertical="center"/>
    </xf>
    <xf numFmtId="176" fontId="0" fillId="4" borderId="23" xfId="0" applyNumberFormat="1" applyFill="1" applyBorder="1" applyAlignment="1">
      <alignment horizontal="right" vertical="center"/>
    </xf>
    <xf numFmtId="176" fontId="0" fillId="2" borderId="22" xfId="0" applyNumberFormat="1" applyFill="1" applyBorder="1" applyAlignment="1">
      <alignment horizontal="right" vertical="center"/>
    </xf>
    <xf numFmtId="176" fontId="0" fillId="2" borderId="23" xfId="0" applyNumberFormat="1" applyFill="1" applyBorder="1" applyAlignment="1">
      <alignment horizontal="right" vertical="center"/>
    </xf>
    <xf numFmtId="176" fontId="0" fillId="7" borderId="22" xfId="0" applyNumberFormat="1" applyFill="1" applyBorder="1" applyAlignment="1">
      <alignment horizontal="right" vertical="center"/>
    </xf>
    <xf numFmtId="176" fontId="0" fillId="7" borderId="23" xfId="0" applyNumberFormat="1" applyFill="1" applyBorder="1" applyAlignment="1">
      <alignment horizontal="right" vertical="center"/>
    </xf>
    <xf numFmtId="176" fontId="0" fillId="5" borderId="22" xfId="0" applyNumberFormat="1" applyFill="1" applyBorder="1" applyAlignment="1">
      <alignment horizontal="right" vertical="center"/>
    </xf>
    <xf numFmtId="176" fontId="0" fillId="5" borderId="23" xfId="0" applyNumberFormat="1" applyFill="1" applyBorder="1" applyAlignment="1">
      <alignment horizontal="right" vertical="center"/>
    </xf>
    <xf numFmtId="176" fontId="5" fillId="3" borderId="22" xfId="0" applyNumberFormat="1" applyFont="1" applyFill="1" applyBorder="1" applyAlignment="1">
      <alignment horizontal="right" vertical="center"/>
    </xf>
    <xf numFmtId="176" fontId="5" fillId="3" borderId="23" xfId="0" applyNumberFormat="1" applyFont="1" applyFill="1" applyBorder="1" applyAlignment="1">
      <alignment horizontal="right" vertical="center"/>
    </xf>
    <xf numFmtId="0" fontId="0" fillId="4" borderId="24" xfId="0" applyFill="1" applyBorder="1" applyAlignment="1">
      <alignment horizontal="center" vertical="center"/>
    </xf>
    <xf numFmtId="176" fontId="0" fillId="4" borderId="25" xfId="0" applyNumberFormat="1" applyFill="1" applyBorder="1" applyAlignment="1">
      <alignment horizontal="right" vertical="center"/>
    </xf>
    <xf numFmtId="176" fontId="0" fillId="4" borderId="26" xfId="0" applyNumberFormat="1" applyFill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5" fillId="4" borderId="27" xfId="0" applyNumberFormat="1" applyFont="1" applyFill="1" applyBorder="1" applyAlignment="1">
      <alignment horizontal="right" vertical="center"/>
    </xf>
    <xf numFmtId="176" fontId="5" fillId="4" borderId="25" xfId="0" applyNumberFormat="1" applyFont="1" applyFill="1" applyBorder="1" applyAlignment="1">
      <alignment horizontal="right" vertical="center"/>
    </xf>
    <xf numFmtId="176" fontId="5" fillId="4" borderId="26" xfId="0" applyNumberFormat="1" applyFont="1" applyFill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6" fontId="0" fillId="9" borderId="0" xfId="0" applyNumberFormat="1" applyFill="1" applyAlignment="1">
      <alignment horizontal="right" vertical="center"/>
    </xf>
    <xf numFmtId="9" fontId="0" fillId="0" borderId="22" xfId="0" applyNumberFormat="1" applyBorder="1" applyAlignment="1">
      <alignment horizontal="right" vertical="center"/>
    </xf>
    <xf numFmtId="9" fontId="0" fillId="0" borderId="23" xfId="0" applyNumberFormat="1" applyBorder="1" applyAlignment="1">
      <alignment horizontal="right" vertical="center"/>
    </xf>
    <xf numFmtId="176" fontId="0" fillId="8" borderId="0" xfId="0" applyNumberFormat="1" applyFill="1" applyAlignment="1">
      <alignment horizontal="right" vertical="center"/>
    </xf>
    <xf numFmtId="9" fontId="0" fillId="8" borderId="22" xfId="0" applyNumberFormat="1" applyFill="1" applyBorder="1" applyAlignment="1">
      <alignment horizontal="right" vertical="center"/>
    </xf>
    <xf numFmtId="9" fontId="0" fillId="8" borderId="23" xfId="0" applyNumberFormat="1" applyFill="1" applyBorder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9" fontId="0" fillId="3" borderId="22" xfId="0" applyNumberFormat="1" applyFill="1" applyBorder="1" applyAlignment="1">
      <alignment horizontal="right" vertical="center"/>
    </xf>
    <xf numFmtId="9" fontId="0" fillId="3" borderId="23" xfId="0" applyNumberFormat="1" applyFill="1" applyBorder="1" applyAlignment="1">
      <alignment horizontal="right" vertical="center"/>
    </xf>
    <xf numFmtId="176" fontId="0" fillId="4" borderId="0" xfId="0" applyNumberFormat="1" applyFill="1" applyAlignment="1">
      <alignment horizontal="right" vertical="center"/>
    </xf>
    <xf numFmtId="9" fontId="0" fillId="4" borderId="22" xfId="0" applyNumberFormat="1" applyFill="1" applyBorder="1" applyAlignment="1">
      <alignment horizontal="right" vertical="center"/>
    </xf>
    <xf numFmtId="9" fontId="0" fillId="4" borderId="23" xfId="0" applyNumberFormat="1" applyFill="1" applyBorder="1" applyAlignment="1">
      <alignment horizontal="right" vertical="center"/>
    </xf>
    <xf numFmtId="176" fontId="0" fillId="2" borderId="0" xfId="0" applyNumberFormat="1" applyFill="1" applyAlignment="1">
      <alignment horizontal="right" vertical="center"/>
    </xf>
    <xf numFmtId="9" fontId="0" fillId="2" borderId="22" xfId="0" applyNumberFormat="1" applyFill="1" applyBorder="1" applyAlignment="1">
      <alignment horizontal="right" vertical="center"/>
    </xf>
    <xf numFmtId="9" fontId="0" fillId="2" borderId="23" xfId="0" applyNumberFormat="1" applyFill="1" applyBorder="1" applyAlignment="1">
      <alignment horizontal="right" vertical="center"/>
    </xf>
    <xf numFmtId="176" fontId="0" fillId="7" borderId="0" xfId="0" applyNumberFormat="1" applyFill="1" applyAlignment="1">
      <alignment horizontal="right" vertical="center"/>
    </xf>
    <xf numFmtId="9" fontId="0" fillId="7" borderId="22" xfId="0" applyNumberFormat="1" applyFill="1" applyBorder="1" applyAlignment="1">
      <alignment horizontal="right" vertical="center"/>
    </xf>
    <xf numFmtId="9" fontId="0" fillId="7" borderId="23" xfId="0" applyNumberFormat="1" applyFill="1" applyBorder="1" applyAlignment="1">
      <alignment horizontal="right" vertical="center"/>
    </xf>
    <xf numFmtId="176" fontId="0" fillId="5" borderId="0" xfId="0" applyNumberFormat="1" applyFill="1" applyAlignment="1">
      <alignment horizontal="right" vertical="center"/>
    </xf>
    <xf numFmtId="9" fontId="0" fillId="5" borderId="22" xfId="0" applyNumberFormat="1" applyFill="1" applyBorder="1" applyAlignment="1">
      <alignment horizontal="right" vertical="center"/>
    </xf>
    <xf numFmtId="9" fontId="0" fillId="5" borderId="23" xfId="0" applyNumberFormat="1" applyFill="1" applyBorder="1" applyAlignment="1">
      <alignment horizontal="right" vertical="center"/>
    </xf>
    <xf numFmtId="9" fontId="0" fillId="4" borderId="27" xfId="0" applyNumberFormat="1" applyFill="1" applyBorder="1" applyAlignment="1">
      <alignment horizontal="right" vertical="center"/>
    </xf>
    <xf numFmtId="9" fontId="0" fillId="4" borderId="25" xfId="0" applyNumberFormat="1" applyFill="1" applyBorder="1" applyAlignment="1">
      <alignment horizontal="right" vertical="center"/>
    </xf>
    <xf numFmtId="9" fontId="0" fillId="4" borderId="26" xfId="0" applyNumberFormat="1" applyFill="1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9" borderId="16" xfId="0" applyNumberFormat="1" applyFill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8" borderId="16" xfId="0" applyNumberFormat="1" applyFill="1" applyBorder="1" applyAlignment="1">
      <alignment horizontal="right" vertical="center"/>
    </xf>
    <xf numFmtId="176" fontId="0" fillId="3" borderId="16" xfId="0" applyNumberFormat="1" applyFill="1" applyBorder="1" applyAlignment="1">
      <alignment horizontal="right" vertical="center"/>
    </xf>
    <xf numFmtId="176" fontId="0" fillId="4" borderId="16" xfId="0" applyNumberFormat="1" applyFill="1" applyBorder="1" applyAlignment="1">
      <alignment horizontal="right" vertical="center"/>
    </xf>
    <xf numFmtId="176" fontId="0" fillId="2" borderId="16" xfId="0" applyNumberFormat="1" applyFill="1" applyBorder="1" applyAlignment="1">
      <alignment horizontal="right" vertical="center"/>
    </xf>
    <xf numFmtId="176" fontId="0" fillId="7" borderId="16" xfId="0" applyNumberFormat="1" applyFill="1" applyBorder="1" applyAlignment="1">
      <alignment horizontal="right" vertical="center"/>
    </xf>
    <xf numFmtId="176" fontId="0" fillId="5" borderId="16" xfId="0" applyNumberFormat="1" applyFill="1" applyBorder="1" applyAlignment="1">
      <alignment horizontal="right" vertical="center"/>
    </xf>
    <xf numFmtId="178" fontId="0" fillId="0" borderId="23" xfId="0" applyNumberFormat="1" applyBorder="1" applyAlignment="1">
      <alignment horizontal="center" vertical="center"/>
    </xf>
    <xf numFmtId="178" fontId="0" fillId="8" borderId="23" xfId="0" applyNumberFormat="1" applyFill="1" applyBorder="1" applyAlignment="1">
      <alignment horizontal="center" vertical="center"/>
    </xf>
    <xf numFmtId="178" fontId="0" fillId="3" borderId="23" xfId="0" applyNumberFormat="1" applyFill="1" applyBorder="1" applyAlignment="1">
      <alignment horizontal="center" vertical="center"/>
    </xf>
    <xf numFmtId="178" fontId="0" fillId="4" borderId="23" xfId="0" applyNumberFormat="1" applyFill="1" applyBorder="1" applyAlignment="1">
      <alignment horizontal="center" vertical="center"/>
    </xf>
    <xf numFmtId="178" fontId="0" fillId="2" borderId="23" xfId="0" applyNumberFormat="1" applyFill="1" applyBorder="1" applyAlignment="1">
      <alignment horizontal="center" vertical="center"/>
    </xf>
    <xf numFmtId="178" fontId="0" fillId="7" borderId="23" xfId="0" applyNumberFormat="1" applyFill="1" applyBorder="1" applyAlignment="1">
      <alignment horizontal="center" vertical="center"/>
    </xf>
    <xf numFmtId="178" fontId="0" fillId="5" borderId="23" xfId="0" applyNumberForma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25" xfId="0" applyFill="1" applyBorder="1" applyAlignment="1">
      <alignment horizontal="right" vertical="center"/>
    </xf>
    <xf numFmtId="176" fontId="5" fillId="3" borderId="16" xfId="0" applyNumberFormat="1" applyFont="1" applyFill="1" applyBorder="1" applyAlignment="1">
      <alignment horizontal="right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76" fontId="0" fillId="10" borderId="1" xfId="0" applyNumberFormat="1" applyFill="1" applyBorder="1" applyAlignment="1">
      <alignment horizontal="right" vertical="center"/>
    </xf>
    <xf numFmtId="0" fontId="0" fillId="11" borderId="17" xfId="0" applyFill="1" applyBorder="1" applyAlignment="1">
      <alignment horizontal="center" vertical="center"/>
    </xf>
    <xf numFmtId="176" fontId="0" fillId="11" borderId="22" xfId="0" applyNumberFormat="1" applyFill="1" applyBorder="1" applyAlignment="1">
      <alignment horizontal="right" vertical="center"/>
    </xf>
    <xf numFmtId="176" fontId="0" fillId="11" borderId="1" xfId="0" applyNumberFormat="1" applyFill="1" applyBorder="1" applyAlignment="1">
      <alignment horizontal="right" vertical="center"/>
    </xf>
    <xf numFmtId="176" fontId="0" fillId="11" borderId="23" xfId="0" applyNumberFormat="1" applyFill="1" applyBorder="1" applyAlignment="1">
      <alignment horizontal="right" vertical="center"/>
    </xf>
    <xf numFmtId="176" fontId="0" fillId="11" borderId="16" xfId="0" applyNumberFormat="1" applyFill="1" applyBorder="1" applyAlignment="1">
      <alignment horizontal="right" vertical="center"/>
    </xf>
    <xf numFmtId="178" fontId="0" fillId="11" borderId="23" xfId="0" applyNumberForma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8" fontId="0" fillId="4" borderId="26" xfId="0" applyNumberFormat="1" applyFill="1" applyBorder="1" applyAlignment="1">
      <alignment horizontal="center" vertical="center"/>
    </xf>
    <xf numFmtId="178" fontId="0" fillId="2" borderId="13" xfId="0" applyNumberFormat="1" applyFill="1" applyBorder="1" applyAlignment="1">
      <alignment horizontal="right" vertical="center"/>
    </xf>
    <xf numFmtId="0" fontId="0" fillId="2" borderId="44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176" fontId="0" fillId="10" borderId="23" xfId="0" applyNumberFormat="1" applyFill="1" applyBorder="1" applyAlignment="1">
      <alignment horizontal="right" vertical="center"/>
    </xf>
    <xf numFmtId="176" fontId="0" fillId="11" borderId="29" xfId="0" applyNumberFormat="1" applyFill="1" applyBorder="1" applyAlignment="1">
      <alignment horizontal="right" vertical="center"/>
    </xf>
    <xf numFmtId="9" fontId="0" fillId="8" borderId="33" xfId="0" applyNumberFormat="1" applyFill="1" applyBorder="1" applyAlignment="1">
      <alignment horizontal="right" vertical="center"/>
    </xf>
    <xf numFmtId="9" fontId="0" fillId="9" borderId="45" xfId="0" applyNumberFormat="1" applyFill="1" applyBorder="1" applyAlignment="1">
      <alignment horizontal="right" vertical="center"/>
    </xf>
    <xf numFmtId="9" fontId="0" fillId="9" borderId="46" xfId="0" applyNumberFormat="1" applyFill="1" applyBorder="1" applyAlignment="1">
      <alignment horizontal="right" vertical="center"/>
    </xf>
    <xf numFmtId="9" fontId="0" fillId="9" borderId="47" xfId="0" applyNumberFormat="1" applyFill="1" applyBorder="1" applyAlignment="1">
      <alignment horizontal="right" vertical="center"/>
    </xf>
    <xf numFmtId="9" fontId="0" fillId="11" borderId="22" xfId="0" applyNumberFormat="1" applyFill="1" applyBorder="1" applyAlignment="1">
      <alignment horizontal="right" vertical="center"/>
    </xf>
    <xf numFmtId="9" fontId="0" fillId="10" borderId="22" xfId="0" applyNumberFormat="1" applyFill="1" applyBorder="1" applyAlignment="1">
      <alignment horizontal="right" vertical="center"/>
    </xf>
    <xf numFmtId="9" fontId="0" fillId="11" borderId="1" xfId="0" applyNumberFormat="1" applyFill="1" applyBorder="1" applyAlignment="1">
      <alignment horizontal="right" vertical="center"/>
    </xf>
    <xf numFmtId="9" fontId="0" fillId="11" borderId="23" xfId="0" applyNumberFormat="1" applyFill="1" applyBorder="1" applyAlignment="1">
      <alignment horizontal="right" vertical="center"/>
    </xf>
    <xf numFmtId="9" fontId="0" fillId="10" borderId="13" xfId="0" applyNumberFormat="1" applyFill="1" applyBorder="1" applyAlignment="1">
      <alignment horizontal="right" vertical="center"/>
    </xf>
    <xf numFmtId="9" fontId="0" fillId="10" borderId="23" xfId="0" applyNumberFormat="1" applyFill="1" applyBorder="1" applyAlignment="1">
      <alignment horizontal="right" vertical="center"/>
    </xf>
    <xf numFmtId="178" fontId="0" fillId="0" borderId="22" xfId="0" applyNumberFormat="1" applyBorder="1" applyAlignment="1">
      <alignment horizontal="right" vertical="center"/>
    </xf>
    <xf numFmtId="178" fontId="0" fillId="8" borderId="22" xfId="0" applyNumberFormat="1" applyFill="1" applyBorder="1" applyAlignment="1">
      <alignment horizontal="right" vertical="center"/>
    </xf>
    <xf numFmtId="178" fontId="0" fillId="3" borderId="22" xfId="0" applyNumberFormat="1" applyFill="1" applyBorder="1" applyAlignment="1">
      <alignment horizontal="right" vertical="center"/>
    </xf>
    <xf numFmtId="178" fontId="0" fillId="4" borderId="22" xfId="0" applyNumberFormat="1" applyFill="1" applyBorder="1" applyAlignment="1">
      <alignment horizontal="right" vertical="center"/>
    </xf>
    <xf numFmtId="178" fontId="0" fillId="2" borderId="22" xfId="0" applyNumberFormat="1" applyFill="1" applyBorder="1" applyAlignment="1">
      <alignment horizontal="right" vertical="center"/>
    </xf>
    <xf numFmtId="178" fontId="0" fillId="7" borderId="22" xfId="0" applyNumberFormat="1" applyFill="1" applyBorder="1" applyAlignment="1">
      <alignment horizontal="right" vertical="center"/>
    </xf>
    <xf numFmtId="178" fontId="0" fillId="5" borderId="22" xfId="0" applyNumberFormat="1" applyFill="1" applyBorder="1" applyAlignment="1">
      <alignment horizontal="right" vertical="center"/>
    </xf>
    <xf numFmtId="178" fontId="0" fillId="4" borderId="27" xfId="0" applyNumberFormat="1" applyFill="1" applyBorder="1" applyAlignment="1">
      <alignment horizontal="right" vertical="center"/>
    </xf>
    <xf numFmtId="179" fontId="0" fillId="11" borderId="1" xfId="0" applyNumberFormat="1" applyFill="1" applyBorder="1" applyAlignment="1">
      <alignment horizontal="right" vertical="center"/>
    </xf>
    <xf numFmtId="179" fontId="0" fillId="10" borderId="1" xfId="0" applyNumberFormat="1" applyFill="1" applyBorder="1" applyAlignment="1">
      <alignment horizontal="right" vertical="center"/>
    </xf>
    <xf numFmtId="179" fontId="0" fillId="10" borderId="28" xfId="0" applyNumberFormat="1" applyFill="1" applyBorder="1" applyAlignment="1">
      <alignment horizontal="right" vertical="center"/>
    </xf>
    <xf numFmtId="0" fontId="0" fillId="0" borderId="17" xfId="0" applyBorder="1">
      <alignment vertical="center"/>
    </xf>
    <xf numFmtId="176" fontId="0" fillId="0" borderId="48" xfId="0" applyNumberFormat="1" applyBorder="1">
      <alignment vertical="center"/>
    </xf>
    <xf numFmtId="176" fontId="0" fillId="0" borderId="46" xfId="0" applyNumberFormat="1" applyBorder="1">
      <alignment vertical="center"/>
    </xf>
    <xf numFmtId="176" fontId="0" fillId="0" borderId="47" xfId="0" applyNumberFormat="1" applyBorder="1">
      <alignment vertical="center"/>
    </xf>
    <xf numFmtId="0" fontId="0" fillId="10" borderId="29" xfId="0" applyFill="1" applyBorder="1" applyAlignment="1">
      <alignment horizontal="right" vertical="center"/>
    </xf>
    <xf numFmtId="0" fontId="0" fillId="4" borderId="24" xfId="0" applyFill="1" applyBorder="1" applyAlignment="1">
      <alignment horizontal="right" vertical="center"/>
    </xf>
    <xf numFmtId="9" fontId="0" fillId="11" borderId="17" xfId="0" applyNumberFormat="1" applyFill="1" applyBorder="1" applyAlignment="1">
      <alignment horizontal="right" vertical="center"/>
    </xf>
    <xf numFmtId="178" fontId="0" fillId="11" borderId="22" xfId="0" applyNumberFormat="1" applyFill="1" applyBorder="1" applyAlignment="1">
      <alignment horizontal="right" vertical="center"/>
    </xf>
    <xf numFmtId="178" fontId="0" fillId="11" borderId="9" xfId="0" applyNumberFormat="1" applyFill="1" applyBorder="1" applyAlignment="1">
      <alignment horizontal="right" vertical="center"/>
    </xf>
    <xf numFmtId="9" fontId="0" fillId="10" borderId="16" xfId="0" applyNumberFormat="1" applyFill="1" applyBorder="1" applyAlignment="1">
      <alignment horizontal="right" vertical="center"/>
    </xf>
    <xf numFmtId="0" fontId="0" fillId="10" borderId="0" xfId="0" applyFill="1" applyAlignment="1">
      <alignment horizontal="right" vertical="center"/>
    </xf>
    <xf numFmtId="178" fontId="0" fillId="10" borderId="1" xfId="0" applyNumberFormat="1" applyFill="1" applyBorder="1" applyAlignment="1">
      <alignment horizontal="right" vertical="center"/>
    </xf>
    <xf numFmtId="9" fontId="0" fillId="8" borderId="17" xfId="0" applyNumberFormat="1" applyFill="1" applyBorder="1" applyAlignment="1">
      <alignment horizontal="right" vertical="center"/>
    </xf>
    <xf numFmtId="178" fontId="0" fillId="8" borderId="9" xfId="0" applyNumberFormat="1" applyFill="1" applyBorder="1" applyAlignment="1">
      <alignment horizontal="right" vertical="center"/>
    </xf>
    <xf numFmtId="9" fontId="0" fillId="3" borderId="17" xfId="0" applyNumberFormat="1" applyFill="1" applyBorder="1" applyAlignment="1">
      <alignment horizontal="right" vertical="center"/>
    </xf>
    <xf numFmtId="178" fontId="0" fillId="3" borderId="9" xfId="0" applyNumberFormat="1" applyFill="1" applyBorder="1" applyAlignment="1">
      <alignment horizontal="right" vertical="center"/>
    </xf>
    <xf numFmtId="9" fontId="0" fillId="4" borderId="17" xfId="0" applyNumberFormat="1" applyFill="1" applyBorder="1" applyAlignment="1">
      <alignment horizontal="right" vertical="center"/>
    </xf>
    <xf numFmtId="178" fontId="0" fillId="4" borderId="9" xfId="0" applyNumberFormat="1" applyFill="1" applyBorder="1" applyAlignment="1">
      <alignment horizontal="right" vertical="center"/>
    </xf>
    <xf numFmtId="9" fontId="0" fillId="2" borderId="17" xfId="0" applyNumberFormat="1" applyFill="1" applyBorder="1" applyAlignment="1">
      <alignment horizontal="right" vertical="center"/>
    </xf>
    <xf numFmtId="178" fontId="0" fillId="2" borderId="9" xfId="0" applyNumberFormat="1" applyFill="1" applyBorder="1" applyAlignment="1">
      <alignment horizontal="right" vertical="center"/>
    </xf>
    <xf numFmtId="9" fontId="0" fillId="7" borderId="17" xfId="0" applyNumberFormat="1" applyFill="1" applyBorder="1" applyAlignment="1">
      <alignment horizontal="right" vertical="center"/>
    </xf>
    <xf numFmtId="178" fontId="0" fillId="7" borderId="9" xfId="0" applyNumberFormat="1" applyFill="1" applyBorder="1" applyAlignment="1">
      <alignment horizontal="right" vertical="center"/>
    </xf>
    <xf numFmtId="9" fontId="0" fillId="0" borderId="17" xfId="0" applyNumberFormat="1" applyBorder="1" applyAlignment="1">
      <alignment horizontal="right" vertical="center"/>
    </xf>
    <xf numFmtId="178" fontId="0" fillId="0" borderId="9" xfId="0" applyNumberFormat="1" applyBorder="1" applyAlignment="1">
      <alignment horizontal="right" vertical="center"/>
    </xf>
    <xf numFmtId="9" fontId="0" fillId="5" borderId="17" xfId="0" applyNumberFormat="1" applyFill="1" applyBorder="1" applyAlignment="1">
      <alignment horizontal="right" vertical="center"/>
    </xf>
    <xf numFmtId="178" fontId="0" fillId="5" borderId="9" xfId="0" applyNumberFormat="1" applyFill="1" applyBorder="1" applyAlignment="1">
      <alignment horizontal="right" vertical="center"/>
    </xf>
    <xf numFmtId="9" fontId="0" fillId="4" borderId="21" xfId="0" applyNumberFormat="1" applyFill="1" applyBorder="1" applyAlignment="1">
      <alignment horizontal="right" vertical="center"/>
    </xf>
    <xf numFmtId="178" fontId="0" fillId="4" borderId="49" xfId="0" applyNumberFormat="1" applyFill="1" applyBorder="1" applyAlignment="1">
      <alignment horizontal="right" vertical="center"/>
    </xf>
    <xf numFmtId="9" fontId="0" fillId="10" borderId="44" xfId="0" applyNumberFormat="1" applyFill="1" applyBorder="1" applyAlignment="1">
      <alignment horizontal="right" vertical="center"/>
    </xf>
    <xf numFmtId="179" fontId="0" fillId="11" borderId="23" xfId="0" applyNumberFormat="1" applyFill="1" applyBorder="1" applyAlignment="1">
      <alignment horizontal="right" vertical="center"/>
    </xf>
    <xf numFmtId="0" fontId="0" fillId="0" borderId="50" xfId="0" applyBorder="1" applyAlignment="1">
      <alignment horizontal="center" vertical="center"/>
    </xf>
    <xf numFmtId="176" fontId="0" fillId="0" borderId="13" xfId="0" applyNumberFormat="1" applyBorder="1" applyAlignment="1">
      <alignment horizontal="right" vertical="center"/>
    </xf>
    <xf numFmtId="176" fontId="0" fillId="0" borderId="41" xfId="0" applyNumberFormat="1" applyBorder="1" applyAlignment="1">
      <alignment horizontal="right" vertical="center"/>
    </xf>
    <xf numFmtId="176" fontId="0" fillId="0" borderId="42" xfId="0" applyNumberFormat="1" applyBorder="1" applyAlignment="1">
      <alignment horizontal="right" vertical="center"/>
    </xf>
    <xf numFmtId="176" fontId="0" fillId="0" borderId="33" xfId="0" applyNumberFormat="1" applyBorder="1" applyAlignment="1">
      <alignment horizontal="right" vertical="center"/>
    </xf>
    <xf numFmtId="0" fontId="0" fillId="0" borderId="51" xfId="0" applyBorder="1" applyAlignment="1">
      <alignment horizontal="center" vertical="center"/>
    </xf>
    <xf numFmtId="176" fontId="0" fillId="0" borderId="40" xfId="0" applyNumberFormat="1" applyBorder="1" applyAlignment="1">
      <alignment horizontal="center" vertical="center"/>
    </xf>
    <xf numFmtId="176" fontId="0" fillId="0" borderId="44" xfId="0" applyNumberFormat="1" applyBorder="1" applyAlignment="1">
      <alignment horizontal="right" vertical="center"/>
    </xf>
    <xf numFmtId="176" fontId="0" fillId="0" borderId="34" xfId="0" applyNumberFormat="1" applyBorder="1" applyAlignment="1">
      <alignment horizontal="center" vertical="center"/>
    </xf>
    <xf numFmtId="176" fontId="0" fillId="0" borderId="35" xfId="0" applyNumberFormat="1" applyBorder="1" applyAlignment="1">
      <alignment horizontal="right" vertical="center"/>
    </xf>
    <xf numFmtId="176" fontId="0" fillId="0" borderId="36" xfId="0" applyNumberFormat="1" applyBorder="1" applyAlignment="1">
      <alignment horizontal="right" vertical="center"/>
    </xf>
    <xf numFmtId="9" fontId="0" fillId="9" borderId="33" xfId="0" applyNumberFormat="1" applyFill="1" applyBorder="1" applyAlignment="1">
      <alignment horizontal="right" vertical="center"/>
    </xf>
    <xf numFmtId="9" fontId="0" fillId="9" borderId="13" xfId="0" applyNumberFormat="1" applyFill="1" applyBorder="1" applyAlignment="1">
      <alignment horizontal="right" vertical="center"/>
    </xf>
    <xf numFmtId="9" fontId="0" fillId="9" borderId="44" xfId="0" applyNumberFormat="1" applyFill="1" applyBorder="1" applyAlignment="1">
      <alignment horizontal="right" vertical="center"/>
    </xf>
    <xf numFmtId="0" fontId="0" fillId="0" borderId="52" xfId="0" applyBorder="1" applyAlignment="1">
      <alignment horizontal="center" vertical="center"/>
    </xf>
    <xf numFmtId="176" fontId="0" fillId="0" borderId="52" xfId="0" applyNumberFormat="1" applyBorder="1" applyAlignment="1">
      <alignment horizontal="right" vertical="center"/>
    </xf>
    <xf numFmtId="0" fontId="0" fillId="0" borderId="53" xfId="0" applyBorder="1" applyAlignment="1">
      <alignment horizontal="center" vertical="center"/>
    </xf>
    <xf numFmtId="176" fontId="0" fillId="0" borderId="54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right" vertical="center"/>
    </xf>
    <xf numFmtId="0" fontId="0" fillId="0" borderId="50" xfId="0" applyBorder="1" applyAlignment="1">
      <alignment horizontal="right" vertical="center"/>
    </xf>
    <xf numFmtId="9" fontId="0" fillId="9" borderId="18" xfId="0" applyNumberFormat="1" applyFill="1" applyBorder="1" applyAlignment="1">
      <alignment horizontal="right" vertical="center"/>
    </xf>
    <xf numFmtId="178" fontId="0" fillId="9" borderId="33" xfId="0" applyNumberFormat="1" applyFill="1" applyBorder="1" applyAlignment="1">
      <alignment horizontal="right" vertical="center"/>
    </xf>
    <xf numFmtId="178" fontId="0" fillId="9" borderId="8" xfId="0" applyNumberFormat="1" applyFill="1" applyBorder="1" applyAlignment="1">
      <alignment horizontal="right" vertical="center"/>
    </xf>
    <xf numFmtId="178" fontId="0" fillId="9" borderId="44" xfId="0" applyNumberForma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25" xfId="0" applyFill="1" applyBorder="1">
      <alignment vertical="center"/>
    </xf>
    <xf numFmtId="176" fontId="0" fillId="0" borderId="18" xfId="0" applyNumberFormat="1" applyBorder="1" applyAlignment="1">
      <alignment horizontal="right" vertical="center"/>
    </xf>
    <xf numFmtId="176" fontId="0" fillId="9" borderId="17" xfId="0" applyNumberFormat="1" applyFill="1" applyBorder="1" applyAlignment="1">
      <alignment horizontal="right" vertical="center"/>
    </xf>
    <xf numFmtId="176" fontId="0" fillId="9" borderId="28" xfId="0" applyNumberFormat="1" applyFill="1" applyBorder="1" applyAlignment="1">
      <alignment horizontal="right" vertical="center"/>
    </xf>
    <xf numFmtId="176" fontId="0" fillId="11" borderId="17" xfId="0" applyNumberFormat="1" applyFill="1" applyBorder="1" applyAlignment="1">
      <alignment horizontal="right" vertical="center"/>
    </xf>
    <xf numFmtId="0" fontId="0" fillId="11" borderId="28" xfId="0" applyFill="1" applyBorder="1" applyAlignment="1">
      <alignment horizontal="center" vertical="center"/>
    </xf>
    <xf numFmtId="176" fontId="0" fillId="10" borderId="17" xfId="0" applyNumberFormat="1" applyFill="1" applyBorder="1" applyAlignment="1">
      <alignment horizontal="right" vertical="center"/>
    </xf>
    <xf numFmtId="176" fontId="0" fillId="10" borderId="28" xfId="0" applyNumberFormat="1" applyFill="1" applyBorder="1" applyAlignment="1">
      <alignment horizontal="right" vertical="center"/>
    </xf>
    <xf numFmtId="176" fontId="0" fillId="8" borderId="17" xfId="0" applyNumberFormat="1" applyFill="1" applyBorder="1" applyAlignment="1">
      <alignment horizontal="right" vertical="center"/>
    </xf>
    <xf numFmtId="176" fontId="0" fillId="8" borderId="28" xfId="0" applyNumberFormat="1" applyFill="1" applyBorder="1" applyAlignment="1">
      <alignment horizontal="right" vertical="center"/>
    </xf>
    <xf numFmtId="176" fontId="0" fillId="3" borderId="17" xfId="0" applyNumberFormat="1" applyFill="1" applyBorder="1" applyAlignment="1">
      <alignment horizontal="right" vertical="center"/>
    </xf>
    <xf numFmtId="176" fontId="0" fillId="3" borderId="28" xfId="0" applyNumberFormat="1" applyFill="1" applyBorder="1" applyAlignment="1">
      <alignment horizontal="right" vertical="center"/>
    </xf>
    <xf numFmtId="176" fontId="0" fillId="4" borderId="17" xfId="0" applyNumberFormat="1" applyFill="1" applyBorder="1" applyAlignment="1">
      <alignment horizontal="right" vertical="center"/>
    </xf>
    <xf numFmtId="176" fontId="0" fillId="4" borderId="28" xfId="0" applyNumberFormat="1" applyFill="1" applyBorder="1" applyAlignment="1">
      <alignment horizontal="right" vertical="center"/>
    </xf>
    <xf numFmtId="176" fontId="0" fillId="2" borderId="17" xfId="0" applyNumberFormat="1" applyFill="1" applyBorder="1" applyAlignment="1">
      <alignment horizontal="right" vertical="center"/>
    </xf>
    <xf numFmtId="176" fontId="0" fillId="2" borderId="28" xfId="0" applyNumberFormat="1" applyFill="1" applyBorder="1" applyAlignment="1">
      <alignment horizontal="right" vertical="center"/>
    </xf>
    <xf numFmtId="176" fontId="0" fillId="7" borderId="17" xfId="0" applyNumberFormat="1" applyFill="1" applyBorder="1" applyAlignment="1">
      <alignment horizontal="right" vertical="center"/>
    </xf>
    <xf numFmtId="176" fontId="0" fillId="7" borderId="28" xfId="0" applyNumberFormat="1" applyFill="1" applyBorder="1" applyAlignment="1">
      <alignment horizontal="right" vertical="center"/>
    </xf>
    <xf numFmtId="176" fontId="0" fillId="0" borderId="17" xfId="0" applyNumberFormat="1" applyBorder="1" applyAlignment="1">
      <alignment horizontal="right" vertical="center"/>
    </xf>
    <xf numFmtId="176" fontId="0" fillId="0" borderId="28" xfId="0" applyNumberFormat="1" applyBorder="1" applyAlignment="1">
      <alignment horizontal="right" vertical="center"/>
    </xf>
    <xf numFmtId="176" fontId="0" fillId="5" borderId="28" xfId="0" applyNumberFormat="1" applyFill="1" applyBorder="1" applyAlignment="1">
      <alignment horizontal="right" vertical="center"/>
    </xf>
    <xf numFmtId="176" fontId="0" fillId="2" borderId="17" xfId="0" applyNumberFormat="1" applyFill="1" applyBorder="1">
      <alignment vertical="center"/>
    </xf>
    <xf numFmtId="0" fontId="0" fillId="2" borderId="28" xfId="0" applyFill="1" applyBorder="1" applyAlignment="1">
      <alignment horizontal="center" vertical="center"/>
    </xf>
    <xf numFmtId="176" fontId="0" fillId="2" borderId="21" xfId="0" applyNumberFormat="1" applyFill="1" applyBorder="1">
      <alignment vertical="center"/>
    </xf>
    <xf numFmtId="0" fontId="0" fillId="2" borderId="55" xfId="0" applyFill="1" applyBorder="1" applyAlignment="1">
      <alignment horizontal="center" vertical="center"/>
    </xf>
    <xf numFmtId="176" fontId="0" fillId="0" borderId="56" xfId="0" applyNumberFormat="1" applyBorder="1" applyAlignment="1">
      <alignment horizontal="right" vertical="center"/>
    </xf>
    <xf numFmtId="9" fontId="0" fillId="9" borderId="57" xfId="0" applyNumberFormat="1" applyFill="1" applyBorder="1" applyAlignment="1">
      <alignment horizontal="right" vertical="center"/>
    </xf>
    <xf numFmtId="178" fontId="0" fillId="9" borderId="22" xfId="0" applyNumberFormat="1" applyFill="1" applyBorder="1" applyAlignment="1">
      <alignment horizontal="right" vertical="center"/>
    </xf>
    <xf numFmtId="178" fontId="0" fillId="11" borderId="57" xfId="0" applyNumberFormat="1" applyFill="1" applyBorder="1" applyAlignment="1">
      <alignment horizontal="center" vertical="center"/>
    </xf>
    <xf numFmtId="0" fontId="0" fillId="10" borderId="29" xfId="0" applyFill="1" applyBorder="1" applyAlignment="1">
      <alignment horizontal="center" vertical="center"/>
    </xf>
    <xf numFmtId="178" fontId="0" fillId="10" borderId="22" xfId="0" applyNumberFormat="1" applyFill="1" applyBorder="1" applyAlignment="1">
      <alignment horizontal="right" vertical="center"/>
    </xf>
    <xf numFmtId="9" fontId="0" fillId="8" borderId="57" xfId="0" applyNumberFormat="1" applyFill="1" applyBorder="1" applyAlignment="1">
      <alignment horizontal="right" vertical="center"/>
    </xf>
    <xf numFmtId="9" fontId="0" fillId="3" borderId="57" xfId="0" applyNumberFormat="1" applyFill="1" applyBorder="1" applyAlignment="1">
      <alignment horizontal="right" vertical="center"/>
    </xf>
    <xf numFmtId="9" fontId="0" fillId="4" borderId="57" xfId="0" applyNumberFormat="1" applyFill="1" applyBorder="1" applyAlignment="1">
      <alignment horizontal="right" vertical="center"/>
    </xf>
    <xf numFmtId="9" fontId="0" fillId="2" borderId="57" xfId="0" applyNumberFormat="1" applyFill="1" applyBorder="1" applyAlignment="1">
      <alignment horizontal="right" vertical="center"/>
    </xf>
    <xf numFmtId="9" fontId="0" fillId="7" borderId="57" xfId="0" applyNumberFormat="1" applyFill="1" applyBorder="1" applyAlignment="1">
      <alignment horizontal="right" vertical="center"/>
    </xf>
    <xf numFmtId="9" fontId="0" fillId="0" borderId="57" xfId="0" applyNumberFormat="1" applyBorder="1" applyAlignment="1">
      <alignment horizontal="right" vertical="center"/>
    </xf>
    <xf numFmtId="9" fontId="0" fillId="5" borderId="57" xfId="0" applyNumberFormat="1" applyFill="1" applyBorder="1" applyAlignment="1">
      <alignment horizontal="right" vertical="center"/>
    </xf>
    <xf numFmtId="0" fontId="0" fillId="2" borderId="57" xfId="0" applyFill="1" applyBorder="1" applyAlignment="1">
      <alignment horizontal="center" vertical="center"/>
    </xf>
    <xf numFmtId="0" fontId="0" fillId="2" borderId="23" xfId="0" applyFill="1" applyBorder="1" applyAlignment="1">
      <alignment horizontal="right" vertical="center"/>
    </xf>
    <xf numFmtId="0" fontId="0" fillId="2" borderId="22" xfId="0" applyFill="1" applyBorder="1" applyAlignment="1">
      <alignment horizontal="right" vertical="center"/>
    </xf>
    <xf numFmtId="176" fontId="0" fillId="2" borderId="22" xfId="0" applyNumberFormat="1" applyFill="1" applyBorder="1">
      <alignment vertical="center"/>
    </xf>
    <xf numFmtId="0" fontId="0" fillId="2" borderId="22" xfId="0" applyFill="1" applyBorder="1">
      <alignment vertical="center"/>
    </xf>
    <xf numFmtId="0" fontId="0" fillId="2" borderId="58" xfId="0" applyFill="1" applyBorder="1" applyAlignment="1">
      <alignment horizontal="center" vertical="center"/>
    </xf>
    <xf numFmtId="0" fontId="0" fillId="2" borderId="27" xfId="0" applyFill="1" applyBorder="1">
      <alignment vertical="center"/>
    </xf>
    <xf numFmtId="0" fontId="0" fillId="2" borderId="26" xfId="0" applyFill="1" applyBorder="1" applyAlignment="1">
      <alignment horizontal="right" vertical="center"/>
    </xf>
    <xf numFmtId="178" fontId="0" fillId="2" borderId="22" xfId="0" applyNumberFormat="1" applyFill="1" applyBorder="1">
      <alignment vertical="center"/>
    </xf>
    <xf numFmtId="176" fontId="0" fillId="2" borderId="23" xfId="0" applyNumberFormat="1" applyFill="1" applyBorder="1">
      <alignment vertical="center"/>
    </xf>
    <xf numFmtId="0" fontId="0" fillId="2" borderId="23" xfId="0" applyFill="1" applyBorder="1">
      <alignment vertical="center"/>
    </xf>
    <xf numFmtId="0" fontId="0" fillId="2" borderId="26" xfId="0" applyFill="1" applyBorder="1">
      <alignment vertical="center"/>
    </xf>
    <xf numFmtId="179" fontId="0" fillId="11" borderId="28" xfId="0" applyNumberFormat="1" applyFill="1" applyBorder="1" applyAlignment="1">
      <alignment horizontal="right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6" fontId="0" fillId="0" borderId="57" xfId="0" applyNumberFormat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2" fillId="0" borderId="48" xfId="0" applyFont="1" applyBorder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6" fillId="6" borderId="22" xfId="0" applyFont="1" applyFill="1" applyBorder="1">
      <alignment vertical="center"/>
    </xf>
    <xf numFmtId="0" fontId="2" fillId="6" borderId="59" xfId="0" applyFont="1" applyFill="1" applyBorder="1" applyAlignment="1">
      <alignment horizontal="center" vertical="center"/>
    </xf>
    <xf numFmtId="0" fontId="6" fillId="6" borderId="57" xfId="0" applyFont="1" applyFill="1" applyBorder="1">
      <alignment vertical="center"/>
    </xf>
    <xf numFmtId="0" fontId="6" fillId="2" borderId="22" xfId="0" applyFont="1" applyFill="1" applyBorder="1">
      <alignment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5" borderId="23" xfId="0" applyFill="1" applyBorder="1">
      <alignment vertical="center"/>
    </xf>
    <xf numFmtId="0" fontId="6" fillId="12" borderId="22" xfId="0" applyFont="1" applyFill="1" applyBorder="1">
      <alignment vertical="center"/>
    </xf>
    <xf numFmtId="0" fontId="2" fillId="12" borderId="23" xfId="0" applyFont="1" applyFill="1" applyBorder="1" applyAlignment="1">
      <alignment horizontal="center" vertical="center"/>
    </xf>
    <xf numFmtId="0" fontId="6" fillId="12" borderId="27" xfId="0" applyFont="1" applyFill="1" applyBorder="1" applyAlignment="1">
      <alignment horizontal="left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0" fillId="0" borderId="48" xfId="0" applyBorder="1">
      <alignment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2" fillId="0" borderId="3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13" borderId="39" xfId="0" applyFont="1" applyFill="1" applyBorder="1" applyAlignment="1">
      <alignment horizontal="left" vertical="center"/>
    </xf>
    <xf numFmtId="0" fontId="2" fillId="13" borderId="21" xfId="0" applyFont="1" applyFill="1" applyBorder="1" applyAlignment="1">
      <alignment horizontal="left" vertical="center"/>
    </xf>
    <xf numFmtId="0" fontId="6" fillId="13" borderId="27" xfId="0" applyFont="1" applyFill="1" applyBorder="1">
      <alignment vertical="center"/>
    </xf>
    <xf numFmtId="0" fontId="1" fillId="13" borderId="48" xfId="0" applyFont="1" applyFill="1" applyBorder="1">
      <alignment vertical="center"/>
    </xf>
    <xf numFmtId="0" fontId="1" fillId="13" borderId="46" xfId="0" applyFont="1" applyFill="1" applyBorder="1">
      <alignment vertical="center"/>
    </xf>
    <xf numFmtId="0" fontId="7" fillId="13" borderId="22" xfId="0" applyFont="1" applyFill="1" applyBorder="1">
      <alignment vertical="center"/>
    </xf>
    <xf numFmtId="0" fontId="7" fillId="13" borderId="1" xfId="0" applyFont="1" applyFill="1" applyBorder="1">
      <alignment vertical="center"/>
    </xf>
    <xf numFmtId="9" fontId="2" fillId="13" borderId="17" xfId="0" applyNumberFormat="1" applyFont="1" applyFill="1" applyBorder="1" applyAlignment="1">
      <alignment horizontal="left" vertical="center"/>
    </xf>
    <xf numFmtId="9" fontId="2" fillId="0" borderId="16" xfId="0" applyNumberFormat="1" applyFont="1" applyBorder="1" applyAlignment="1">
      <alignment horizontal="left" vertical="center"/>
    </xf>
    <xf numFmtId="0" fontId="1" fillId="13" borderId="47" xfId="0" applyFont="1" applyFill="1" applyBorder="1">
      <alignment vertical="center"/>
    </xf>
    <xf numFmtId="0" fontId="7" fillId="0" borderId="22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7" fillId="13" borderId="23" xfId="0" applyFont="1" applyFill="1" applyBorder="1">
      <alignment vertical="center"/>
    </xf>
    <xf numFmtId="0" fontId="6" fillId="13" borderId="25" xfId="0" applyFont="1" applyFill="1" applyBorder="1">
      <alignment vertical="center"/>
    </xf>
    <xf numFmtId="0" fontId="6" fillId="13" borderId="26" xfId="0" applyFont="1" applyFill="1" applyBorder="1">
      <alignment vertical="center"/>
    </xf>
    <xf numFmtId="0" fontId="1" fillId="0" borderId="3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60" xfId="0" applyFont="1" applyBorder="1">
      <alignment vertical="center"/>
    </xf>
    <xf numFmtId="0" fontId="6" fillId="0" borderId="11" xfId="0" applyFont="1" applyBorder="1">
      <alignment vertical="center"/>
    </xf>
    <xf numFmtId="0" fontId="1" fillId="0" borderId="44" xfId="0" applyFont="1" applyBorder="1">
      <alignment vertical="center"/>
    </xf>
    <xf numFmtId="0" fontId="7" fillId="0" borderId="23" xfId="0" applyFont="1" applyBorder="1">
      <alignment vertical="center"/>
    </xf>
    <xf numFmtId="0" fontId="6" fillId="0" borderId="59" xfId="0" applyFont="1" applyBorder="1">
      <alignment vertical="center"/>
    </xf>
    <xf numFmtId="0" fontId="6" fillId="0" borderId="26" xfId="0" applyFont="1" applyBorder="1">
      <alignment vertical="center"/>
    </xf>
    <xf numFmtId="0" fontId="0" fillId="3" borderId="2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20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right" vertical="center"/>
    </xf>
    <xf numFmtId="176" fontId="0" fillId="4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T52"/>
  <sheetViews>
    <sheetView zoomScaleNormal="100" zoomScaleSheetLayoutView="75" workbookViewId="0">
      <pane xSplit="4" ySplit="3" topLeftCell="E4" activePane="bottomRight" state="frozen"/>
      <selection pane="topRight"/>
      <selection pane="bottomLeft"/>
      <selection pane="bottomRight" activeCell="N15" sqref="N15"/>
    </sheetView>
  </sheetViews>
  <sheetFormatPr defaultColWidth="9.125" defaultRowHeight="14.25"/>
  <cols>
    <col min="1" max="1" width="9.125" style="1"/>
    <col min="2" max="2" width="10.75" style="1" bestFit="1" customWidth="1"/>
    <col min="3" max="3" width="16.375" style="1" bestFit="1" customWidth="1"/>
    <col min="4" max="4" width="31" style="1" bestFit="1" customWidth="1"/>
    <col min="5" max="5" width="17" style="1" bestFit="1" customWidth="1"/>
    <col min="6" max="6" width="15.25" style="1" bestFit="1" customWidth="1"/>
    <col min="7" max="7" width="10.875" style="1" bestFit="1" customWidth="1"/>
    <col min="8" max="8" width="10.875" style="1" customWidth="1"/>
    <col min="9" max="12" width="10.875" style="1" bestFit="1" customWidth="1"/>
    <col min="13" max="13" width="10.875" style="1" customWidth="1"/>
    <col min="14" max="14" width="38.25" style="1" customWidth="1"/>
    <col min="15" max="15" width="34.125" style="1" customWidth="1"/>
    <col min="16" max="16" width="12.625" style="1" customWidth="1"/>
    <col min="17" max="17" width="8" style="1" customWidth="1"/>
    <col min="18" max="18" width="16" style="1" customWidth="1"/>
    <col min="19" max="19" width="20.875" style="1" customWidth="1"/>
    <col min="20" max="20" width="18.625" style="1" customWidth="1"/>
    <col min="21" max="21" width="13.375" style="1" bestFit="1" customWidth="1"/>
    <col min="22" max="22" width="4" style="1" bestFit="1" customWidth="1"/>
    <col min="23" max="23" width="17.125" style="1" customWidth="1"/>
    <col min="24" max="24" width="25.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2" spans="1:20" ht="13.9" customHeight="1">
      <c r="A2" s="128" t="s">
        <v>84</v>
      </c>
      <c r="B2" s="128" t="s">
        <v>154</v>
      </c>
      <c r="C2" s="128" t="s">
        <v>151</v>
      </c>
      <c r="D2" s="128" t="s">
        <v>71</v>
      </c>
      <c r="E2" s="128" t="s">
        <v>53</v>
      </c>
      <c r="F2" s="128" t="s">
        <v>174</v>
      </c>
      <c r="G2" s="366" t="s">
        <v>6</v>
      </c>
      <c r="H2" s="367"/>
      <c r="I2" s="368"/>
      <c r="J2" s="366" t="s">
        <v>76</v>
      </c>
      <c r="K2" s="367"/>
      <c r="L2" s="368"/>
      <c r="M2" s="48"/>
      <c r="N2" s="128" t="s">
        <v>93</v>
      </c>
      <c r="O2" s="369" t="s">
        <v>158</v>
      </c>
      <c r="P2" s="370"/>
      <c r="Q2" s="371"/>
      <c r="R2" s="116"/>
      <c r="S2" s="246" t="s">
        <v>91</v>
      </c>
      <c r="T2" s="169"/>
    </row>
    <row r="3" spans="1:20">
      <c r="A3" s="154"/>
      <c r="B3" s="155"/>
      <c r="C3" s="155"/>
      <c r="D3" s="129"/>
      <c r="E3" s="129"/>
      <c r="F3" s="155"/>
      <c r="G3" s="165" t="s">
        <v>56</v>
      </c>
      <c r="H3" s="166" t="s">
        <v>73</v>
      </c>
      <c r="I3" s="167" t="s">
        <v>90</v>
      </c>
      <c r="J3" s="165" t="s">
        <v>52</v>
      </c>
      <c r="K3" s="166" t="s">
        <v>73</v>
      </c>
      <c r="L3" s="167" t="s">
        <v>90</v>
      </c>
      <c r="M3" s="48" t="s">
        <v>53</v>
      </c>
      <c r="N3" s="128" t="s">
        <v>136</v>
      </c>
      <c r="O3" s="230"/>
      <c r="P3" s="151" t="s">
        <v>136</v>
      </c>
      <c r="Q3" s="153"/>
      <c r="S3" s="123" t="s">
        <v>181</v>
      </c>
      <c r="T3" s="124">
        <f>parameter!C8</f>
        <v>5676.9848887954295</v>
      </c>
    </row>
    <row r="4" spans="1:20">
      <c r="A4" s="48"/>
      <c r="B4" s="50"/>
      <c r="C4" s="50"/>
      <c r="D4" s="50"/>
      <c r="E4" s="50"/>
      <c r="F4" s="200"/>
      <c r="G4" s="201"/>
      <c r="H4" s="202"/>
      <c r="I4" s="203"/>
      <c r="J4" s="201"/>
      <c r="K4" s="202"/>
      <c r="L4" s="203"/>
      <c r="M4" s="131" t="s">
        <v>64</v>
      </c>
      <c r="N4" s="248">
        <f>T3</f>
        <v>5676.9848887954295</v>
      </c>
      <c r="O4" s="249"/>
      <c r="P4" s="239"/>
      <c r="Q4" s="153"/>
      <c r="S4" s="123" t="s">
        <v>176</v>
      </c>
      <c r="T4" s="124">
        <v>681</v>
      </c>
    </row>
    <row r="5" spans="1:20">
      <c r="A5" s="49" t="s">
        <v>47</v>
      </c>
      <c r="B5" s="173" t="s">
        <v>67</v>
      </c>
      <c r="C5" s="49"/>
      <c r="D5" s="49"/>
      <c r="E5" s="49"/>
      <c r="F5" s="49">
        <v>5</v>
      </c>
      <c r="G5" s="68"/>
      <c r="H5" s="47">
        <f>K5/F5</f>
        <v>0.04</v>
      </c>
      <c r="I5" s="69"/>
      <c r="J5" s="68"/>
      <c r="K5" s="47">
        <v>0.2</v>
      </c>
      <c r="L5" s="69"/>
      <c r="M5" s="132"/>
      <c r="N5" s="250">
        <v>0</v>
      </c>
      <c r="O5" s="251"/>
      <c r="P5" s="252">
        <f>N5*K5</f>
        <v>0</v>
      </c>
      <c r="Q5" s="253"/>
      <c r="S5" s="123" t="s">
        <v>165</v>
      </c>
      <c r="T5" s="124">
        <v>661</v>
      </c>
    </row>
    <row r="6" spans="1:20">
      <c r="A6" s="176" t="s">
        <v>27</v>
      </c>
      <c r="B6" s="176" t="s">
        <v>24</v>
      </c>
      <c r="C6" s="176"/>
      <c r="D6" s="159"/>
      <c r="E6" s="159"/>
      <c r="F6" s="159">
        <v>5</v>
      </c>
      <c r="G6" s="160"/>
      <c r="H6" s="161">
        <f>K6/F6</f>
        <v>0.04</v>
      </c>
      <c r="I6" s="162">
        <f>L6/F6</f>
        <v>0.4</v>
      </c>
      <c r="J6" s="160"/>
      <c r="K6" s="161">
        <v>0.2</v>
      </c>
      <c r="L6" s="162">
        <v>2</v>
      </c>
      <c r="M6" s="163"/>
      <c r="N6" s="206">
        <v>0</v>
      </c>
      <c r="O6" s="207"/>
      <c r="P6" s="208">
        <f>N6*K6</f>
        <v>0</v>
      </c>
      <c r="Q6" s="164"/>
      <c r="S6" s="123" t="s">
        <v>0</v>
      </c>
      <c r="T6" s="124">
        <f>parameter!C10</f>
        <v>3654.1161779686181</v>
      </c>
    </row>
    <row r="7" spans="1:20">
      <c r="A7" s="174" t="s">
        <v>65</v>
      </c>
      <c r="B7" s="174"/>
      <c r="C7" s="174"/>
      <c r="D7" s="157"/>
      <c r="E7" s="156"/>
      <c r="F7" s="156">
        <v>3.3</v>
      </c>
      <c r="G7" s="204"/>
      <c r="H7" s="198">
        <f>K7/F7</f>
        <v>6.0606060606060615E-2</v>
      </c>
      <c r="I7" s="199">
        <f>L7/F7</f>
        <v>6.0606060606060615E-2</v>
      </c>
      <c r="J7" s="204"/>
      <c r="K7" s="158">
        <v>0.2</v>
      </c>
      <c r="L7" s="177">
        <v>0.2</v>
      </c>
      <c r="M7" s="157"/>
      <c r="N7" s="209">
        <v>0</v>
      </c>
      <c r="O7" s="210"/>
      <c r="P7" s="211">
        <f>N7*K7</f>
        <v>0</v>
      </c>
      <c r="Q7" s="168"/>
      <c r="S7" s="123" t="s">
        <v>36</v>
      </c>
      <c r="T7" s="124">
        <f>parameter!C11</f>
        <v>2022.8687108268114</v>
      </c>
    </row>
    <row r="8" spans="1:20" ht="15">
      <c r="A8" s="175" t="s">
        <v>75</v>
      </c>
      <c r="B8" s="51" t="s">
        <v>22</v>
      </c>
      <c r="C8" s="175" t="s">
        <v>126</v>
      </c>
      <c r="D8" s="51" t="s">
        <v>171</v>
      </c>
      <c r="E8" s="51"/>
      <c r="F8" s="51">
        <v>3.3</v>
      </c>
      <c r="G8" s="70">
        <v>0.115</v>
      </c>
      <c r="H8" s="43">
        <f>K8/F8</f>
        <v>0.24242424242424246</v>
      </c>
      <c r="I8" s="71">
        <v>0.39400000000000002</v>
      </c>
      <c r="J8" s="70">
        <f>F8*G8</f>
        <v>0.3795</v>
      </c>
      <c r="K8" s="44">
        <v>0.8</v>
      </c>
      <c r="L8" s="71">
        <f>I8*F8</f>
        <v>1.3002</v>
      </c>
      <c r="M8" s="134"/>
      <c r="N8" s="212">
        <v>0</v>
      </c>
      <c r="O8" s="190"/>
      <c r="P8" s="213">
        <f t="shared" ref="P8:P25" si="0">N8*K8</f>
        <v>0</v>
      </c>
      <c r="Q8" s="141"/>
      <c r="S8" s="123" t="s">
        <v>164</v>
      </c>
      <c r="T8" s="124">
        <v>0.3</v>
      </c>
    </row>
    <row r="9" spans="1:20" ht="15">
      <c r="A9" s="360" t="s">
        <v>39</v>
      </c>
      <c r="B9" s="57" t="s">
        <v>42</v>
      </c>
      <c r="C9" s="59" t="s">
        <v>140</v>
      </c>
      <c r="D9" s="55" t="s">
        <v>26</v>
      </c>
      <c r="E9" s="55"/>
      <c r="F9" s="55">
        <v>3.3</v>
      </c>
      <c r="G9" s="72"/>
      <c r="H9" s="16">
        <f>0.12/F9</f>
        <v>3.6363636363636362E-2</v>
      </c>
      <c r="I9" s="73">
        <f>0.2/F9</f>
        <v>6.0606060606060615E-2</v>
      </c>
      <c r="J9" s="72"/>
      <c r="K9" s="37">
        <f t="shared" ref="K9:K16" si="1">H9*F9</f>
        <v>0.11999999999999998</v>
      </c>
      <c r="L9" s="83">
        <f>I9*F9</f>
        <v>0.2</v>
      </c>
      <c r="M9" s="135"/>
      <c r="N9" s="214">
        <v>1</v>
      </c>
      <c r="O9" s="191"/>
      <c r="P9" s="215">
        <f>N9*K9</f>
        <v>0.11999999999999998</v>
      </c>
      <c r="Q9" s="142"/>
      <c r="S9" s="123" t="s">
        <v>68</v>
      </c>
      <c r="T9" s="124">
        <v>0.6</v>
      </c>
    </row>
    <row r="10" spans="1:20" ht="15">
      <c r="A10" s="361"/>
      <c r="B10" s="53"/>
      <c r="C10" s="53"/>
      <c r="D10" s="55" t="s">
        <v>106</v>
      </c>
      <c r="E10" s="55"/>
      <c r="F10" s="55">
        <v>3.3</v>
      </c>
      <c r="G10" s="72"/>
      <c r="H10" s="16">
        <f>0.2/F10</f>
        <v>6.0606060606060615E-2</v>
      </c>
      <c r="I10" s="73">
        <f>0.4/F10</f>
        <v>0.12121212121212123</v>
      </c>
      <c r="J10" s="72"/>
      <c r="K10" s="37">
        <f t="shared" si="1"/>
        <v>0.2</v>
      </c>
      <c r="L10" s="83">
        <f>I10*F10</f>
        <v>0.4</v>
      </c>
      <c r="M10" s="135"/>
      <c r="N10" s="214">
        <v>0</v>
      </c>
      <c r="O10" s="191"/>
      <c r="P10" s="215">
        <f>N10*K10</f>
        <v>0</v>
      </c>
      <c r="Q10" s="142"/>
      <c r="S10" s="123" t="s">
        <v>41</v>
      </c>
      <c r="T10" s="124">
        <v>0.8</v>
      </c>
    </row>
    <row r="11" spans="1:20" ht="15">
      <c r="A11" s="362" t="s">
        <v>130</v>
      </c>
      <c r="B11" s="58"/>
      <c r="C11" s="58"/>
      <c r="D11" s="64" t="s">
        <v>99</v>
      </c>
      <c r="E11" s="64"/>
      <c r="F11" s="64">
        <v>5</v>
      </c>
      <c r="G11" s="74"/>
      <c r="H11" s="38">
        <f>0.07*5/5</f>
        <v>7.0000000000000007E-2</v>
      </c>
      <c r="I11" s="391">
        <f>0.167*5/5</f>
        <v>0.16700000000000001</v>
      </c>
      <c r="J11" s="74"/>
      <c r="K11" s="18">
        <f>H11*F11</f>
        <v>0.35000000000000003</v>
      </c>
      <c r="L11" s="75">
        <f>I11*F11</f>
        <v>0.83500000000000008</v>
      </c>
      <c r="M11" s="136"/>
      <c r="N11" s="216">
        <v>1</v>
      </c>
      <c r="O11" s="192"/>
      <c r="P11" s="217">
        <f t="shared" si="0"/>
        <v>0.35000000000000003</v>
      </c>
      <c r="Q11" s="143"/>
      <c r="S11" s="123" t="s">
        <v>70</v>
      </c>
      <c r="T11" s="124">
        <v>0.8</v>
      </c>
    </row>
    <row r="12" spans="1:20" ht="15">
      <c r="A12" s="362"/>
      <c r="B12" s="58"/>
      <c r="C12" s="58"/>
      <c r="D12" s="64" t="s">
        <v>101</v>
      </c>
      <c r="E12" s="64"/>
      <c r="F12" s="64">
        <v>5</v>
      </c>
      <c r="G12" s="74"/>
      <c r="H12" s="38">
        <v>6.4000000000000001E-2</v>
      </c>
      <c r="I12" s="75"/>
      <c r="J12" s="74"/>
      <c r="K12" s="392">
        <f t="shared" si="1"/>
        <v>0.32</v>
      </c>
      <c r="L12" s="75"/>
      <c r="M12" s="136"/>
      <c r="N12" s="216">
        <v>1</v>
      </c>
      <c r="O12" s="192"/>
      <c r="P12" s="217">
        <f t="shared" si="0"/>
        <v>0.32</v>
      </c>
      <c r="Q12" s="143"/>
      <c r="S12" s="125"/>
      <c r="T12" s="124"/>
    </row>
    <row r="13" spans="1:20" ht="15">
      <c r="A13" s="361" t="s">
        <v>39</v>
      </c>
      <c r="B13" s="53"/>
      <c r="C13" s="53"/>
      <c r="D13" s="55" t="s">
        <v>16</v>
      </c>
      <c r="E13" s="55"/>
      <c r="F13" s="55">
        <v>3.3</v>
      </c>
      <c r="G13" s="72"/>
      <c r="H13" s="16">
        <f>0.2/F13</f>
        <v>6.0606060606060615E-2</v>
      </c>
      <c r="I13" s="73"/>
      <c r="J13" s="72"/>
      <c r="K13" s="37">
        <f t="shared" si="1"/>
        <v>0.2</v>
      </c>
      <c r="L13" s="73"/>
      <c r="M13" s="135"/>
      <c r="N13" s="214">
        <v>1</v>
      </c>
      <c r="O13" s="191"/>
      <c r="P13" s="215">
        <f t="shared" si="0"/>
        <v>0.2</v>
      </c>
      <c r="Q13" s="142"/>
      <c r="S13" s="125"/>
      <c r="T13" s="124"/>
    </row>
    <row r="14" spans="1:20" ht="15">
      <c r="A14" s="361"/>
      <c r="B14" s="53"/>
      <c r="C14" s="53"/>
      <c r="D14" s="55" t="s">
        <v>44</v>
      </c>
      <c r="E14" s="55"/>
      <c r="F14" s="55">
        <v>3.3</v>
      </c>
      <c r="G14" s="72"/>
      <c r="H14" s="16">
        <f>0.035/F14</f>
        <v>1.0606060606060608E-2</v>
      </c>
      <c r="I14" s="73"/>
      <c r="J14" s="72"/>
      <c r="K14" s="37">
        <f t="shared" si="1"/>
        <v>3.5000000000000003E-2</v>
      </c>
      <c r="L14" s="73"/>
      <c r="M14" s="135"/>
      <c r="N14" s="214">
        <v>1</v>
      </c>
      <c r="O14" s="191"/>
      <c r="P14" s="215">
        <f t="shared" si="0"/>
        <v>3.5000000000000003E-2</v>
      </c>
      <c r="Q14" s="142"/>
      <c r="S14" s="123" t="s">
        <v>102</v>
      </c>
      <c r="T14" s="124">
        <v>0.2</v>
      </c>
    </row>
    <row r="15" spans="1:20" ht="15">
      <c r="A15" s="52" t="s">
        <v>74</v>
      </c>
      <c r="B15" s="52"/>
      <c r="C15" s="60"/>
      <c r="D15" s="65" t="s">
        <v>1</v>
      </c>
      <c r="E15" s="65"/>
      <c r="F15" s="65">
        <v>8.26</v>
      </c>
      <c r="G15" s="76">
        <f>0.065*3/F15</f>
        <v>2.3607748184019371E-2</v>
      </c>
      <c r="H15" s="4">
        <f>0.19*3/F15</f>
        <v>6.9007263922518172E-2</v>
      </c>
      <c r="I15" s="77">
        <f>2.3*3/F15</f>
        <v>0.83535108958837767</v>
      </c>
      <c r="J15" s="76">
        <f>F15*G15</f>
        <v>0.19500000000000001</v>
      </c>
      <c r="K15" s="39">
        <f t="shared" si="1"/>
        <v>0.57000000000000006</v>
      </c>
      <c r="L15" s="77">
        <f>I15*F15</f>
        <v>6.8999999999999995</v>
      </c>
      <c r="M15" s="137"/>
      <c r="N15" s="218">
        <v>0</v>
      </c>
      <c r="O15" s="193"/>
      <c r="P15" s="219">
        <f t="shared" si="0"/>
        <v>0</v>
      </c>
      <c r="Q15" s="144"/>
      <c r="S15" s="123" t="s">
        <v>157</v>
      </c>
      <c r="T15" s="124">
        <v>0.9</v>
      </c>
    </row>
    <row r="16" spans="1:20" ht="15">
      <c r="A16" s="53" t="s">
        <v>39</v>
      </c>
      <c r="B16" s="53"/>
      <c r="C16" s="55" t="s">
        <v>17</v>
      </c>
      <c r="D16" s="55" t="s">
        <v>62</v>
      </c>
      <c r="E16" s="55"/>
      <c r="F16" s="55">
        <v>3.3</v>
      </c>
      <c r="G16" s="72"/>
      <c r="H16" s="37">
        <v>0</v>
      </c>
      <c r="I16" s="73"/>
      <c r="J16" s="72"/>
      <c r="K16" s="16">
        <f t="shared" si="1"/>
        <v>0</v>
      </c>
      <c r="L16" s="73"/>
      <c r="M16" s="135"/>
      <c r="N16" s="214">
        <v>0</v>
      </c>
      <c r="O16" s="191"/>
      <c r="P16" s="215">
        <f t="shared" si="0"/>
        <v>0</v>
      </c>
      <c r="Q16" s="142"/>
      <c r="S16" s="126" t="s">
        <v>182</v>
      </c>
      <c r="T16" s="127">
        <v>0.4</v>
      </c>
    </row>
    <row r="17" spans="1:18" ht="15">
      <c r="A17" s="54" t="s">
        <v>82</v>
      </c>
      <c r="B17" s="54"/>
      <c r="C17" s="61" t="s">
        <v>25</v>
      </c>
      <c r="D17" s="61" t="s">
        <v>61</v>
      </c>
      <c r="E17" s="61"/>
      <c r="F17" s="61">
        <v>3.3</v>
      </c>
      <c r="G17" s="78"/>
      <c r="H17" s="40">
        <v>0.39400000000000002</v>
      </c>
      <c r="I17" s="79"/>
      <c r="J17" s="78"/>
      <c r="K17" s="41">
        <v>1.3</v>
      </c>
      <c r="L17" s="79"/>
      <c r="M17" s="138"/>
      <c r="N17" s="220">
        <v>0</v>
      </c>
      <c r="O17" s="194"/>
      <c r="P17" s="221">
        <f t="shared" si="0"/>
        <v>0</v>
      </c>
      <c r="Q17" s="145"/>
    </row>
    <row r="18" spans="1:18">
      <c r="A18" s="48"/>
      <c r="B18" s="363" t="s">
        <v>19</v>
      </c>
      <c r="C18" s="50" t="s">
        <v>94</v>
      </c>
      <c r="D18" s="50" t="s">
        <v>148</v>
      </c>
      <c r="E18" s="50"/>
      <c r="F18" s="62"/>
      <c r="G18" s="80"/>
      <c r="H18" s="23"/>
      <c r="I18" s="81"/>
      <c r="J18" s="80"/>
      <c r="K18" s="23">
        <v>0.1</v>
      </c>
      <c r="L18" s="81"/>
      <c r="M18" s="133"/>
      <c r="N18" s="222">
        <v>1</v>
      </c>
      <c r="O18" s="189"/>
      <c r="P18" s="223">
        <f t="shared" si="0"/>
        <v>0.1</v>
      </c>
      <c r="Q18" s="140"/>
    </row>
    <row r="19" spans="1:18">
      <c r="A19" s="48"/>
      <c r="B19" s="364"/>
      <c r="C19" s="50" t="s">
        <v>21</v>
      </c>
      <c r="D19" s="50" t="s">
        <v>104</v>
      </c>
      <c r="E19" s="50"/>
      <c r="F19" s="62"/>
      <c r="G19" s="80"/>
      <c r="H19" s="23"/>
      <c r="I19" s="81"/>
      <c r="J19" s="80"/>
      <c r="K19" s="23">
        <v>0.2</v>
      </c>
      <c r="L19" s="81"/>
      <c r="M19" s="133"/>
      <c r="N19" s="222">
        <v>1</v>
      </c>
      <c r="O19" s="189"/>
      <c r="P19" s="223">
        <f t="shared" si="0"/>
        <v>0.2</v>
      </c>
      <c r="Q19" s="140"/>
    </row>
    <row r="20" spans="1:18">
      <c r="A20" s="48"/>
      <c r="B20" s="365"/>
      <c r="C20" s="62" t="s">
        <v>138</v>
      </c>
      <c r="D20" s="62" t="s">
        <v>149</v>
      </c>
      <c r="E20" s="62"/>
      <c r="F20" s="62"/>
      <c r="G20" s="80"/>
      <c r="H20" s="23"/>
      <c r="I20" s="81"/>
      <c r="J20" s="80"/>
      <c r="K20" s="23">
        <f>H20*F20</f>
        <v>0</v>
      </c>
      <c r="L20" s="81"/>
      <c r="M20" s="139"/>
      <c r="N20" s="224">
        <v>1</v>
      </c>
      <c r="O20" s="195"/>
      <c r="P20" s="225">
        <f t="shared" si="0"/>
        <v>0</v>
      </c>
      <c r="Q20" s="146"/>
    </row>
    <row r="21" spans="1:18" ht="15">
      <c r="A21" s="55" t="s">
        <v>39</v>
      </c>
      <c r="B21" s="55" t="s">
        <v>23</v>
      </c>
      <c r="C21" s="55" t="s">
        <v>20</v>
      </c>
      <c r="D21" s="55" t="s">
        <v>131</v>
      </c>
      <c r="E21" s="55"/>
      <c r="F21" s="55">
        <v>3.3</v>
      </c>
      <c r="G21" s="72"/>
      <c r="H21" s="37">
        <f>0.13</f>
        <v>0.13</v>
      </c>
      <c r="I21" s="73"/>
      <c r="J21" s="72"/>
      <c r="K21" s="16">
        <f>H21*F21</f>
        <v>0.42899999999999999</v>
      </c>
      <c r="L21" s="73"/>
      <c r="M21" s="135"/>
      <c r="N21" s="214">
        <v>1</v>
      </c>
      <c r="O21" s="191"/>
      <c r="P21" s="215">
        <f t="shared" si="0"/>
        <v>0.42899999999999999</v>
      </c>
      <c r="Q21" s="142"/>
    </row>
    <row r="22" spans="1:18" ht="15">
      <c r="A22" s="360" t="s">
        <v>39</v>
      </c>
      <c r="B22" s="57" t="s">
        <v>48</v>
      </c>
      <c r="C22" s="55" t="s">
        <v>15</v>
      </c>
      <c r="D22" s="55" t="s">
        <v>88</v>
      </c>
      <c r="E22" s="55"/>
      <c r="F22" s="55">
        <v>3.3</v>
      </c>
      <c r="G22" s="72"/>
      <c r="H22" s="16">
        <f>0.04/F22</f>
        <v>1.2121212121212123E-2</v>
      </c>
      <c r="I22" s="73">
        <f>2/F22</f>
        <v>0.60606060606060608</v>
      </c>
      <c r="J22" s="72"/>
      <c r="K22" s="37">
        <f>H22*F22</f>
        <v>0.04</v>
      </c>
      <c r="L22" s="73">
        <f>I22*F22</f>
        <v>2</v>
      </c>
      <c r="M22" s="149"/>
      <c r="N22" s="214">
        <v>0</v>
      </c>
      <c r="O22" s="191"/>
      <c r="P22" s="215">
        <f t="shared" si="0"/>
        <v>0</v>
      </c>
      <c r="Q22" s="142"/>
    </row>
    <row r="23" spans="1:18" ht="15">
      <c r="A23" s="361"/>
      <c r="B23" s="53"/>
      <c r="C23" s="360" t="s">
        <v>66</v>
      </c>
      <c r="D23" s="360" t="s">
        <v>177</v>
      </c>
      <c r="E23" s="55" t="s">
        <v>115</v>
      </c>
      <c r="F23" s="55">
        <v>3.3</v>
      </c>
      <c r="G23" s="82">
        <v>4.4999999999999998E-2</v>
      </c>
      <c r="H23" s="37">
        <v>5.5000000000000007E-2</v>
      </c>
      <c r="I23" s="83">
        <v>0.12</v>
      </c>
      <c r="J23" s="72">
        <f>F23*G23</f>
        <v>0.14849999999999999</v>
      </c>
      <c r="K23" s="16">
        <f>H23*F23</f>
        <v>0.18150000000000002</v>
      </c>
      <c r="L23" s="73">
        <f>I23*F23</f>
        <v>0.39599999999999996</v>
      </c>
      <c r="M23" s="135"/>
      <c r="N23" s="214">
        <v>0</v>
      </c>
      <c r="O23" s="191"/>
      <c r="P23" s="215">
        <f t="shared" si="0"/>
        <v>0</v>
      </c>
      <c r="Q23" s="142"/>
    </row>
    <row r="24" spans="1:18" ht="15" customHeight="1">
      <c r="A24" s="361"/>
      <c r="B24" s="53"/>
      <c r="C24" s="372"/>
      <c r="D24" s="372"/>
      <c r="E24" s="55" t="s">
        <v>111</v>
      </c>
      <c r="F24" s="55">
        <v>3.3</v>
      </c>
      <c r="G24" s="82">
        <v>0.6</v>
      </c>
      <c r="H24" s="16"/>
      <c r="I24" s="73">
        <v>1</v>
      </c>
      <c r="J24" s="72">
        <f>F24*G24</f>
        <v>1.9799999999999998</v>
      </c>
      <c r="K24" s="16"/>
      <c r="L24" s="73">
        <f>I24*F24</f>
        <v>3.3</v>
      </c>
      <c r="M24" s="135"/>
      <c r="N24" s="214">
        <v>1</v>
      </c>
      <c r="O24" s="191"/>
      <c r="P24" s="215">
        <f t="shared" si="0"/>
        <v>0</v>
      </c>
      <c r="Q24" s="142"/>
    </row>
    <row r="25" spans="1:18" ht="15">
      <c r="A25" s="56" t="s">
        <v>130</v>
      </c>
      <c r="B25" s="56"/>
      <c r="C25" s="63" t="s">
        <v>18</v>
      </c>
      <c r="D25" s="63" t="s">
        <v>2</v>
      </c>
      <c r="E25" s="63" t="s">
        <v>111</v>
      </c>
      <c r="F25" s="63">
        <v>5</v>
      </c>
      <c r="G25" s="205">
        <f>J25/5</f>
        <v>0.122</v>
      </c>
      <c r="H25" s="85">
        <f>K25/5</f>
        <v>0.54</v>
      </c>
      <c r="I25" s="86">
        <f>L25/5</f>
        <v>1</v>
      </c>
      <c r="J25" s="88">
        <v>0.61</v>
      </c>
      <c r="K25" s="89">
        <v>2.7</v>
      </c>
      <c r="L25" s="90">
        <v>5</v>
      </c>
      <c r="M25" s="136"/>
      <c r="N25" s="226">
        <v>0</v>
      </c>
      <c r="O25" s="196"/>
      <c r="P25" s="227">
        <f t="shared" si="0"/>
        <v>0</v>
      </c>
      <c r="Q25" s="170"/>
    </row>
    <row r="26" spans="1:18">
      <c r="G26" s="87"/>
      <c r="H26" s="87"/>
      <c r="I26" s="87"/>
      <c r="J26" s="87"/>
      <c r="K26" s="87"/>
      <c r="M26" s="7"/>
      <c r="O26" s="147" t="s">
        <v>163</v>
      </c>
      <c r="P26" s="171">
        <f>SUM(P5:P25)</f>
        <v>1.754</v>
      </c>
      <c r="Q26" s="172" t="s">
        <v>119</v>
      </c>
      <c r="R26" s="1" t="s">
        <v>4</v>
      </c>
    </row>
    <row r="27" spans="1:18">
      <c r="M27"/>
      <c r="O27" s="118" t="s">
        <v>10</v>
      </c>
      <c r="P27" s="6">
        <f>1.135*(6*3+6*3+4*3+4*3)/6*T6/3600</f>
        <v>11.520616283317727</v>
      </c>
      <c r="Q27" s="119" t="s">
        <v>129</v>
      </c>
      <c r="R27" s="3"/>
    </row>
    <row r="28" spans="1:18">
      <c r="M28"/>
      <c r="O28" s="118" t="s">
        <v>9</v>
      </c>
      <c r="P28" s="6">
        <f>P26*T3/3600</f>
        <v>2.7659531930408843</v>
      </c>
      <c r="Q28" s="119" t="s">
        <v>129</v>
      </c>
      <c r="R28" s="3"/>
    </row>
    <row r="29" spans="1:18">
      <c r="M29"/>
      <c r="O29" s="118" t="s">
        <v>100</v>
      </c>
      <c r="P29" s="6">
        <f>P27-P28</f>
        <v>8.7546630902768428</v>
      </c>
      <c r="Q29" s="119" t="s">
        <v>129</v>
      </c>
    </row>
    <row r="30" spans="1:18">
      <c r="M30"/>
      <c r="O30" s="118" t="s">
        <v>179</v>
      </c>
      <c r="P30" s="6">
        <f>100*($P$27/P28-1)</f>
        <v>316.51522926358638</v>
      </c>
      <c r="Q30" s="119" t="s">
        <v>110</v>
      </c>
    </row>
    <row r="31" spans="1:18">
      <c r="M31"/>
      <c r="O31" s="118" t="s">
        <v>107</v>
      </c>
      <c r="P31" s="6">
        <f>P29/$P$27*100</f>
        <v>75.991274034132303</v>
      </c>
      <c r="Q31" s="119" t="s">
        <v>110</v>
      </c>
      <c r="R31" s="21" t="s">
        <v>77</v>
      </c>
    </row>
    <row r="32" spans="1:18">
      <c r="M32"/>
      <c r="O32" s="120" t="s">
        <v>167</v>
      </c>
      <c r="P32" s="148">
        <f>(P27-P28)/40*100</f>
        <v>21.886657725692107</v>
      </c>
      <c r="Q32" s="122" t="s">
        <v>110</v>
      </c>
    </row>
    <row r="33" spans="13:19">
      <c r="M33"/>
    </row>
    <row r="34" spans="13:19">
      <c r="M34"/>
    </row>
    <row r="41" spans="13:19">
      <c r="O41" s="7"/>
      <c r="P41" s="7"/>
      <c r="Q41" s="7"/>
    </row>
    <row r="42" spans="13:19">
      <c r="O42" s="7"/>
      <c r="P42" s="7"/>
      <c r="Q42" s="7"/>
    </row>
    <row r="43" spans="13:19">
      <c r="O43" s="7"/>
      <c r="P43" s="7"/>
      <c r="Q43" s="7"/>
      <c r="R43" s="7"/>
      <c r="S43" s="7"/>
    </row>
    <row r="44" spans="13:19">
      <c r="O44" s="7"/>
      <c r="P44" s="7"/>
      <c r="Q44" s="7"/>
      <c r="R44" s="7"/>
      <c r="S44" s="7"/>
    </row>
    <row r="45" spans="13:19">
      <c r="O45" s="7"/>
      <c r="P45" s="7"/>
      <c r="Q45" s="7"/>
      <c r="R45" s="7"/>
      <c r="S45" s="7"/>
    </row>
    <row r="46" spans="13:19">
      <c r="O46" s="7"/>
      <c r="P46" s="7"/>
      <c r="Q46" s="7"/>
      <c r="R46" s="7"/>
      <c r="S46" s="7"/>
    </row>
    <row r="47" spans="13:19">
      <c r="O47" s="7"/>
      <c r="P47" s="7"/>
      <c r="Q47" s="7"/>
      <c r="R47" s="7"/>
      <c r="S47" s="7"/>
    </row>
    <row r="48" spans="13:19">
      <c r="O48" s="7"/>
      <c r="P48" s="7"/>
      <c r="Q48" s="7"/>
      <c r="R48" s="7"/>
      <c r="S48" s="7"/>
    </row>
    <row r="49" spans="15:19">
      <c r="O49" s="7"/>
      <c r="P49" s="7"/>
      <c r="Q49" s="7"/>
      <c r="R49" s="7"/>
      <c r="S49" s="7"/>
    </row>
    <row r="50" spans="15:19">
      <c r="O50" s="7"/>
      <c r="P50" s="7"/>
      <c r="Q50" s="7"/>
      <c r="R50" s="7"/>
      <c r="S50" s="7"/>
    </row>
    <row r="51" spans="15:19">
      <c r="R51" s="7"/>
      <c r="S51" s="7"/>
    </row>
    <row r="52" spans="15:19">
      <c r="R52" s="7"/>
      <c r="S52" s="7"/>
    </row>
  </sheetData>
  <mergeCells count="10">
    <mergeCell ref="G2:I2"/>
    <mergeCell ref="J2:L2"/>
    <mergeCell ref="O2:Q2"/>
    <mergeCell ref="C23:C24"/>
    <mergeCell ref="D23:D24"/>
    <mergeCell ref="A9:A10"/>
    <mergeCell ref="A11:A12"/>
    <mergeCell ref="A13:A14"/>
    <mergeCell ref="A22:A24"/>
    <mergeCell ref="B18:B20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2:Z52"/>
  <sheetViews>
    <sheetView zoomScaleNormal="100" zoomScaleSheetLayoutView="75" workbookViewId="0">
      <pane xSplit="4" ySplit="3" topLeftCell="E4" activePane="bottomRight" state="frozen"/>
      <selection pane="topRight"/>
      <selection pane="bottomLeft"/>
      <selection pane="bottomRight" activeCell="K12" sqref="K12"/>
    </sheetView>
  </sheetViews>
  <sheetFormatPr defaultColWidth="9.125" defaultRowHeight="14.25"/>
  <cols>
    <col min="1" max="1" width="9.125" style="1"/>
    <col min="2" max="2" width="10.75" style="1" bestFit="1" customWidth="1"/>
    <col min="3" max="3" width="16.375" style="1" bestFit="1" customWidth="1"/>
    <col min="4" max="4" width="31" style="1" bestFit="1" customWidth="1"/>
    <col min="5" max="5" width="17" style="1" bestFit="1" customWidth="1"/>
    <col min="6" max="6" width="15.25" style="1" bestFit="1" customWidth="1"/>
    <col min="7" max="12" width="10.875" style="1" bestFit="1" customWidth="1"/>
    <col min="13" max="13" width="10.875" style="1" customWidth="1"/>
    <col min="14" max="15" width="15.75" style="1" customWidth="1"/>
    <col min="16" max="16" width="22" style="1" customWidth="1"/>
    <col min="17" max="17" width="35" style="1" customWidth="1"/>
    <col min="18" max="18" width="13.375" style="1" bestFit="1" customWidth="1"/>
    <col min="19" max="19" width="14.25" style="1" bestFit="1" customWidth="1"/>
    <col min="20" max="20" width="19.25" style="1" customWidth="1"/>
    <col min="21" max="21" width="11.75" style="1" customWidth="1"/>
    <col min="22" max="22" width="8" style="1" customWidth="1"/>
    <col min="23" max="23" width="11.75" style="1" customWidth="1"/>
    <col min="24" max="24" width="20.875" style="1" customWidth="1"/>
    <col min="25" max="25" width="18.625" style="1" customWidth="1"/>
    <col min="26" max="26" width="24.625" style="1" bestFit="1" customWidth="1"/>
    <col min="27" max="27" width="13.125" style="1" bestFit="1" customWidth="1"/>
    <col min="28" max="16384" width="9.125" style="1"/>
  </cols>
  <sheetData>
    <row r="2" spans="1:25" ht="13.9" customHeight="1">
      <c r="A2" s="128" t="s">
        <v>84</v>
      </c>
      <c r="B2" s="128" t="s">
        <v>154</v>
      </c>
      <c r="C2" s="128" t="s">
        <v>151</v>
      </c>
      <c r="D2" s="128" t="s">
        <v>71</v>
      </c>
      <c r="E2" s="128" t="s">
        <v>53</v>
      </c>
      <c r="F2" s="128" t="s">
        <v>174</v>
      </c>
      <c r="G2" s="366" t="s">
        <v>6</v>
      </c>
      <c r="H2" s="367"/>
      <c r="I2" s="368"/>
      <c r="J2" s="366" t="s">
        <v>76</v>
      </c>
      <c r="K2" s="367"/>
      <c r="L2" s="368"/>
      <c r="N2" s="369" t="s">
        <v>93</v>
      </c>
      <c r="O2" s="373"/>
      <c r="P2" s="371"/>
      <c r="Q2" s="369" t="s">
        <v>158</v>
      </c>
      <c r="R2" s="370"/>
      <c r="S2" s="370"/>
      <c r="T2" s="370"/>
      <c r="U2" s="370"/>
      <c r="V2" s="371"/>
      <c r="W2" s="116"/>
      <c r="X2" s="246" t="s">
        <v>91</v>
      </c>
      <c r="Y2" s="169"/>
    </row>
    <row r="3" spans="1:25" ht="14.25" customHeight="1">
      <c r="A3" s="48"/>
      <c r="B3" s="129"/>
      <c r="C3" s="129"/>
      <c r="D3" s="129"/>
      <c r="E3" s="129"/>
      <c r="F3" s="129"/>
      <c r="G3" s="150" t="s">
        <v>56</v>
      </c>
      <c r="H3" s="151" t="s">
        <v>73</v>
      </c>
      <c r="I3" s="152" t="s">
        <v>90</v>
      </c>
      <c r="J3" s="150" t="s">
        <v>52</v>
      </c>
      <c r="K3" s="151" t="s">
        <v>73</v>
      </c>
      <c r="L3" s="152" t="s">
        <v>90</v>
      </c>
      <c r="M3" s="1" t="s">
        <v>53</v>
      </c>
      <c r="N3" s="230" t="s">
        <v>142</v>
      </c>
      <c r="O3" s="235" t="s">
        <v>145</v>
      </c>
      <c r="P3" s="153" t="s">
        <v>108</v>
      </c>
      <c r="Q3" s="230"/>
      <c r="R3" s="150" t="s">
        <v>142</v>
      </c>
      <c r="S3" s="151" t="s">
        <v>145</v>
      </c>
      <c r="T3" s="152" t="s">
        <v>108</v>
      </c>
      <c r="U3" s="128" t="s">
        <v>40</v>
      </c>
      <c r="V3" s="153"/>
      <c r="X3" s="123" t="s">
        <v>181</v>
      </c>
      <c r="Y3" s="124">
        <f>parameter!C8</f>
        <v>5676.9848887954295</v>
      </c>
    </row>
    <row r="4" spans="1:25">
      <c r="A4" s="48"/>
      <c r="B4" s="50"/>
      <c r="C4" s="50"/>
      <c r="D4" s="50"/>
      <c r="E4" s="50"/>
      <c r="F4" s="50"/>
      <c r="G4" s="234"/>
      <c r="H4" s="231"/>
      <c r="I4" s="237"/>
      <c r="J4" s="234"/>
      <c r="K4" s="231"/>
      <c r="L4" s="237"/>
      <c r="M4" s="91" t="s">
        <v>64</v>
      </c>
      <c r="N4" s="236">
        <f>Y6-Y4</f>
        <v>2973.1161779686181</v>
      </c>
      <c r="O4" s="232">
        <f>Y7</f>
        <v>2022.8687108268114</v>
      </c>
      <c r="P4" s="233">
        <f>Y4</f>
        <v>681</v>
      </c>
      <c r="Q4" s="281"/>
      <c r="R4" s="234"/>
      <c r="S4" s="231"/>
      <c r="T4" s="237"/>
      <c r="U4" s="257"/>
      <c r="V4" s="130"/>
      <c r="X4" s="123" t="s">
        <v>176</v>
      </c>
      <c r="Y4" s="124">
        <v>681</v>
      </c>
    </row>
    <row r="5" spans="1:25">
      <c r="A5" s="49" t="s">
        <v>47</v>
      </c>
      <c r="B5" s="49" t="s">
        <v>67</v>
      </c>
      <c r="C5" s="49"/>
      <c r="D5" s="49"/>
      <c r="E5" s="49"/>
      <c r="F5" s="49">
        <v>5</v>
      </c>
      <c r="G5" s="68"/>
      <c r="H5" s="47">
        <f>K5/F5</f>
        <v>0.04</v>
      </c>
      <c r="I5" s="69"/>
      <c r="J5" s="68"/>
      <c r="K5" s="47">
        <v>0.2</v>
      </c>
      <c r="L5" s="69"/>
      <c r="M5" s="92"/>
      <c r="N5" s="180">
        <v>0</v>
      </c>
      <c r="O5" s="181">
        <v>0</v>
      </c>
      <c r="P5" s="182">
        <v>1</v>
      </c>
      <c r="Q5" s="282"/>
      <c r="R5" s="283">
        <f>N5*K5</f>
        <v>0</v>
      </c>
      <c r="S5" s="47">
        <f>O5*K5</f>
        <v>0</v>
      </c>
      <c r="T5" s="69">
        <f>P5*K5</f>
        <v>0.2</v>
      </c>
      <c r="U5" s="258">
        <f>SUM(R5+S5+T5)</f>
        <v>0.2</v>
      </c>
      <c r="V5" s="259"/>
      <c r="X5" s="123" t="s">
        <v>165</v>
      </c>
      <c r="Y5" s="124">
        <v>661</v>
      </c>
    </row>
    <row r="6" spans="1:25">
      <c r="A6" s="176" t="s">
        <v>27</v>
      </c>
      <c r="B6" s="176" t="s">
        <v>24</v>
      </c>
      <c r="C6" s="176"/>
      <c r="D6" s="159"/>
      <c r="E6" s="159"/>
      <c r="F6" s="159">
        <v>5</v>
      </c>
      <c r="G6" s="160"/>
      <c r="H6" s="161">
        <f>K6/F6</f>
        <v>0.04</v>
      </c>
      <c r="I6" s="162">
        <f>L6/F6</f>
        <v>0.4</v>
      </c>
      <c r="J6" s="160"/>
      <c r="K6" s="161">
        <v>0.2</v>
      </c>
      <c r="L6" s="162">
        <v>2</v>
      </c>
      <c r="M6" s="178"/>
      <c r="N6" s="183">
        <v>0</v>
      </c>
      <c r="O6" s="185">
        <v>0</v>
      </c>
      <c r="P6" s="186">
        <f>N6*K6</f>
        <v>0</v>
      </c>
      <c r="Q6" s="284"/>
      <c r="R6" s="207">
        <f>N6*K6</f>
        <v>0</v>
      </c>
      <c r="S6" s="197">
        <f>O6*K6</f>
        <v>0</v>
      </c>
      <c r="T6" s="229">
        <f>P6*K6</f>
        <v>0</v>
      </c>
      <c r="U6" s="260">
        <f t="shared" ref="U6:U25" si="0">SUM(R6+S6+T6)</f>
        <v>0</v>
      </c>
      <c r="V6" s="261"/>
      <c r="X6" s="123" t="s">
        <v>0</v>
      </c>
      <c r="Y6" s="124">
        <f>parameter!C10</f>
        <v>3654.1161779686181</v>
      </c>
    </row>
    <row r="7" spans="1:25">
      <c r="A7" s="174" t="s">
        <v>65</v>
      </c>
      <c r="B7" s="174"/>
      <c r="C7" s="174"/>
      <c r="D7" s="157"/>
      <c r="E7" s="156"/>
      <c r="F7" s="156">
        <v>3.3</v>
      </c>
      <c r="G7" s="204"/>
      <c r="H7" s="198">
        <f>K7/F7</f>
        <v>6.0606060606060615E-2</v>
      </c>
      <c r="I7" s="199">
        <f>L7/F7</f>
        <v>0.60606060606060608</v>
      </c>
      <c r="J7" s="204"/>
      <c r="K7" s="158">
        <v>0.2</v>
      </c>
      <c r="L7" s="177">
        <v>2</v>
      </c>
      <c r="M7" s="157"/>
      <c r="N7" s="184">
        <v>0</v>
      </c>
      <c r="O7" s="187">
        <v>0</v>
      </c>
      <c r="P7" s="188">
        <f>N7*K7</f>
        <v>0</v>
      </c>
      <c r="Q7" s="285"/>
      <c r="R7" s="286">
        <f t="shared" ref="R7:R25" si="1">N7*K7</f>
        <v>0</v>
      </c>
      <c r="S7" s="158">
        <f t="shared" ref="S7:S22" si="2">O7*K7</f>
        <v>0</v>
      </c>
      <c r="T7" s="177">
        <f>P7*K7</f>
        <v>0</v>
      </c>
      <c r="U7" s="262">
        <f t="shared" si="0"/>
        <v>0</v>
      </c>
      <c r="V7" s="263"/>
      <c r="X7" s="123" t="s">
        <v>36</v>
      </c>
      <c r="Y7" s="124">
        <f>parameter!C11</f>
        <v>2022.8687108268114</v>
      </c>
    </row>
    <row r="8" spans="1:25" ht="15">
      <c r="A8" s="51" t="s">
        <v>75</v>
      </c>
      <c r="B8" s="51" t="s">
        <v>22</v>
      </c>
      <c r="C8" s="51" t="s">
        <v>126</v>
      </c>
      <c r="D8" s="51" t="s">
        <v>171</v>
      </c>
      <c r="E8" s="51"/>
      <c r="F8" s="51">
        <v>3.3</v>
      </c>
      <c r="G8" s="70">
        <v>0.115</v>
      </c>
      <c r="H8" s="43">
        <v>0.24199999999999999</v>
      </c>
      <c r="I8" s="71">
        <v>0.39400000000000002</v>
      </c>
      <c r="J8" s="70">
        <f>F8*G8</f>
        <v>0.3795</v>
      </c>
      <c r="K8" s="44">
        <v>0.8</v>
      </c>
      <c r="L8" s="71">
        <f>I8*F8</f>
        <v>1.3002</v>
      </c>
      <c r="M8" s="95"/>
      <c r="N8" s="179">
        <v>0</v>
      </c>
      <c r="O8" s="45">
        <v>0</v>
      </c>
      <c r="P8" s="97">
        <v>1</v>
      </c>
      <c r="Q8" s="287"/>
      <c r="R8" s="190">
        <f t="shared" si="1"/>
        <v>0</v>
      </c>
      <c r="S8" s="43">
        <f t="shared" si="2"/>
        <v>0</v>
      </c>
      <c r="T8" s="71">
        <f>P8*L8</f>
        <v>1.3002</v>
      </c>
      <c r="U8" s="264">
        <f t="shared" si="0"/>
        <v>1.3002</v>
      </c>
      <c r="V8" s="265"/>
      <c r="X8" s="123" t="s">
        <v>164</v>
      </c>
      <c r="Y8" s="124">
        <v>0.3</v>
      </c>
    </row>
    <row r="9" spans="1:25" ht="15">
      <c r="A9" s="360" t="s">
        <v>39</v>
      </c>
      <c r="B9" s="57" t="s">
        <v>42</v>
      </c>
      <c r="C9" s="59" t="s">
        <v>140</v>
      </c>
      <c r="D9" s="55" t="s">
        <v>26</v>
      </c>
      <c r="E9" s="55"/>
      <c r="F9" s="55">
        <v>3.3</v>
      </c>
      <c r="G9" s="72"/>
      <c r="H9" s="16">
        <f>0.12/F9</f>
        <v>3.6363636363636362E-2</v>
      </c>
      <c r="I9" s="73">
        <f>0.2/F9</f>
        <v>6.0606060606060615E-2</v>
      </c>
      <c r="J9" s="72"/>
      <c r="K9" s="37">
        <f t="shared" ref="K9:K16" si="3">H9*F9</f>
        <v>0.11999999999999998</v>
      </c>
      <c r="L9" s="83">
        <f>I9*F9</f>
        <v>0.2</v>
      </c>
      <c r="M9" s="98"/>
      <c r="N9" s="99">
        <v>1</v>
      </c>
      <c r="O9" s="17">
        <v>1</v>
      </c>
      <c r="P9" s="100">
        <v>1</v>
      </c>
      <c r="Q9" s="288"/>
      <c r="R9" s="191">
        <f>N9*K9</f>
        <v>0.11999999999999998</v>
      </c>
      <c r="S9" s="16">
        <f t="shared" si="2"/>
        <v>0.11999999999999998</v>
      </c>
      <c r="T9" s="73">
        <f>P9*$L$9+(1-P9)*K9</f>
        <v>0.2</v>
      </c>
      <c r="U9" s="266">
        <f t="shared" si="0"/>
        <v>0.43999999999999995</v>
      </c>
      <c r="V9" s="267"/>
      <c r="X9" s="123" t="s">
        <v>68</v>
      </c>
      <c r="Y9" s="124">
        <v>0.6</v>
      </c>
    </row>
    <row r="10" spans="1:25" ht="15">
      <c r="A10" s="361"/>
      <c r="B10" s="53"/>
      <c r="C10" s="53"/>
      <c r="D10" s="55" t="s">
        <v>106</v>
      </c>
      <c r="E10" s="55"/>
      <c r="F10" s="55">
        <v>3.3</v>
      </c>
      <c r="G10" s="72"/>
      <c r="H10" s="16">
        <f>0.2/F10</f>
        <v>6.0606060606060615E-2</v>
      </c>
      <c r="I10" s="73">
        <f>0.4/F10</f>
        <v>0.12121212121212123</v>
      </c>
      <c r="J10" s="72"/>
      <c r="K10" s="37">
        <f t="shared" si="3"/>
        <v>0.2</v>
      </c>
      <c r="L10" s="83">
        <f>I10*F10</f>
        <v>0.4</v>
      </c>
      <c r="M10" s="98"/>
      <c r="N10" s="99">
        <v>1</v>
      </c>
      <c r="O10" s="17">
        <v>1</v>
      </c>
      <c r="P10" s="100">
        <v>1</v>
      </c>
      <c r="Q10" s="288"/>
      <c r="R10" s="191">
        <f>N10*K10</f>
        <v>0.2</v>
      </c>
      <c r="S10" s="16">
        <f t="shared" si="2"/>
        <v>0.2</v>
      </c>
      <c r="T10" s="73">
        <f>P10*$L$10+(1-P10)*K10</f>
        <v>0.4</v>
      </c>
      <c r="U10" s="266">
        <f t="shared" si="0"/>
        <v>0.8</v>
      </c>
      <c r="V10" s="267"/>
      <c r="X10" s="123" t="s">
        <v>41</v>
      </c>
      <c r="Y10" s="124">
        <v>0.8</v>
      </c>
    </row>
    <row r="11" spans="1:25" ht="15">
      <c r="A11" s="362" t="s">
        <v>130</v>
      </c>
      <c r="B11" s="58"/>
      <c r="C11" s="58"/>
      <c r="D11" s="64" t="s">
        <v>99</v>
      </c>
      <c r="E11" s="64"/>
      <c r="F11" s="64">
        <v>5</v>
      </c>
      <c r="G11" s="74"/>
      <c r="H11" s="38">
        <f>0.07*5/5</f>
        <v>7.0000000000000007E-2</v>
      </c>
      <c r="I11" s="391">
        <f>0.167*5/5</f>
        <v>0.16700000000000001</v>
      </c>
      <c r="J11" s="74"/>
      <c r="K11" s="18">
        <f>H11*F11</f>
        <v>0.35000000000000003</v>
      </c>
      <c r="L11" s="75">
        <f>I11*F11</f>
        <v>0.83500000000000008</v>
      </c>
      <c r="M11" s="101"/>
      <c r="N11" s="102">
        <v>1</v>
      </c>
      <c r="O11" s="19">
        <v>1</v>
      </c>
      <c r="P11" s="103">
        <v>1</v>
      </c>
      <c r="Q11" s="289"/>
      <c r="R11" s="192">
        <f t="shared" si="1"/>
        <v>0.35000000000000003</v>
      </c>
      <c r="S11" s="18">
        <f t="shared" si="2"/>
        <v>0.35000000000000003</v>
      </c>
      <c r="T11" s="75">
        <f>P11*$L$11+(1-P11)*K11</f>
        <v>0.83500000000000008</v>
      </c>
      <c r="U11" s="268">
        <f t="shared" si="0"/>
        <v>1.5350000000000001</v>
      </c>
      <c r="V11" s="269"/>
      <c r="X11" s="123" t="s">
        <v>70</v>
      </c>
      <c r="Y11" s="124">
        <v>0.8</v>
      </c>
    </row>
    <row r="12" spans="1:25" ht="15">
      <c r="A12" s="362"/>
      <c r="B12" s="58"/>
      <c r="C12" s="58"/>
      <c r="D12" s="64" t="s">
        <v>101</v>
      </c>
      <c r="E12" s="64"/>
      <c r="F12" s="64">
        <v>5</v>
      </c>
      <c r="G12" s="74"/>
      <c r="H12" s="38">
        <v>6.4000000000000001E-2</v>
      </c>
      <c r="I12" s="75"/>
      <c r="J12" s="74"/>
      <c r="K12" s="392">
        <f t="shared" si="3"/>
        <v>0.32</v>
      </c>
      <c r="L12" s="75"/>
      <c r="M12" s="101"/>
      <c r="N12" s="102">
        <v>1</v>
      </c>
      <c r="O12" s="19">
        <v>1</v>
      </c>
      <c r="P12" s="103">
        <v>1</v>
      </c>
      <c r="Q12" s="289"/>
      <c r="R12" s="192">
        <f t="shared" si="1"/>
        <v>0.32</v>
      </c>
      <c r="S12" s="18">
        <f t="shared" si="2"/>
        <v>0.32</v>
      </c>
      <c r="T12" s="75">
        <f>P12*$K$12</f>
        <v>0.32</v>
      </c>
      <c r="U12" s="268">
        <f t="shared" si="0"/>
        <v>0.96</v>
      </c>
      <c r="V12" s="269"/>
      <c r="X12" s="125"/>
      <c r="Y12" s="124"/>
    </row>
    <row r="13" spans="1:25" ht="15">
      <c r="A13" s="361" t="s">
        <v>39</v>
      </c>
      <c r="B13" s="53"/>
      <c r="C13" s="53"/>
      <c r="D13" s="55" t="s">
        <v>16</v>
      </c>
      <c r="E13" s="55"/>
      <c r="F13" s="55">
        <v>3.3</v>
      </c>
      <c r="G13" s="72"/>
      <c r="H13" s="16">
        <f>0.2/F13</f>
        <v>6.0606060606060615E-2</v>
      </c>
      <c r="I13" s="73"/>
      <c r="J13" s="72"/>
      <c r="K13" s="37">
        <f t="shared" si="3"/>
        <v>0.2</v>
      </c>
      <c r="L13" s="73"/>
      <c r="M13" s="98"/>
      <c r="N13" s="99">
        <v>1</v>
      </c>
      <c r="O13" s="17">
        <v>1</v>
      </c>
      <c r="P13" s="100">
        <v>1</v>
      </c>
      <c r="Q13" s="288"/>
      <c r="R13" s="191">
        <f t="shared" si="1"/>
        <v>0.2</v>
      </c>
      <c r="S13" s="16">
        <f t="shared" si="2"/>
        <v>0.2</v>
      </c>
      <c r="T13" s="73">
        <f>P13*$K$13</f>
        <v>0.2</v>
      </c>
      <c r="U13" s="266">
        <f t="shared" si="0"/>
        <v>0.60000000000000009</v>
      </c>
      <c r="V13" s="267"/>
      <c r="X13" s="125"/>
      <c r="Y13" s="124"/>
    </row>
    <row r="14" spans="1:25" ht="15">
      <c r="A14" s="361"/>
      <c r="B14" s="53"/>
      <c r="C14" s="53"/>
      <c r="D14" s="55" t="s">
        <v>44</v>
      </c>
      <c r="E14" s="55"/>
      <c r="F14" s="55">
        <v>3.3</v>
      </c>
      <c r="G14" s="72"/>
      <c r="H14" s="16">
        <f>0.035/F14</f>
        <v>1.0606060606060608E-2</v>
      </c>
      <c r="I14" s="73"/>
      <c r="J14" s="72"/>
      <c r="K14" s="37">
        <f t="shared" si="3"/>
        <v>3.5000000000000003E-2</v>
      </c>
      <c r="L14" s="73"/>
      <c r="M14" s="98"/>
      <c r="N14" s="99">
        <v>1</v>
      </c>
      <c r="O14" s="17">
        <v>1</v>
      </c>
      <c r="P14" s="100">
        <v>1</v>
      </c>
      <c r="Q14" s="288"/>
      <c r="R14" s="191">
        <f t="shared" si="1"/>
        <v>3.5000000000000003E-2</v>
      </c>
      <c r="S14" s="16">
        <f t="shared" si="2"/>
        <v>3.5000000000000003E-2</v>
      </c>
      <c r="T14" s="73">
        <f>P14*$K$14</f>
        <v>3.5000000000000003E-2</v>
      </c>
      <c r="U14" s="266">
        <f t="shared" si="0"/>
        <v>0.10500000000000001</v>
      </c>
      <c r="V14" s="267"/>
      <c r="X14" s="123" t="s">
        <v>102</v>
      </c>
      <c r="Y14" s="124">
        <v>0.2</v>
      </c>
    </row>
    <row r="15" spans="1:25" ht="15">
      <c r="A15" s="52" t="s">
        <v>74</v>
      </c>
      <c r="B15" s="52"/>
      <c r="C15" s="60"/>
      <c r="D15" s="65" t="s">
        <v>1</v>
      </c>
      <c r="E15" s="65"/>
      <c r="F15" s="65">
        <v>8.26</v>
      </c>
      <c r="G15" s="76">
        <f>0.065*3/F15</f>
        <v>2.3607748184019371E-2</v>
      </c>
      <c r="H15" s="4">
        <f>0.19*3/F15</f>
        <v>6.9007263922518172E-2</v>
      </c>
      <c r="I15" s="77">
        <f>2.3*3/F15</f>
        <v>0.83535108958837767</v>
      </c>
      <c r="J15" s="76">
        <f>F15*G15</f>
        <v>0.19500000000000001</v>
      </c>
      <c r="K15" s="39">
        <f t="shared" si="3"/>
        <v>0.57000000000000006</v>
      </c>
      <c r="L15" s="77">
        <f>I15*F15</f>
        <v>6.8999999999999995</v>
      </c>
      <c r="M15" s="104"/>
      <c r="N15" s="105">
        <v>1</v>
      </c>
      <c r="O15" s="22">
        <v>1</v>
      </c>
      <c r="P15" s="106">
        <v>1</v>
      </c>
      <c r="Q15" s="290"/>
      <c r="R15" s="193">
        <f t="shared" si="1"/>
        <v>0.57000000000000006</v>
      </c>
      <c r="S15" s="4">
        <f t="shared" si="2"/>
        <v>0.57000000000000006</v>
      </c>
      <c r="T15" s="77">
        <f>P15*$L$15+(1-P15)*K15</f>
        <v>6.8999999999999995</v>
      </c>
      <c r="U15" s="270">
        <f t="shared" si="0"/>
        <v>8.0399999999999991</v>
      </c>
      <c r="V15" s="271"/>
      <c r="X15" s="123" t="s">
        <v>157</v>
      </c>
      <c r="Y15" s="124">
        <v>0.9</v>
      </c>
    </row>
    <row r="16" spans="1:25" ht="15">
      <c r="A16" s="53" t="s">
        <v>39</v>
      </c>
      <c r="B16" s="53"/>
      <c r="C16" s="55" t="s">
        <v>17</v>
      </c>
      <c r="D16" s="55" t="s">
        <v>62</v>
      </c>
      <c r="E16" s="55"/>
      <c r="F16" s="55">
        <v>3.3</v>
      </c>
      <c r="G16" s="72"/>
      <c r="H16" s="37">
        <v>0</v>
      </c>
      <c r="I16" s="73"/>
      <c r="J16" s="72"/>
      <c r="K16" s="16">
        <f t="shared" si="3"/>
        <v>0</v>
      </c>
      <c r="L16" s="73"/>
      <c r="M16" s="98"/>
      <c r="N16" s="99">
        <v>1</v>
      </c>
      <c r="O16" s="17">
        <v>1</v>
      </c>
      <c r="P16" s="100">
        <v>1</v>
      </c>
      <c r="Q16" s="288"/>
      <c r="R16" s="191">
        <f t="shared" si="1"/>
        <v>0</v>
      </c>
      <c r="S16" s="16">
        <f t="shared" si="2"/>
        <v>0</v>
      </c>
      <c r="T16" s="73">
        <f>P16*K16</f>
        <v>0</v>
      </c>
      <c r="U16" s="266">
        <f t="shared" si="0"/>
        <v>0</v>
      </c>
      <c r="V16" s="267"/>
      <c r="X16" s="126" t="s">
        <v>182</v>
      </c>
      <c r="Y16" s="127">
        <v>0.4</v>
      </c>
    </row>
    <row r="17" spans="1:23" ht="15">
      <c r="A17" s="54" t="s">
        <v>82</v>
      </c>
      <c r="B17" s="54"/>
      <c r="C17" s="61" t="s">
        <v>25</v>
      </c>
      <c r="D17" s="61" t="s">
        <v>61</v>
      </c>
      <c r="E17" s="61"/>
      <c r="F17" s="61">
        <v>3.3</v>
      </c>
      <c r="G17" s="78"/>
      <c r="H17" s="40">
        <v>0.39400000000000002</v>
      </c>
      <c r="I17" s="79"/>
      <c r="J17" s="78"/>
      <c r="K17" s="41">
        <v>1.3</v>
      </c>
      <c r="L17" s="79"/>
      <c r="M17" s="107"/>
      <c r="N17" s="108">
        <v>1</v>
      </c>
      <c r="O17" s="42">
        <v>1</v>
      </c>
      <c r="P17" s="109">
        <v>1</v>
      </c>
      <c r="Q17" s="291"/>
      <c r="R17" s="194">
        <f t="shared" si="1"/>
        <v>1.3</v>
      </c>
      <c r="S17" s="40">
        <f t="shared" si="2"/>
        <v>1.3</v>
      </c>
      <c r="T17" s="79">
        <f>P17*K17</f>
        <v>1.3</v>
      </c>
      <c r="U17" s="272">
        <f t="shared" si="0"/>
        <v>3.9000000000000004</v>
      </c>
      <c r="V17" s="273"/>
    </row>
    <row r="18" spans="1:23">
      <c r="A18" s="48"/>
      <c r="B18" s="363" t="s">
        <v>19</v>
      </c>
      <c r="C18" s="50" t="s">
        <v>94</v>
      </c>
      <c r="D18" s="50" t="s">
        <v>148</v>
      </c>
      <c r="E18" s="50"/>
      <c r="F18" s="62"/>
      <c r="G18" s="80"/>
      <c r="H18" s="23"/>
      <c r="I18" s="81"/>
      <c r="J18" s="80"/>
      <c r="K18" s="23">
        <v>0.1</v>
      </c>
      <c r="L18" s="81"/>
      <c r="M18" s="87"/>
      <c r="N18" s="93">
        <v>1</v>
      </c>
      <c r="O18" s="46">
        <v>1</v>
      </c>
      <c r="P18" s="94">
        <v>1</v>
      </c>
      <c r="Q18" s="292"/>
      <c r="R18" s="189">
        <f t="shared" si="1"/>
        <v>0.1</v>
      </c>
      <c r="S18" s="2">
        <f t="shared" si="2"/>
        <v>0.1</v>
      </c>
      <c r="T18" s="67">
        <f>P18*K18</f>
        <v>0.1</v>
      </c>
      <c r="U18" s="274">
        <f t="shared" si="0"/>
        <v>0.30000000000000004</v>
      </c>
      <c r="V18" s="275"/>
    </row>
    <row r="19" spans="1:23">
      <c r="A19" s="48"/>
      <c r="B19" s="364"/>
      <c r="C19" s="50" t="s">
        <v>21</v>
      </c>
      <c r="D19" s="50" t="s">
        <v>104</v>
      </c>
      <c r="E19" s="50"/>
      <c r="F19" s="62"/>
      <c r="G19" s="80"/>
      <c r="H19" s="23"/>
      <c r="I19" s="81"/>
      <c r="J19" s="80"/>
      <c r="K19" s="23">
        <v>0.2</v>
      </c>
      <c r="L19" s="81"/>
      <c r="M19" s="87"/>
      <c r="N19" s="93">
        <v>1</v>
      </c>
      <c r="O19" s="46">
        <v>1</v>
      </c>
      <c r="P19" s="94">
        <v>1</v>
      </c>
      <c r="Q19" s="292"/>
      <c r="R19" s="189">
        <f t="shared" si="1"/>
        <v>0.2</v>
      </c>
      <c r="S19" s="2">
        <f t="shared" si="2"/>
        <v>0.2</v>
      </c>
      <c r="T19" s="67">
        <f>P19*K19</f>
        <v>0.2</v>
      </c>
      <c r="U19" s="274">
        <f t="shared" si="0"/>
        <v>0.60000000000000009</v>
      </c>
      <c r="V19" s="275"/>
    </row>
    <row r="20" spans="1:23">
      <c r="A20" s="48"/>
      <c r="B20" s="365"/>
      <c r="C20" s="62" t="s">
        <v>138</v>
      </c>
      <c r="D20" s="62" t="s">
        <v>149</v>
      </c>
      <c r="E20" s="62"/>
      <c r="F20" s="62"/>
      <c r="G20" s="80"/>
      <c r="H20" s="23"/>
      <c r="I20" s="81"/>
      <c r="J20" s="80"/>
      <c r="K20" s="23">
        <f>H20*F20</f>
        <v>0</v>
      </c>
      <c r="L20" s="81"/>
      <c r="M20" s="110"/>
      <c r="N20" s="111">
        <v>1</v>
      </c>
      <c r="O20" s="24">
        <v>1</v>
      </c>
      <c r="P20" s="112">
        <v>1</v>
      </c>
      <c r="Q20" s="293"/>
      <c r="R20" s="195">
        <f t="shared" si="1"/>
        <v>0</v>
      </c>
      <c r="S20" s="23">
        <f t="shared" si="2"/>
        <v>0</v>
      </c>
      <c r="T20" s="67">
        <f>P20*K20</f>
        <v>0</v>
      </c>
      <c r="U20" s="274">
        <f t="shared" si="0"/>
        <v>0</v>
      </c>
      <c r="V20" s="276"/>
    </row>
    <row r="21" spans="1:23" ht="15">
      <c r="A21" s="55" t="s">
        <v>39</v>
      </c>
      <c r="B21" s="55" t="s">
        <v>23</v>
      </c>
      <c r="C21" s="55" t="s">
        <v>20</v>
      </c>
      <c r="D21" s="55" t="s">
        <v>131</v>
      </c>
      <c r="E21" s="55"/>
      <c r="F21" s="55">
        <v>3.3</v>
      </c>
      <c r="G21" s="72"/>
      <c r="H21" s="37">
        <f>0.13</f>
        <v>0.13</v>
      </c>
      <c r="I21" s="73">
        <f>1/F21</f>
        <v>0.30303030303030304</v>
      </c>
      <c r="J21" s="72"/>
      <c r="K21" s="16">
        <f>H21*F21</f>
        <v>0.42899999999999999</v>
      </c>
      <c r="L21" s="73">
        <f>I21*F21</f>
        <v>1</v>
      </c>
      <c r="M21" s="98"/>
      <c r="N21" s="99">
        <v>1</v>
      </c>
      <c r="O21" s="17">
        <v>1</v>
      </c>
      <c r="P21" s="100">
        <v>1</v>
      </c>
      <c r="Q21" s="288"/>
      <c r="R21" s="191">
        <f t="shared" si="1"/>
        <v>0.42899999999999999</v>
      </c>
      <c r="S21" s="16">
        <f t="shared" si="2"/>
        <v>0.42899999999999999</v>
      </c>
      <c r="T21" s="73">
        <f>P21*L21</f>
        <v>1</v>
      </c>
      <c r="U21" s="266">
        <f t="shared" si="0"/>
        <v>1.8580000000000001</v>
      </c>
      <c r="V21" s="267"/>
    </row>
    <row r="22" spans="1:23" ht="15">
      <c r="A22" s="360" t="s">
        <v>39</v>
      </c>
      <c r="B22" s="57" t="s">
        <v>48</v>
      </c>
      <c r="C22" s="55" t="s">
        <v>15</v>
      </c>
      <c r="D22" s="55" t="s">
        <v>88</v>
      </c>
      <c r="E22" s="55"/>
      <c r="F22" s="55">
        <v>3.3</v>
      </c>
      <c r="G22" s="72"/>
      <c r="H22" s="16">
        <f>0.04/F22</f>
        <v>1.2121212121212123E-2</v>
      </c>
      <c r="I22" s="73">
        <f>2/F22</f>
        <v>0.60606060606060608</v>
      </c>
      <c r="J22" s="72"/>
      <c r="K22" s="37">
        <f>H22*F22</f>
        <v>0.04</v>
      </c>
      <c r="L22" s="73">
        <f>I22*F22</f>
        <v>2</v>
      </c>
      <c r="M22" s="98"/>
      <c r="N22" s="99">
        <v>0</v>
      </c>
      <c r="O22" s="17">
        <v>0</v>
      </c>
      <c r="P22" s="100">
        <v>1</v>
      </c>
      <c r="Q22" s="288"/>
      <c r="R22" s="191">
        <f t="shared" si="1"/>
        <v>0</v>
      </c>
      <c r="S22" s="16">
        <f t="shared" si="2"/>
        <v>0</v>
      </c>
      <c r="T22" s="73">
        <f>P22*K22</f>
        <v>0.04</v>
      </c>
      <c r="U22" s="266">
        <f t="shared" si="0"/>
        <v>0.04</v>
      </c>
      <c r="V22" s="267"/>
    </row>
    <row r="23" spans="1:23" ht="15">
      <c r="A23" s="361"/>
      <c r="B23" s="53"/>
      <c r="C23" s="360" t="s">
        <v>66</v>
      </c>
      <c r="D23" s="360" t="s">
        <v>177</v>
      </c>
      <c r="E23" s="55" t="s">
        <v>115</v>
      </c>
      <c r="F23" s="55">
        <v>3.3</v>
      </c>
      <c r="G23" s="82">
        <v>4.4999999999999998E-2</v>
      </c>
      <c r="H23" s="37">
        <v>5.5000000000000007E-2</v>
      </c>
      <c r="I23" s="83">
        <v>0.12</v>
      </c>
      <c r="J23" s="72">
        <f>F23*G23</f>
        <v>0.14849999999999999</v>
      </c>
      <c r="K23" s="16">
        <f>H23*F23</f>
        <v>0.18150000000000002</v>
      </c>
      <c r="L23" s="73">
        <f>I23*F23</f>
        <v>0.39599999999999996</v>
      </c>
      <c r="M23" s="98"/>
      <c r="N23" s="99">
        <v>0.9</v>
      </c>
      <c r="O23" s="17">
        <v>0.9</v>
      </c>
      <c r="P23" s="100">
        <v>0.8</v>
      </c>
      <c r="Q23" s="288"/>
      <c r="R23" s="191">
        <f>N23*L23</f>
        <v>0.35639999999999999</v>
      </c>
      <c r="S23" s="16">
        <f>O23*L23</f>
        <v>0.35639999999999999</v>
      </c>
      <c r="T23" s="73">
        <f>P23*L23</f>
        <v>0.31679999999999997</v>
      </c>
      <c r="U23" s="266">
        <f t="shared" si="0"/>
        <v>1.0295999999999998</v>
      </c>
      <c r="V23" s="267"/>
    </row>
    <row r="24" spans="1:23" ht="15" customHeight="1">
      <c r="A24" s="361"/>
      <c r="B24" s="53"/>
      <c r="C24" s="372"/>
      <c r="D24" s="372"/>
      <c r="E24" s="55" t="s">
        <v>111</v>
      </c>
      <c r="F24" s="55">
        <v>3.3</v>
      </c>
      <c r="G24" s="82">
        <v>0.6</v>
      </c>
      <c r="H24" s="16"/>
      <c r="I24" s="73">
        <v>1</v>
      </c>
      <c r="J24" s="72">
        <f>F24*G24</f>
        <v>1.9799999999999998</v>
      </c>
      <c r="K24" s="16"/>
      <c r="L24" s="73">
        <f>I24*F24</f>
        <v>3.3</v>
      </c>
      <c r="M24" s="98"/>
      <c r="N24" s="99">
        <f>1-N23</f>
        <v>9.9999999999999978E-2</v>
      </c>
      <c r="O24" s="17">
        <f>1-O23</f>
        <v>9.9999999999999978E-2</v>
      </c>
      <c r="P24" s="100">
        <f>1-P23</f>
        <v>0.19999999999999996</v>
      </c>
      <c r="Q24" s="288"/>
      <c r="R24" s="191">
        <f>N24*L24</f>
        <v>0.3299999999999999</v>
      </c>
      <c r="S24" s="16">
        <f>O24*L24</f>
        <v>0.3299999999999999</v>
      </c>
      <c r="T24" s="73">
        <f>P24*L24</f>
        <v>0.65999999999999981</v>
      </c>
      <c r="U24" s="266">
        <f t="shared" si="0"/>
        <v>1.3199999999999996</v>
      </c>
      <c r="V24" s="267"/>
    </row>
    <row r="25" spans="1:23" ht="15">
      <c r="A25" s="56" t="s">
        <v>130</v>
      </c>
      <c r="B25" s="56"/>
      <c r="C25" s="63" t="s">
        <v>18</v>
      </c>
      <c r="D25" s="63" t="s">
        <v>2</v>
      </c>
      <c r="E25" s="63" t="s">
        <v>111</v>
      </c>
      <c r="F25" s="63">
        <v>5</v>
      </c>
      <c r="G25" s="205">
        <f>J25/5</f>
        <v>0.122</v>
      </c>
      <c r="H25" s="85">
        <f>K25/5</f>
        <v>0.54</v>
      </c>
      <c r="I25" s="86">
        <f>L25/5</f>
        <v>1</v>
      </c>
      <c r="J25" s="88">
        <v>0.61</v>
      </c>
      <c r="K25" s="89">
        <v>2.7</v>
      </c>
      <c r="L25" s="90">
        <v>5</v>
      </c>
      <c r="M25" s="101"/>
      <c r="N25" s="113">
        <v>0</v>
      </c>
      <c r="O25" s="114">
        <v>0</v>
      </c>
      <c r="P25" s="115">
        <v>0</v>
      </c>
      <c r="Q25" s="289"/>
      <c r="R25" s="192">
        <f t="shared" si="1"/>
        <v>0</v>
      </c>
      <c r="S25" s="18">
        <f>O25*K25</f>
        <v>0</v>
      </c>
      <c r="T25" s="75">
        <f>P25*K25</f>
        <v>0</v>
      </c>
      <c r="U25" s="268">
        <f t="shared" si="0"/>
        <v>0</v>
      </c>
      <c r="V25" s="269"/>
    </row>
    <row r="26" spans="1:23">
      <c r="G26" s="87"/>
      <c r="H26" s="87"/>
      <c r="I26" s="87"/>
      <c r="J26" s="87"/>
      <c r="K26" s="87"/>
      <c r="M26" s="7"/>
      <c r="Q26" s="147" t="s">
        <v>163</v>
      </c>
      <c r="R26" s="302">
        <f>SUM(R5:R25)/Y15</f>
        <v>5.0115555555555549</v>
      </c>
      <c r="S26" s="254">
        <f>SUM(S5:S25)/Y15</f>
        <v>5.0115555555555549</v>
      </c>
      <c r="T26" s="303">
        <f>SUM(T5:T25)/Y15</f>
        <v>15.563333333333333</v>
      </c>
      <c r="U26" s="277">
        <f>SUM(R26+S26+T26)</f>
        <v>25.586444444444442</v>
      </c>
      <c r="V26" s="278" t="s">
        <v>119</v>
      </c>
      <c r="W26" s="1" t="s">
        <v>4</v>
      </c>
    </row>
    <row r="27" spans="1:23">
      <c r="M27"/>
      <c r="Q27" s="118" t="s">
        <v>10</v>
      </c>
      <c r="R27" s="298">
        <f>1.135*20*N4/3600</f>
        <v>18.747149233302121</v>
      </c>
      <c r="S27" s="255">
        <v>0</v>
      </c>
      <c r="T27" s="304">
        <v>0</v>
      </c>
      <c r="U27" s="277">
        <f t="shared" ref="U27:U32" si="4">SUM(R27+S27+T27)</f>
        <v>18.747149233302121</v>
      </c>
      <c r="V27" s="278" t="s">
        <v>129</v>
      </c>
      <c r="W27" s="3"/>
    </row>
    <row r="28" spans="1:23">
      <c r="M28"/>
      <c r="Q28" s="118" t="s">
        <v>9</v>
      </c>
      <c r="R28" s="298">
        <f>R26*N4/3600</f>
        <v>4.1388713608363128</v>
      </c>
      <c r="S28" s="255">
        <f>S26*O4/3600</f>
        <v>2.8160330349732248</v>
      </c>
      <c r="T28" s="304">
        <f>T26*P4/3600</f>
        <v>2.9440638888888886</v>
      </c>
      <c r="U28" s="277">
        <f t="shared" si="4"/>
        <v>9.8989682846984266</v>
      </c>
      <c r="V28" s="278" t="s">
        <v>129</v>
      </c>
      <c r="W28" s="3"/>
    </row>
    <row r="29" spans="1:23">
      <c r="M29"/>
      <c r="Q29" s="294" t="s">
        <v>98</v>
      </c>
      <c r="R29" s="297">
        <f>U27-U28</f>
        <v>8.8481809486036944</v>
      </c>
      <c r="S29" s="255"/>
      <c r="T29" s="304"/>
      <c r="U29" s="277">
        <f t="shared" si="4"/>
        <v>8.8481809486036944</v>
      </c>
      <c r="V29" s="278" t="s">
        <v>129</v>
      </c>
    </row>
    <row r="30" spans="1:23">
      <c r="M30"/>
      <c r="Q30" s="294" t="s">
        <v>11</v>
      </c>
      <c r="R30" s="298">
        <f>100*($U$27/U28-1)</f>
        <v>89.384880263542072</v>
      </c>
      <c r="S30" s="255"/>
      <c r="T30" s="304"/>
      <c r="U30" s="277">
        <f t="shared" si="4"/>
        <v>89.384880263542072</v>
      </c>
      <c r="V30" s="278" t="s">
        <v>110</v>
      </c>
    </row>
    <row r="31" spans="1:23">
      <c r="M31"/>
      <c r="Q31" s="294" t="s">
        <v>107</v>
      </c>
      <c r="R31" s="298">
        <f>U29/$U$27*100</f>
        <v>47.197474338583348</v>
      </c>
      <c r="S31" s="255"/>
      <c r="T31" s="304"/>
      <c r="U31" s="277">
        <f t="shared" si="4"/>
        <v>47.197474338583348</v>
      </c>
      <c r="V31" s="278" t="s">
        <v>110</v>
      </c>
      <c r="W31" s="21" t="s">
        <v>77</v>
      </c>
    </row>
    <row r="32" spans="1:23">
      <c r="M32"/>
      <c r="Q32" s="299" t="s">
        <v>167</v>
      </c>
      <c r="R32" s="300">
        <f>(R27-R28)/40*100</f>
        <v>36.520694681164521</v>
      </c>
      <c r="S32" s="256">
        <f>(S27-S28)/40*100</f>
        <v>-7.0400825874330621</v>
      </c>
      <c r="T32" s="305">
        <f>(T27-T28)/40*100</f>
        <v>-7.3601597222222219</v>
      </c>
      <c r="U32" s="279">
        <f t="shared" si="4"/>
        <v>22.120452371509238</v>
      </c>
      <c r="V32" s="280" t="s">
        <v>110</v>
      </c>
    </row>
    <row r="33" spans="13:26">
      <c r="M33"/>
      <c r="X33" s="1" t="s">
        <v>114</v>
      </c>
      <c r="Y33" s="1" t="s">
        <v>147</v>
      </c>
      <c r="Z33" s="1" t="s">
        <v>117</v>
      </c>
    </row>
    <row r="34" spans="13:26">
      <c r="M34"/>
      <c r="X34" s="311">
        <v>1</v>
      </c>
      <c r="Y34" s="311">
        <v>0</v>
      </c>
    </row>
    <row r="35" spans="13:26">
      <c r="W35" s="1" t="s">
        <v>124</v>
      </c>
      <c r="X35" s="1">
        <f>1.135*(6*3+6*3+4*3+4*3)/(3+3+3+3+1+1)*N4/3600*X34</f>
        <v>4.0172462642790254</v>
      </c>
      <c r="Y35" s="1">
        <f>R27*Y34</f>
        <v>0</v>
      </c>
      <c r="Z35" s="1">
        <f>X35+Y35</f>
        <v>4.0172462642790254</v>
      </c>
    </row>
    <row r="36" spans="13:26">
      <c r="W36" s="1" t="s">
        <v>128</v>
      </c>
      <c r="X36" s="1">
        <f>1.498*X34</f>
        <v>1.498</v>
      </c>
      <c r="Y36" s="1">
        <f>U28*Y34</f>
        <v>0</v>
      </c>
      <c r="Z36" s="1">
        <f>X36+Y36</f>
        <v>1.498</v>
      </c>
    </row>
    <row r="37" spans="13:26">
      <c r="W37" s="1" t="s">
        <v>123</v>
      </c>
      <c r="Z37" s="1">
        <f>Z35-Z36</f>
        <v>2.5192462642790252</v>
      </c>
    </row>
    <row r="41" spans="13:26">
      <c r="Q41" s="7"/>
      <c r="R41" s="7"/>
      <c r="S41" s="7"/>
    </row>
    <row r="42" spans="13:26">
      <c r="Q42" s="7"/>
      <c r="R42" s="7"/>
      <c r="S42" s="7"/>
    </row>
    <row r="43" spans="13:26">
      <c r="O43" s="7"/>
      <c r="P43" s="7"/>
      <c r="Q43" s="7"/>
      <c r="R43" s="7"/>
      <c r="S43" s="7"/>
    </row>
    <row r="44" spans="13:26">
      <c r="O44" s="7"/>
      <c r="P44" s="7"/>
      <c r="Q44" s="7"/>
      <c r="R44" s="7"/>
      <c r="S44" s="7"/>
    </row>
    <row r="45" spans="13:26">
      <c r="O45" s="7"/>
      <c r="P45" s="7"/>
      <c r="Q45" s="7"/>
      <c r="R45" s="7"/>
      <c r="S45" s="7"/>
    </row>
    <row r="46" spans="13:26">
      <c r="O46" s="7"/>
      <c r="P46" s="7"/>
      <c r="Q46" s="7"/>
      <c r="R46" s="7"/>
      <c r="S46" s="7"/>
    </row>
    <row r="47" spans="13:26">
      <c r="O47" s="7"/>
      <c r="P47" s="7"/>
      <c r="Q47" s="7"/>
      <c r="R47" s="7"/>
      <c r="S47" s="7"/>
    </row>
    <row r="48" spans="13:26">
      <c r="O48" s="7"/>
      <c r="P48" s="7"/>
      <c r="Q48" s="7"/>
      <c r="R48" s="7"/>
      <c r="S48" s="7"/>
    </row>
    <row r="49" spans="15:19">
      <c r="O49" s="7"/>
      <c r="P49" s="7"/>
      <c r="Q49" s="7"/>
      <c r="R49" s="7"/>
      <c r="S49" s="7"/>
    </row>
    <row r="50" spans="15:19">
      <c r="O50" s="7"/>
      <c r="P50" s="7"/>
      <c r="Q50" s="7"/>
      <c r="R50" s="7"/>
      <c r="S50" s="7"/>
    </row>
    <row r="51" spans="15:19">
      <c r="O51" s="7"/>
      <c r="P51" s="7"/>
    </row>
    <row r="52" spans="15:19">
      <c r="O52" s="7"/>
      <c r="P52" s="7"/>
    </row>
  </sheetData>
  <mergeCells count="11">
    <mergeCell ref="Q2:V2"/>
    <mergeCell ref="A9:A10"/>
    <mergeCell ref="A11:A12"/>
    <mergeCell ref="A13:A14"/>
    <mergeCell ref="A22:A24"/>
    <mergeCell ref="B18:B20"/>
    <mergeCell ref="G2:I2"/>
    <mergeCell ref="J2:L2"/>
    <mergeCell ref="N2:P2"/>
    <mergeCell ref="C23:C24"/>
    <mergeCell ref="D23:D24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2:Z52"/>
  <sheetViews>
    <sheetView zoomScaleNormal="100" zoomScaleSheetLayoutView="75" workbookViewId="0">
      <pane xSplit="4" ySplit="3" topLeftCell="E4" activePane="bottomRight" state="frozen"/>
      <selection pane="topRight"/>
      <selection pane="bottomLeft"/>
      <selection pane="bottomRight" activeCell="K12" sqref="K12"/>
    </sheetView>
  </sheetViews>
  <sheetFormatPr defaultColWidth="9.125" defaultRowHeight="14.25"/>
  <cols>
    <col min="1" max="1" width="9.125" style="1"/>
    <col min="2" max="2" width="10.75" style="1" bestFit="1" customWidth="1"/>
    <col min="3" max="3" width="16.375" style="1" bestFit="1" customWidth="1"/>
    <col min="4" max="4" width="31" style="1" bestFit="1" customWidth="1"/>
    <col min="5" max="5" width="17" style="1" bestFit="1" customWidth="1"/>
    <col min="6" max="6" width="15.25" style="1" bestFit="1" customWidth="1"/>
    <col min="7" max="12" width="10.875" style="1" bestFit="1" customWidth="1"/>
    <col min="13" max="13" width="10.875" style="1" customWidth="1"/>
    <col min="14" max="15" width="15.75" style="1" customWidth="1"/>
    <col min="16" max="16" width="22" style="1" customWidth="1"/>
    <col min="17" max="17" width="35" style="1" customWidth="1"/>
    <col min="18" max="18" width="13.375" style="1" bestFit="1" customWidth="1"/>
    <col min="19" max="19" width="14.25" style="1" bestFit="1" customWidth="1"/>
    <col min="20" max="20" width="19.25" style="1" customWidth="1"/>
    <col min="21" max="21" width="11.75" style="1" bestFit="1" customWidth="1"/>
    <col min="22" max="22" width="8" style="1" customWidth="1"/>
    <col min="23" max="23" width="11.75" style="1" customWidth="1"/>
    <col min="24" max="24" width="20.875" style="1" customWidth="1"/>
    <col min="25" max="25" width="18.625" style="1" customWidth="1"/>
    <col min="26" max="26" width="24.625" style="1" bestFit="1" customWidth="1"/>
    <col min="27" max="27" width="13.125" style="1" bestFit="1" customWidth="1"/>
    <col min="28" max="16384" width="9.125" style="1"/>
  </cols>
  <sheetData>
    <row r="2" spans="1:25" ht="13.9" customHeight="1">
      <c r="A2" s="128" t="s">
        <v>84</v>
      </c>
      <c r="B2" s="128" t="s">
        <v>154</v>
      </c>
      <c r="C2" s="128" t="s">
        <v>151</v>
      </c>
      <c r="D2" s="128" t="s">
        <v>71</v>
      </c>
      <c r="E2" s="128" t="s">
        <v>53</v>
      </c>
      <c r="F2" s="128" t="s">
        <v>174</v>
      </c>
      <c r="G2" s="366" t="s">
        <v>6</v>
      </c>
      <c r="H2" s="367"/>
      <c r="I2" s="368"/>
      <c r="J2" s="366" t="s">
        <v>76</v>
      </c>
      <c r="K2" s="367"/>
      <c r="L2" s="368"/>
      <c r="N2" s="369" t="s">
        <v>93</v>
      </c>
      <c r="O2" s="370"/>
      <c r="P2" s="371"/>
      <c r="Q2" s="369" t="s">
        <v>158</v>
      </c>
      <c r="R2" s="370"/>
      <c r="S2" s="370"/>
      <c r="T2" s="370"/>
      <c r="U2" s="370"/>
      <c r="V2" s="371"/>
      <c r="W2" s="116"/>
      <c r="X2" s="246" t="s">
        <v>91</v>
      </c>
      <c r="Y2" s="169"/>
    </row>
    <row r="3" spans="1:25">
      <c r="A3" s="48"/>
      <c r="B3" s="129"/>
      <c r="C3" s="129"/>
      <c r="D3" s="129"/>
      <c r="E3" s="129"/>
      <c r="F3" s="129"/>
      <c r="G3" s="150" t="s">
        <v>56</v>
      </c>
      <c r="H3" s="151" t="s">
        <v>73</v>
      </c>
      <c r="I3" s="152" t="s">
        <v>90</v>
      </c>
      <c r="J3" s="150" t="s">
        <v>52</v>
      </c>
      <c r="K3" s="151" t="s">
        <v>73</v>
      </c>
      <c r="L3" s="152" t="s">
        <v>90</v>
      </c>
      <c r="M3" s="1" t="s">
        <v>53</v>
      </c>
      <c r="N3" s="150" t="s">
        <v>142</v>
      </c>
      <c r="O3" s="151" t="s">
        <v>145</v>
      </c>
      <c r="P3" s="152" t="s">
        <v>150</v>
      </c>
      <c r="Q3" s="230"/>
      <c r="R3" s="150" t="s">
        <v>142</v>
      </c>
      <c r="S3" s="151" t="s">
        <v>145</v>
      </c>
      <c r="T3" s="152" t="s">
        <v>150</v>
      </c>
      <c r="U3" s="128" t="s">
        <v>40</v>
      </c>
      <c r="V3" s="153"/>
      <c r="X3" s="123" t="s">
        <v>181</v>
      </c>
      <c r="Y3" s="124">
        <f>parameter!C8</f>
        <v>5676.9848887954295</v>
      </c>
    </row>
    <row r="4" spans="1:25">
      <c r="A4" s="48"/>
      <c r="B4" s="50"/>
      <c r="C4" s="50"/>
      <c r="D4" s="50"/>
      <c r="E4" s="50"/>
      <c r="F4" s="50"/>
      <c r="G4" s="234"/>
      <c r="H4" s="231"/>
      <c r="I4" s="237"/>
      <c r="J4" s="234"/>
      <c r="K4" s="231"/>
      <c r="L4" s="237"/>
      <c r="M4" s="91" t="s">
        <v>64</v>
      </c>
      <c r="N4" s="238">
        <f>Y6</f>
        <v>3654.1161779686181</v>
      </c>
      <c r="O4" s="239">
        <f>Y7-Y5</f>
        <v>1361.8687108268114</v>
      </c>
      <c r="P4" s="240">
        <f>Y5</f>
        <v>661</v>
      </c>
      <c r="Q4" s="281"/>
      <c r="R4" s="234"/>
      <c r="S4" s="231"/>
      <c r="T4" s="237"/>
      <c r="U4" s="257"/>
      <c r="V4" s="130"/>
      <c r="X4" s="123" t="s">
        <v>176</v>
      </c>
      <c r="Y4" s="124">
        <v>681</v>
      </c>
    </row>
    <row r="5" spans="1:25">
      <c r="A5" s="49" t="s">
        <v>47</v>
      </c>
      <c r="B5" s="49" t="s">
        <v>67</v>
      </c>
      <c r="C5" s="49"/>
      <c r="D5" s="49"/>
      <c r="E5" s="49"/>
      <c r="F5" s="49">
        <v>5</v>
      </c>
      <c r="G5" s="68"/>
      <c r="H5" s="47">
        <f>K5/F5</f>
        <v>0.04</v>
      </c>
      <c r="I5" s="69"/>
      <c r="J5" s="68"/>
      <c r="K5" s="47">
        <v>0.2</v>
      </c>
      <c r="L5" s="69"/>
      <c r="M5" s="92"/>
      <c r="N5" s="241">
        <v>0</v>
      </c>
      <c r="O5" s="242">
        <v>0</v>
      </c>
      <c r="P5" s="243">
        <v>0</v>
      </c>
      <c r="Q5" s="282"/>
      <c r="R5" s="283">
        <f>N5*K5</f>
        <v>0</v>
      </c>
      <c r="S5" s="47">
        <f>O5*K5</f>
        <v>0</v>
      </c>
      <c r="T5" s="69">
        <f>P5*K5</f>
        <v>0</v>
      </c>
      <c r="U5" s="258">
        <f>SUM(R5+S5+T5)</f>
        <v>0</v>
      </c>
      <c r="V5" s="259"/>
      <c r="X5" s="123" t="s">
        <v>165</v>
      </c>
      <c r="Y5" s="124">
        <v>661</v>
      </c>
    </row>
    <row r="6" spans="1:25">
      <c r="A6" s="176" t="s">
        <v>27</v>
      </c>
      <c r="B6" s="176" t="s">
        <v>24</v>
      </c>
      <c r="C6" s="176"/>
      <c r="D6" s="159"/>
      <c r="E6" s="159"/>
      <c r="F6" s="159">
        <v>5</v>
      </c>
      <c r="G6" s="160"/>
      <c r="H6" s="161">
        <f>K6/F6</f>
        <v>0.04</v>
      </c>
      <c r="I6" s="162">
        <f>L6/F6</f>
        <v>0.4</v>
      </c>
      <c r="J6" s="160"/>
      <c r="K6" s="161">
        <v>0.2</v>
      </c>
      <c r="L6" s="162">
        <v>2</v>
      </c>
      <c r="M6" s="178"/>
      <c r="N6" s="183">
        <v>0</v>
      </c>
      <c r="O6" s="185">
        <v>0</v>
      </c>
      <c r="P6" s="186">
        <f>N6*K6</f>
        <v>0</v>
      </c>
      <c r="Q6" s="284"/>
      <c r="R6" s="207">
        <f>N6*K6</f>
        <v>0</v>
      </c>
      <c r="S6" s="197">
        <f>O6*K6</f>
        <v>0</v>
      </c>
      <c r="T6" s="229">
        <f>P6*K6</f>
        <v>0</v>
      </c>
      <c r="U6" s="260">
        <f t="shared" ref="U6:U25" si="0">SUM(R6+S6+T6)</f>
        <v>0</v>
      </c>
      <c r="V6" s="261"/>
      <c r="X6" s="123" t="s">
        <v>0</v>
      </c>
      <c r="Y6" s="124">
        <f>parameter!C10</f>
        <v>3654.1161779686181</v>
      </c>
    </row>
    <row r="7" spans="1:25">
      <c r="A7" s="174" t="s">
        <v>65</v>
      </c>
      <c r="B7" s="174"/>
      <c r="C7" s="174"/>
      <c r="D7" s="157"/>
      <c r="E7" s="156"/>
      <c r="F7" s="156">
        <v>3.3</v>
      </c>
      <c r="G7" s="204"/>
      <c r="H7" s="198">
        <f>K7/F7</f>
        <v>6.0606060606060615E-2</v>
      </c>
      <c r="I7" s="199">
        <f>L7/F7</f>
        <v>0.60606060606060608</v>
      </c>
      <c r="J7" s="204"/>
      <c r="K7" s="158">
        <v>0.2</v>
      </c>
      <c r="L7" s="177">
        <v>2</v>
      </c>
      <c r="M7" s="157"/>
      <c r="N7" s="184">
        <v>0</v>
      </c>
      <c r="O7" s="187">
        <v>0</v>
      </c>
      <c r="P7" s="188">
        <f>N7*K7</f>
        <v>0</v>
      </c>
      <c r="Q7" s="285"/>
      <c r="R7" s="286">
        <f>N7*K7</f>
        <v>0</v>
      </c>
      <c r="S7" s="158">
        <f>O7*K7</f>
        <v>0</v>
      </c>
      <c r="T7" s="177">
        <f>P7*K7</f>
        <v>0</v>
      </c>
      <c r="U7" s="262">
        <f t="shared" si="0"/>
        <v>0</v>
      </c>
      <c r="V7" s="263"/>
      <c r="X7" s="123" t="s">
        <v>36</v>
      </c>
      <c r="Y7" s="124">
        <f>parameter!C11</f>
        <v>2022.8687108268114</v>
      </c>
    </row>
    <row r="8" spans="1:25" ht="15">
      <c r="A8" s="51" t="s">
        <v>75</v>
      </c>
      <c r="B8" s="51" t="s">
        <v>22</v>
      </c>
      <c r="C8" s="51" t="s">
        <v>126</v>
      </c>
      <c r="D8" s="51" t="s">
        <v>171</v>
      </c>
      <c r="E8" s="51"/>
      <c r="F8" s="51">
        <v>3.3</v>
      </c>
      <c r="G8" s="70">
        <v>0.115</v>
      </c>
      <c r="H8" s="43">
        <v>0.24199999999999999</v>
      </c>
      <c r="I8" s="71">
        <v>0.39400000000000002</v>
      </c>
      <c r="J8" s="70">
        <f>F8*G8</f>
        <v>0.3795</v>
      </c>
      <c r="K8" s="44">
        <v>0.8</v>
      </c>
      <c r="L8" s="71">
        <f>I8*F8</f>
        <v>1.3002</v>
      </c>
      <c r="M8" s="95"/>
      <c r="N8" s="96">
        <v>0</v>
      </c>
      <c r="O8" s="45">
        <v>0</v>
      </c>
      <c r="P8" s="97">
        <v>0</v>
      </c>
      <c r="Q8" s="287"/>
      <c r="R8" s="190">
        <f t="shared" ref="R8:R25" si="1">N8*K8</f>
        <v>0</v>
      </c>
      <c r="S8" s="43">
        <f t="shared" ref="S8:S22" si="2">O8*K8</f>
        <v>0</v>
      </c>
      <c r="T8" s="71">
        <f>P8*L8</f>
        <v>0</v>
      </c>
      <c r="U8" s="264">
        <f t="shared" si="0"/>
        <v>0</v>
      </c>
      <c r="V8" s="265"/>
      <c r="X8" s="123" t="s">
        <v>164</v>
      </c>
      <c r="Y8" s="124">
        <v>0.3</v>
      </c>
    </row>
    <row r="9" spans="1:25" ht="15">
      <c r="A9" s="360" t="s">
        <v>39</v>
      </c>
      <c r="B9" s="57" t="s">
        <v>42</v>
      </c>
      <c r="C9" s="59" t="s">
        <v>140</v>
      </c>
      <c r="D9" s="55" t="s">
        <v>26</v>
      </c>
      <c r="E9" s="55"/>
      <c r="F9" s="55">
        <v>3.3</v>
      </c>
      <c r="G9" s="72"/>
      <c r="H9" s="16">
        <f>0.12/F9</f>
        <v>3.6363636363636362E-2</v>
      </c>
      <c r="I9" s="73">
        <f>0.2/F9</f>
        <v>6.0606060606060615E-2</v>
      </c>
      <c r="J9" s="72"/>
      <c r="K9" s="37">
        <f t="shared" ref="K9:K16" si="3">H9*F9</f>
        <v>0.11999999999999998</v>
      </c>
      <c r="L9" s="73">
        <f>I9*F9</f>
        <v>0.2</v>
      </c>
      <c r="M9" s="98"/>
      <c r="N9" s="99">
        <v>1</v>
      </c>
      <c r="O9" s="17">
        <v>1</v>
      </c>
      <c r="P9" s="100">
        <v>1</v>
      </c>
      <c r="Q9" s="288"/>
      <c r="R9" s="191">
        <f>N9*K9</f>
        <v>0.11999999999999998</v>
      </c>
      <c r="S9" s="16">
        <f t="shared" si="2"/>
        <v>0.11999999999999998</v>
      </c>
      <c r="T9" s="73">
        <f>P9*$L$9+(1-P9)*K9</f>
        <v>0.2</v>
      </c>
      <c r="U9" s="266">
        <f t="shared" si="0"/>
        <v>0.43999999999999995</v>
      </c>
      <c r="V9" s="267"/>
      <c r="X9" s="123" t="s">
        <v>68</v>
      </c>
      <c r="Y9" s="124">
        <v>0.6</v>
      </c>
    </row>
    <row r="10" spans="1:25" ht="15">
      <c r="A10" s="361"/>
      <c r="B10" s="53"/>
      <c r="C10" s="53"/>
      <c r="D10" s="55" t="s">
        <v>106</v>
      </c>
      <c r="E10" s="55"/>
      <c r="F10" s="55">
        <v>3.3</v>
      </c>
      <c r="G10" s="72"/>
      <c r="H10" s="16">
        <f>0.2/F10</f>
        <v>6.0606060606060615E-2</v>
      </c>
      <c r="I10" s="73">
        <f>0.4/F10</f>
        <v>0.12121212121212123</v>
      </c>
      <c r="J10" s="72"/>
      <c r="K10" s="37">
        <f t="shared" si="3"/>
        <v>0.2</v>
      </c>
      <c r="L10" s="73">
        <f>I10*F10</f>
        <v>0.4</v>
      </c>
      <c r="M10" s="98"/>
      <c r="N10" s="99">
        <v>1</v>
      </c>
      <c r="O10" s="17">
        <v>1</v>
      </c>
      <c r="P10" s="100">
        <v>1</v>
      </c>
      <c r="Q10" s="288"/>
      <c r="R10" s="191">
        <f>N10*K10</f>
        <v>0.2</v>
      </c>
      <c r="S10" s="16">
        <f t="shared" si="2"/>
        <v>0.2</v>
      </c>
      <c r="T10" s="73">
        <f>P10*$L$10+(1-P10)*K10</f>
        <v>0.4</v>
      </c>
      <c r="U10" s="266">
        <f t="shared" si="0"/>
        <v>0.8</v>
      </c>
      <c r="V10" s="267"/>
      <c r="X10" s="123" t="s">
        <v>41</v>
      </c>
      <c r="Y10" s="124">
        <v>0.8</v>
      </c>
    </row>
    <row r="11" spans="1:25" ht="15">
      <c r="A11" s="362" t="s">
        <v>130</v>
      </c>
      <c r="B11" s="58"/>
      <c r="C11" s="58"/>
      <c r="D11" s="64" t="s">
        <v>99</v>
      </c>
      <c r="E11" s="64"/>
      <c r="F11" s="64">
        <v>5</v>
      </c>
      <c r="G11" s="74"/>
      <c r="H11" s="38">
        <f>0.07*5/5</f>
        <v>7.0000000000000007E-2</v>
      </c>
      <c r="I11" s="75">
        <f>0.167*5/5</f>
        <v>0.16700000000000001</v>
      </c>
      <c r="J11" s="74"/>
      <c r="K11" s="18">
        <f>H11*F11</f>
        <v>0.35000000000000003</v>
      </c>
      <c r="L11" s="75">
        <f>I11*F11</f>
        <v>0.83500000000000008</v>
      </c>
      <c r="M11" s="101"/>
      <c r="N11" s="102">
        <v>1</v>
      </c>
      <c r="O11" s="19">
        <v>1</v>
      </c>
      <c r="P11" s="103">
        <v>1</v>
      </c>
      <c r="Q11" s="289"/>
      <c r="R11" s="192">
        <f t="shared" si="1"/>
        <v>0.35000000000000003</v>
      </c>
      <c r="S11" s="18">
        <f t="shared" si="2"/>
        <v>0.35000000000000003</v>
      </c>
      <c r="T11" s="75">
        <f>P11*$L$11+(1-P11)*K11</f>
        <v>0.83500000000000008</v>
      </c>
      <c r="U11" s="268">
        <f t="shared" si="0"/>
        <v>1.5350000000000001</v>
      </c>
      <c r="V11" s="269"/>
      <c r="X11" s="123" t="s">
        <v>70</v>
      </c>
      <c r="Y11" s="124">
        <v>0.8</v>
      </c>
    </row>
    <row r="12" spans="1:25" ht="15">
      <c r="A12" s="362"/>
      <c r="B12" s="58"/>
      <c r="C12" s="58"/>
      <c r="D12" s="64" t="s">
        <v>101</v>
      </c>
      <c r="E12" s="64"/>
      <c r="F12" s="64">
        <v>5</v>
      </c>
      <c r="G12" s="74"/>
      <c r="H12" s="38">
        <v>6.4000000000000001E-2</v>
      </c>
      <c r="I12" s="75"/>
      <c r="J12" s="74"/>
      <c r="K12" s="392">
        <f t="shared" si="3"/>
        <v>0.32</v>
      </c>
      <c r="L12" s="75"/>
      <c r="M12" s="101"/>
      <c r="N12" s="102">
        <v>1</v>
      </c>
      <c r="O12" s="19">
        <v>1</v>
      </c>
      <c r="P12" s="103">
        <v>1</v>
      </c>
      <c r="Q12" s="289"/>
      <c r="R12" s="192">
        <f t="shared" si="1"/>
        <v>0.32</v>
      </c>
      <c r="S12" s="18">
        <f t="shared" si="2"/>
        <v>0.32</v>
      </c>
      <c r="T12" s="75">
        <f>P12*$K$12</f>
        <v>0.32</v>
      </c>
      <c r="U12" s="268">
        <f t="shared" si="0"/>
        <v>0.96</v>
      </c>
      <c r="V12" s="269"/>
      <c r="X12" s="125"/>
      <c r="Y12" s="124"/>
    </row>
    <row r="13" spans="1:25" ht="15">
      <c r="A13" s="361" t="s">
        <v>39</v>
      </c>
      <c r="B13" s="53"/>
      <c r="C13" s="53"/>
      <c r="D13" s="55" t="s">
        <v>16</v>
      </c>
      <c r="E13" s="55"/>
      <c r="F13" s="55">
        <v>3.3</v>
      </c>
      <c r="G13" s="72"/>
      <c r="H13" s="16">
        <f>0.2/F13</f>
        <v>6.0606060606060615E-2</v>
      </c>
      <c r="I13" s="73"/>
      <c r="J13" s="72"/>
      <c r="K13" s="37">
        <f t="shared" si="3"/>
        <v>0.2</v>
      </c>
      <c r="L13" s="73"/>
      <c r="M13" s="98"/>
      <c r="N13" s="99">
        <v>1</v>
      </c>
      <c r="O13" s="17">
        <v>1</v>
      </c>
      <c r="P13" s="100">
        <v>1</v>
      </c>
      <c r="Q13" s="288"/>
      <c r="R13" s="191">
        <f t="shared" si="1"/>
        <v>0.2</v>
      </c>
      <c r="S13" s="16">
        <f t="shared" si="2"/>
        <v>0.2</v>
      </c>
      <c r="T13" s="73">
        <f>P13*$K$13</f>
        <v>0.2</v>
      </c>
      <c r="U13" s="266">
        <f t="shared" si="0"/>
        <v>0.60000000000000009</v>
      </c>
      <c r="V13" s="267"/>
      <c r="X13" s="125"/>
      <c r="Y13" s="124"/>
    </row>
    <row r="14" spans="1:25" ht="15">
      <c r="A14" s="361"/>
      <c r="B14" s="53"/>
      <c r="C14" s="53"/>
      <c r="D14" s="55" t="s">
        <v>44</v>
      </c>
      <c r="E14" s="55"/>
      <c r="F14" s="55">
        <v>3.3</v>
      </c>
      <c r="G14" s="72"/>
      <c r="H14" s="16">
        <f>0.035/F14</f>
        <v>1.0606060606060608E-2</v>
      </c>
      <c r="I14" s="73"/>
      <c r="J14" s="72"/>
      <c r="K14" s="37">
        <f t="shared" si="3"/>
        <v>3.5000000000000003E-2</v>
      </c>
      <c r="L14" s="73"/>
      <c r="M14" s="98"/>
      <c r="N14" s="99">
        <v>1</v>
      </c>
      <c r="O14" s="17">
        <v>1</v>
      </c>
      <c r="P14" s="100">
        <v>1</v>
      </c>
      <c r="Q14" s="288"/>
      <c r="R14" s="191">
        <f t="shared" si="1"/>
        <v>3.5000000000000003E-2</v>
      </c>
      <c r="S14" s="16">
        <f t="shared" si="2"/>
        <v>3.5000000000000003E-2</v>
      </c>
      <c r="T14" s="73">
        <f>P14*$K$14</f>
        <v>3.5000000000000003E-2</v>
      </c>
      <c r="U14" s="266">
        <f t="shared" si="0"/>
        <v>0.10500000000000001</v>
      </c>
      <c r="V14" s="267"/>
      <c r="X14" s="123" t="s">
        <v>102</v>
      </c>
      <c r="Y14" s="124">
        <v>0.2</v>
      </c>
    </row>
    <row r="15" spans="1:25" ht="15">
      <c r="A15" s="52" t="s">
        <v>74</v>
      </c>
      <c r="B15" s="52"/>
      <c r="C15" s="60"/>
      <c r="D15" s="65" t="s">
        <v>1</v>
      </c>
      <c r="E15" s="65"/>
      <c r="F15" s="65">
        <v>8.26</v>
      </c>
      <c r="G15" s="76">
        <f>0.065*3/F15</f>
        <v>2.3607748184019371E-2</v>
      </c>
      <c r="H15" s="4">
        <f>0.19*3/F15</f>
        <v>6.9007263922518172E-2</v>
      </c>
      <c r="I15" s="77">
        <f>2.3*3/F15</f>
        <v>0.83535108958837767</v>
      </c>
      <c r="J15" s="76">
        <f>F15*G15</f>
        <v>0.19500000000000001</v>
      </c>
      <c r="K15" s="39">
        <f t="shared" si="3"/>
        <v>0.57000000000000006</v>
      </c>
      <c r="L15" s="77">
        <f>I15*F15</f>
        <v>6.8999999999999995</v>
      </c>
      <c r="M15" s="104"/>
      <c r="N15" s="105">
        <v>1</v>
      </c>
      <c r="O15" s="22">
        <v>1</v>
      </c>
      <c r="P15" s="106">
        <v>1</v>
      </c>
      <c r="Q15" s="290"/>
      <c r="R15" s="193">
        <f t="shared" si="1"/>
        <v>0.57000000000000006</v>
      </c>
      <c r="S15" s="4">
        <f t="shared" si="2"/>
        <v>0.57000000000000006</v>
      </c>
      <c r="T15" s="77">
        <f>P15*$L$15+(1-P15)*K15</f>
        <v>6.8999999999999995</v>
      </c>
      <c r="U15" s="270">
        <f t="shared" si="0"/>
        <v>8.0399999999999991</v>
      </c>
      <c r="V15" s="271"/>
      <c r="X15" s="123" t="s">
        <v>157</v>
      </c>
      <c r="Y15" s="124">
        <v>0.9</v>
      </c>
    </row>
    <row r="16" spans="1:25" ht="15">
      <c r="A16" s="53" t="s">
        <v>39</v>
      </c>
      <c r="B16" s="53"/>
      <c r="C16" s="55" t="s">
        <v>17</v>
      </c>
      <c r="D16" s="55" t="s">
        <v>62</v>
      </c>
      <c r="E16" s="55"/>
      <c r="F16" s="55">
        <v>3.3</v>
      </c>
      <c r="G16" s="72"/>
      <c r="H16" s="37">
        <v>0</v>
      </c>
      <c r="I16" s="73"/>
      <c r="J16" s="72"/>
      <c r="K16" s="16">
        <f t="shared" si="3"/>
        <v>0</v>
      </c>
      <c r="L16" s="73"/>
      <c r="M16" s="98"/>
      <c r="N16" s="99">
        <v>1</v>
      </c>
      <c r="O16" s="17">
        <v>1</v>
      </c>
      <c r="P16" s="100">
        <v>1</v>
      </c>
      <c r="Q16" s="288"/>
      <c r="R16" s="191">
        <f t="shared" si="1"/>
        <v>0</v>
      </c>
      <c r="S16" s="16">
        <f t="shared" si="2"/>
        <v>0</v>
      </c>
      <c r="T16" s="73">
        <f>P16*K16</f>
        <v>0</v>
      </c>
      <c r="U16" s="266">
        <f t="shared" si="0"/>
        <v>0</v>
      </c>
      <c r="V16" s="267"/>
      <c r="X16" s="126" t="s">
        <v>182</v>
      </c>
      <c r="Y16" s="127">
        <v>0.4</v>
      </c>
    </row>
    <row r="17" spans="1:23" ht="15">
      <c r="A17" s="54" t="s">
        <v>82</v>
      </c>
      <c r="B17" s="54"/>
      <c r="C17" s="61" t="s">
        <v>25</v>
      </c>
      <c r="D17" s="61" t="s">
        <v>61</v>
      </c>
      <c r="E17" s="61"/>
      <c r="F17" s="61">
        <v>3.3</v>
      </c>
      <c r="G17" s="78"/>
      <c r="H17" s="40">
        <v>0.39400000000000002</v>
      </c>
      <c r="I17" s="79"/>
      <c r="J17" s="78"/>
      <c r="K17" s="41">
        <v>1.3</v>
      </c>
      <c r="L17" s="79"/>
      <c r="M17" s="107"/>
      <c r="N17" s="108">
        <v>1</v>
      </c>
      <c r="O17" s="42">
        <v>1</v>
      </c>
      <c r="P17" s="109">
        <v>1</v>
      </c>
      <c r="Q17" s="291"/>
      <c r="R17" s="194">
        <f t="shared" si="1"/>
        <v>1.3</v>
      </c>
      <c r="S17" s="40">
        <f t="shared" si="2"/>
        <v>1.3</v>
      </c>
      <c r="T17" s="79">
        <f>P17*K17</f>
        <v>1.3</v>
      </c>
      <c r="U17" s="272">
        <f t="shared" si="0"/>
        <v>3.9000000000000004</v>
      </c>
      <c r="V17" s="273"/>
    </row>
    <row r="18" spans="1:23">
      <c r="A18" s="48"/>
      <c r="B18" s="363" t="s">
        <v>19</v>
      </c>
      <c r="C18" s="50" t="s">
        <v>94</v>
      </c>
      <c r="D18" s="50" t="s">
        <v>148</v>
      </c>
      <c r="E18" s="50"/>
      <c r="F18" s="62"/>
      <c r="G18" s="80"/>
      <c r="H18" s="23"/>
      <c r="I18" s="81"/>
      <c r="J18" s="80"/>
      <c r="K18" s="23">
        <v>0.1</v>
      </c>
      <c r="L18" s="81"/>
      <c r="M18" s="87"/>
      <c r="N18" s="93">
        <v>1</v>
      </c>
      <c r="O18" s="46">
        <v>1</v>
      </c>
      <c r="P18" s="94">
        <v>1</v>
      </c>
      <c r="Q18" s="292"/>
      <c r="R18" s="189">
        <f t="shared" si="1"/>
        <v>0.1</v>
      </c>
      <c r="S18" s="2">
        <f t="shared" si="2"/>
        <v>0.1</v>
      </c>
      <c r="T18" s="67">
        <f>P18*K18</f>
        <v>0.1</v>
      </c>
      <c r="U18" s="274">
        <f t="shared" si="0"/>
        <v>0.30000000000000004</v>
      </c>
      <c r="V18" s="275"/>
    </row>
    <row r="19" spans="1:23">
      <c r="A19" s="48"/>
      <c r="B19" s="364"/>
      <c r="C19" s="50" t="s">
        <v>21</v>
      </c>
      <c r="D19" s="50" t="s">
        <v>104</v>
      </c>
      <c r="E19" s="50"/>
      <c r="F19" s="62"/>
      <c r="G19" s="80"/>
      <c r="H19" s="23"/>
      <c r="I19" s="81"/>
      <c r="J19" s="80"/>
      <c r="K19" s="23">
        <v>0.2</v>
      </c>
      <c r="L19" s="81"/>
      <c r="M19" s="87"/>
      <c r="N19" s="93">
        <v>1</v>
      </c>
      <c r="O19" s="46">
        <v>1</v>
      </c>
      <c r="P19" s="94">
        <v>1</v>
      </c>
      <c r="Q19" s="292"/>
      <c r="R19" s="189">
        <f t="shared" si="1"/>
        <v>0.2</v>
      </c>
      <c r="S19" s="2">
        <f t="shared" si="2"/>
        <v>0.2</v>
      </c>
      <c r="T19" s="67">
        <f>P19*K19</f>
        <v>0.2</v>
      </c>
      <c r="U19" s="274">
        <f t="shared" si="0"/>
        <v>0.60000000000000009</v>
      </c>
      <c r="V19" s="275"/>
    </row>
    <row r="20" spans="1:23">
      <c r="A20" s="48"/>
      <c r="B20" s="365"/>
      <c r="C20" s="62" t="s">
        <v>138</v>
      </c>
      <c r="D20" s="62" t="s">
        <v>149</v>
      </c>
      <c r="E20" s="62"/>
      <c r="F20" s="62"/>
      <c r="G20" s="80"/>
      <c r="H20" s="23"/>
      <c r="I20" s="81"/>
      <c r="J20" s="80"/>
      <c r="K20" s="23">
        <f>H20*F20</f>
        <v>0</v>
      </c>
      <c r="L20" s="81"/>
      <c r="M20" s="110"/>
      <c r="N20" s="111">
        <v>1</v>
      </c>
      <c r="O20" s="24">
        <v>0</v>
      </c>
      <c r="P20" s="112">
        <v>1</v>
      </c>
      <c r="Q20" s="293"/>
      <c r="R20" s="195">
        <f t="shared" si="1"/>
        <v>0</v>
      </c>
      <c r="S20" s="23">
        <f t="shared" si="2"/>
        <v>0</v>
      </c>
      <c r="T20" s="81">
        <f>P20*K20</f>
        <v>0</v>
      </c>
      <c r="U20" s="274">
        <f t="shared" si="0"/>
        <v>0</v>
      </c>
      <c r="V20" s="276"/>
    </row>
    <row r="21" spans="1:23" ht="15">
      <c r="A21" s="55" t="s">
        <v>39</v>
      </c>
      <c r="B21" s="55" t="s">
        <v>23</v>
      </c>
      <c r="C21" s="55" t="s">
        <v>20</v>
      </c>
      <c r="D21" s="55" t="s">
        <v>131</v>
      </c>
      <c r="E21" s="55"/>
      <c r="F21" s="55">
        <v>3.3</v>
      </c>
      <c r="G21" s="72"/>
      <c r="H21" s="37">
        <f>0.13</f>
        <v>0.13</v>
      </c>
      <c r="I21" s="73">
        <f>1/F21</f>
        <v>0.30303030303030304</v>
      </c>
      <c r="J21" s="72"/>
      <c r="K21" s="16">
        <f>H21*F21</f>
        <v>0.42899999999999999</v>
      </c>
      <c r="L21" s="73">
        <f>I21*F21</f>
        <v>1</v>
      </c>
      <c r="M21" s="98"/>
      <c r="N21" s="99">
        <v>1</v>
      </c>
      <c r="O21" s="17">
        <v>1</v>
      </c>
      <c r="P21" s="100">
        <v>1</v>
      </c>
      <c r="Q21" s="288"/>
      <c r="R21" s="191">
        <f t="shared" si="1"/>
        <v>0.42899999999999999</v>
      </c>
      <c r="S21" s="16">
        <f t="shared" si="2"/>
        <v>0.42899999999999999</v>
      </c>
      <c r="T21" s="73">
        <f>P21*L21</f>
        <v>1</v>
      </c>
      <c r="U21" s="266">
        <f t="shared" si="0"/>
        <v>1.8580000000000001</v>
      </c>
      <c r="V21" s="267"/>
    </row>
    <row r="22" spans="1:23" ht="15">
      <c r="A22" s="360" t="s">
        <v>39</v>
      </c>
      <c r="B22" s="57" t="s">
        <v>48</v>
      </c>
      <c r="C22" s="55" t="s">
        <v>15</v>
      </c>
      <c r="D22" s="55" t="s">
        <v>88</v>
      </c>
      <c r="E22" s="55"/>
      <c r="F22" s="55">
        <v>3.3</v>
      </c>
      <c r="G22" s="72"/>
      <c r="H22" s="16">
        <f>0.04/F22</f>
        <v>1.2121212121212123E-2</v>
      </c>
      <c r="I22" s="73">
        <f>2/F22</f>
        <v>0.60606060606060608</v>
      </c>
      <c r="J22" s="72"/>
      <c r="K22" s="37">
        <f>H22*F22</f>
        <v>0.04</v>
      </c>
      <c r="L22" s="73">
        <f>I22*F22</f>
        <v>2</v>
      </c>
      <c r="M22" s="98"/>
      <c r="N22" s="99">
        <v>0</v>
      </c>
      <c r="O22" s="17">
        <v>0</v>
      </c>
      <c r="P22" s="100">
        <v>0</v>
      </c>
      <c r="Q22" s="288"/>
      <c r="R22" s="191">
        <f t="shared" si="1"/>
        <v>0</v>
      </c>
      <c r="S22" s="16">
        <f t="shared" si="2"/>
        <v>0</v>
      </c>
      <c r="T22" s="73">
        <f>P22*K22</f>
        <v>0</v>
      </c>
      <c r="U22" s="266">
        <f t="shared" si="0"/>
        <v>0</v>
      </c>
      <c r="V22" s="267"/>
    </row>
    <row r="23" spans="1:23" ht="15">
      <c r="A23" s="361"/>
      <c r="B23" s="53"/>
      <c r="C23" s="360" t="s">
        <v>66</v>
      </c>
      <c r="D23" s="360" t="s">
        <v>177</v>
      </c>
      <c r="E23" s="55" t="s">
        <v>115</v>
      </c>
      <c r="F23" s="55">
        <v>3.3</v>
      </c>
      <c r="G23" s="82">
        <v>4.4999999999999998E-2</v>
      </c>
      <c r="H23" s="37">
        <v>5.5000000000000007E-2</v>
      </c>
      <c r="I23" s="83">
        <v>0.12</v>
      </c>
      <c r="J23" s="72">
        <f>F23*G23</f>
        <v>0.14849999999999999</v>
      </c>
      <c r="K23" s="16">
        <f>H23*F23</f>
        <v>0.18150000000000002</v>
      </c>
      <c r="L23" s="73">
        <f>I23*F23</f>
        <v>0.39599999999999996</v>
      </c>
      <c r="M23" s="98"/>
      <c r="N23" s="99">
        <v>1</v>
      </c>
      <c r="O23" s="17">
        <v>1</v>
      </c>
      <c r="P23" s="100">
        <v>1</v>
      </c>
      <c r="Q23" s="288"/>
      <c r="R23" s="191">
        <f t="shared" si="1"/>
        <v>0.18150000000000002</v>
      </c>
      <c r="S23" s="16">
        <f>O23*L23</f>
        <v>0.39599999999999996</v>
      </c>
      <c r="T23" s="73">
        <f>P23*K23</f>
        <v>0.18150000000000002</v>
      </c>
      <c r="U23" s="266">
        <f t="shared" si="0"/>
        <v>0.75900000000000001</v>
      </c>
      <c r="V23" s="267"/>
    </row>
    <row r="24" spans="1:23" ht="15" customHeight="1">
      <c r="A24" s="361"/>
      <c r="B24" s="53"/>
      <c r="C24" s="372"/>
      <c r="D24" s="372"/>
      <c r="E24" s="55" t="s">
        <v>111</v>
      </c>
      <c r="F24" s="55">
        <v>3.3</v>
      </c>
      <c r="G24" s="82">
        <v>0.6</v>
      </c>
      <c r="H24" s="16"/>
      <c r="I24" s="73">
        <v>1</v>
      </c>
      <c r="J24" s="72">
        <f>F24*G24</f>
        <v>1.9799999999999998</v>
      </c>
      <c r="K24" s="16"/>
      <c r="L24" s="73">
        <f>I24*F24</f>
        <v>3.3</v>
      </c>
      <c r="M24" s="98"/>
      <c r="N24" s="99">
        <f>1-N23</f>
        <v>0</v>
      </c>
      <c r="O24" s="17">
        <f>1-O23</f>
        <v>0</v>
      </c>
      <c r="P24" s="100">
        <f>1-P23</f>
        <v>0</v>
      </c>
      <c r="Q24" s="288"/>
      <c r="R24" s="191">
        <f t="shared" si="1"/>
        <v>0</v>
      </c>
      <c r="S24" s="16">
        <f>O24*K24</f>
        <v>0</v>
      </c>
      <c r="T24" s="73">
        <f>P24*K24</f>
        <v>0</v>
      </c>
      <c r="U24" s="266">
        <f t="shared" si="0"/>
        <v>0</v>
      </c>
      <c r="V24" s="267"/>
    </row>
    <row r="25" spans="1:23" ht="15">
      <c r="A25" s="56" t="s">
        <v>130</v>
      </c>
      <c r="B25" s="56"/>
      <c r="C25" s="63" t="s">
        <v>18</v>
      </c>
      <c r="D25" s="63" t="s">
        <v>2</v>
      </c>
      <c r="E25" s="63" t="s">
        <v>111</v>
      </c>
      <c r="F25" s="63">
        <v>5</v>
      </c>
      <c r="G25" s="205">
        <f>J25/5</f>
        <v>0.122</v>
      </c>
      <c r="H25" s="85">
        <f>K25/5</f>
        <v>0.54</v>
      </c>
      <c r="I25" s="86">
        <f>L25/5</f>
        <v>1</v>
      </c>
      <c r="J25" s="88">
        <v>0.61</v>
      </c>
      <c r="K25" s="89">
        <v>2.7</v>
      </c>
      <c r="L25" s="90">
        <v>5</v>
      </c>
      <c r="M25" s="101"/>
      <c r="N25" s="113">
        <v>0</v>
      </c>
      <c r="O25" s="114">
        <v>0</v>
      </c>
      <c r="P25" s="115">
        <v>1</v>
      </c>
      <c r="Q25" s="289"/>
      <c r="R25" s="192">
        <f t="shared" si="1"/>
        <v>0</v>
      </c>
      <c r="S25" s="18">
        <f>O25*K25</f>
        <v>0</v>
      </c>
      <c r="T25" s="75">
        <f>P25*L25</f>
        <v>5</v>
      </c>
      <c r="U25" s="268">
        <f t="shared" si="0"/>
        <v>5</v>
      </c>
      <c r="V25" s="269"/>
    </row>
    <row r="26" spans="1:23">
      <c r="G26" s="87"/>
      <c r="H26" s="87"/>
      <c r="I26" s="87"/>
      <c r="J26" s="87"/>
      <c r="K26" s="87"/>
      <c r="M26" s="7"/>
      <c r="Q26" s="147" t="s">
        <v>163</v>
      </c>
      <c r="R26" s="193">
        <f>SUM(R5:R25)/Y15</f>
        <v>4.4505555555555549</v>
      </c>
      <c r="S26" s="4">
        <f>SUM(S5:S25)/Y15</f>
        <v>4.6888888888888882</v>
      </c>
      <c r="T26" s="77">
        <f>SUM(T5:T25)/Y15</f>
        <v>18.523888888888887</v>
      </c>
      <c r="U26" s="277">
        <f>SUM(R26+S26+T26)</f>
        <v>27.66333333333333</v>
      </c>
      <c r="V26" s="278" t="s">
        <v>119</v>
      </c>
      <c r="W26" s="1" t="s">
        <v>4</v>
      </c>
    </row>
    <row r="27" spans="1:23">
      <c r="M27"/>
      <c r="Q27" s="118" t="s">
        <v>10</v>
      </c>
      <c r="R27" s="118">
        <f>1.135*20*N4/3600</f>
        <v>23.041232566635454</v>
      </c>
      <c r="S27" s="6">
        <v>0</v>
      </c>
      <c r="T27" s="295">
        <v>0</v>
      </c>
      <c r="U27" s="277">
        <f t="shared" ref="U27:U32" si="4">SUM(R27+S27+T27)</f>
        <v>23.041232566635454</v>
      </c>
      <c r="V27" s="278" t="s">
        <v>129</v>
      </c>
      <c r="W27" s="3"/>
    </row>
    <row r="28" spans="1:23">
      <c r="M28"/>
      <c r="Q28" s="118" t="s">
        <v>9</v>
      </c>
      <c r="R28" s="296">
        <f>R26*N4/3600</f>
        <v>4.5174575156954626</v>
      </c>
      <c r="S28" s="6">
        <f>S26*O4/3600</f>
        <v>1.7737919628670196</v>
      </c>
      <c r="T28" s="295">
        <f>T26*P4/3600</f>
        <v>3.4011918209876542</v>
      </c>
      <c r="U28" s="277">
        <f t="shared" si="4"/>
        <v>9.6924412995501363</v>
      </c>
      <c r="V28" s="278" t="s">
        <v>129</v>
      </c>
      <c r="W28" s="3"/>
    </row>
    <row r="29" spans="1:23">
      <c r="M29"/>
      <c r="Q29" s="294" t="s">
        <v>98</v>
      </c>
      <c r="R29" s="297">
        <f>U27-U28</f>
        <v>13.348791267085318</v>
      </c>
      <c r="S29" s="6"/>
      <c r="T29" s="295"/>
      <c r="U29" s="277">
        <f t="shared" si="4"/>
        <v>13.348791267085318</v>
      </c>
      <c r="V29" s="278" t="s">
        <v>129</v>
      </c>
    </row>
    <row r="30" spans="1:23">
      <c r="M30"/>
      <c r="Q30" s="294" t="s">
        <v>11</v>
      </c>
      <c r="R30" s="298">
        <f>100*($U$27/U28-1)</f>
        <v>137.72372567997792</v>
      </c>
      <c r="S30" s="6"/>
      <c r="T30" s="295"/>
      <c r="U30" s="277">
        <f t="shared" si="4"/>
        <v>137.72372567997792</v>
      </c>
      <c r="V30" s="278" t="s">
        <v>110</v>
      </c>
    </row>
    <row r="31" spans="1:23">
      <c r="M31"/>
      <c r="Q31" s="294" t="s">
        <v>107</v>
      </c>
      <c r="R31" s="298">
        <f>U29/$U$27*100</f>
        <v>57.934362792791106</v>
      </c>
      <c r="S31" s="6"/>
      <c r="T31" s="295"/>
      <c r="U31" s="277">
        <f t="shared" si="4"/>
        <v>57.934362792791106</v>
      </c>
      <c r="V31" s="278" t="s">
        <v>110</v>
      </c>
      <c r="W31" s="21" t="s">
        <v>77</v>
      </c>
    </row>
    <row r="32" spans="1:23">
      <c r="M32"/>
      <c r="Q32" s="299" t="s">
        <v>167</v>
      </c>
      <c r="R32" s="300">
        <f>(R27-R28)/40*100</f>
        <v>46.309437627349979</v>
      </c>
      <c r="S32" s="121">
        <f>(S27-S28)/40*100</f>
        <v>-4.4344799071675487</v>
      </c>
      <c r="T32" s="301">
        <f>(T27-T28)/40*100</f>
        <v>-8.5029795524691352</v>
      </c>
      <c r="U32" s="279">
        <f t="shared" si="4"/>
        <v>33.371978167713294</v>
      </c>
      <c r="V32" s="280" t="s">
        <v>110</v>
      </c>
    </row>
    <row r="33" spans="13:26">
      <c r="M33"/>
      <c r="X33" s="1" t="s">
        <v>114</v>
      </c>
      <c r="Y33" s="1" t="s">
        <v>147</v>
      </c>
      <c r="Z33" s="1" t="s">
        <v>117</v>
      </c>
    </row>
    <row r="34" spans="13:26">
      <c r="M34"/>
      <c r="X34" s="311">
        <v>1</v>
      </c>
      <c r="Y34" s="311">
        <v>0</v>
      </c>
    </row>
    <row r="35" spans="13:26">
      <c r="W35" s="1" t="s">
        <v>124</v>
      </c>
      <c r="X35" s="1">
        <f>1.135*(6*3+6*3+4*3+4*3)/(3+3+3+3+1+1)*N4/3600*X34</f>
        <v>4.9374069785647396</v>
      </c>
      <c r="Y35" s="1">
        <f>R27*Y34</f>
        <v>0</v>
      </c>
      <c r="Z35" s="1">
        <f>X35+Y35</f>
        <v>4.9374069785647396</v>
      </c>
    </row>
    <row r="36" spans="13:26">
      <c r="W36" s="1" t="s">
        <v>128</v>
      </c>
      <c r="X36" s="1">
        <f>1.498*X34</f>
        <v>1.498</v>
      </c>
      <c r="Y36" s="1">
        <f>U28*Y34</f>
        <v>0</v>
      </c>
      <c r="Z36" s="1">
        <f>X36+Y36</f>
        <v>1.498</v>
      </c>
    </row>
    <row r="37" spans="13:26">
      <c r="W37" s="1" t="s">
        <v>123</v>
      </c>
      <c r="Z37" s="1">
        <f>Z35-Z36</f>
        <v>3.4394069785647394</v>
      </c>
    </row>
    <row r="41" spans="13:26">
      <c r="Q41" s="7"/>
      <c r="R41" s="7"/>
      <c r="S41" s="7"/>
    </row>
    <row r="42" spans="13:26">
      <c r="Q42" s="7"/>
      <c r="R42" s="7"/>
      <c r="S42" s="7"/>
    </row>
    <row r="43" spans="13:26">
      <c r="O43" s="7"/>
      <c r="P43" s="7"/>
      <c r="Q43" s="7"/>
      <c r="R43" s="7"/>
      <c r="S43" s="7"/>
    </row>
    <row r="44" spans="13:26">
      <c r="O44" s="7"/>
      <c r="P44" s="7"/>
      <c r="Q44" s="7"/>
      <c r="R44" s="7"/>
      <c r="S44" s="7"/>
    </row>
    <row r="45" spans="13:26">
      <c r="O45" s="7"/>
      <c r="P45" s="7"/>
      <c r="Q45" s="7"/>
      <c r="R45" s="7"/>
      <c r="S45" s="7"/>
    </row>
    <row r="46" spans="13:26">
      <c r="O46" s="7"/>
      <c r="P46" s="7"/>
      <c r="Q46" s="7"/>
      <c r="R46" s="7"/>
      <c r="S46" s="7"/>
    </row>
    <row r="47" spans="13:26">
      <c r="O47" s="7"/>
      <c r="P47" s="7"/>
      <c r="Q47" s="7"/>
      <c r="R47" s="7"/>
      <c r="S47" s="7"/>
    </row>
    <row r="48" spans="13:26">
      <c r="O48" s="7"/>
      <c r="P48" s="7"/>
      <c r="Q48" s="7"/>
      <c r="R48" s="7"/>
      <c r="S48" s="7"/>
    </row>
    <row r="49" spans="15:19">
      <c r="O49" s="7"/>
      <c r="P49" s="7"/>
      <c r="Q49" s="7"/>
      <c r="R49" s="7"/>
      <c r="S49" s="7"/>
    </row>
    <row r="50" spans="15:19">
      <c r="O50" s="7"/>
      <c r="P50" s="7"/>
      <c r="Q50" s="7"/>
      <c r="R50" s="7"/>
      <c r="S50" s="7"/>
    </row>
    <row r="51" spans="15:19">
      <c r="O51" s="7"/>
      <c r="P51" s="7"/>
    </row>
    <row r="52" spans="15:19">
      <c r="O52" s="7"/>
      <c r="P52" s="7"/>
    </row>
  </sheetData>
  <mergeCells count="11">
    <mergeCell ref="Q2:V2"/>
    <mergeCell ref="A9:A10"/>
    <mergeCell ref="A11:A12"/>
    <mergeCell ref="A13:A14"/>
    <mergeCell ref="A22:A24"/>
    <mergeCell ref="B18:B20"/>
    <mergeCell ref="G2:I2"/>
    <mergeCell ref="J2:L2"/>
    <mergeCell ref="N2:P2"/>
    <mergeCell ref="C23:C24"/>
    <mergeCell ref="D23:D24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/>
  <dimension ref="A2:Z52"/>
  <sheetViews>
    <sheetView tabSelected="1" zoomScaleNormal="100" zoomScaleSheetLayoutView="75" workbookViewId="0">
      <pane xSplit="4" ySplit="3" topLeftCell="E4" activePane="bottomRight" state="frozen"/>
      <selection pane="topRight"/>
      <selection pane="bottomLeft"/>
      <selection pane="bottomRight" activeCell="H12" sqref="H12"/>
    </sheetView>
  </sheetViews>
  <sheetFormatPr defaultColWidth="9.125" defaultRowHeight="14.25"/>
  <cols>
    <col min="1" max="1" width="9.125" style="1"/>
    <col min="2" max="2" width="10.75" style="1" bestFit="1" customWidth="1"/>
    <col min="3" max="3" width="16.375" style="1" bestFit="1" customWidth="1"/>
    <col min="4" max="4" width="31" style="1" bestFit="1" customWidth="1"/>
    <col min="5" max="5" width="17" style="1" bestFit="1" customWidth="1"/>
    <col min="6" max="6" width="15.25" style="1" bestFit="1" customWidth="1"/>
    <col min="7" max="12" width="10.875" style="1" bestFit="1" customWidth="1"/>
    <col min="13" max="13" width="10.875" style="1" customWidth="1"/>
    <col min="14" max="15" width="15.75" style="1" customWidth="1"/>
    <col min="16" max="16" width="22" style="1" customWidth="1"/>
    <col min="17" max="17" width="35" style="1" customWidth="1"/>
    <col min="18" max="18" width="13.375" style="1" bestFit="1" customWidth="1"/>
    <col min="19" max="19" width="14.25" style="1" bestFit="1" customWidth="1"/>
    <col min="20" max="20" width="19.25" style="1" customWidth="1"/>
    <col min="21" max="21" width="11.75" style="1" bestFit="1" customWidth="1"/>
    <col min="22" max="22" width="8" style="1" customWidth="1"/>
    <col min="23" max="23" width="11.75" style="1" customWidth="1"/>
    <col min="24" max="24" width="20.875" style="1" customWidth="1"/>
    <col min="25" max="25" width="18.625" style="1" customWidth="1"/>
    <col min="26" max="26" width="24.625" style="1" bestFit="1" customWidth="1"/>
    <col min="27" max="27" width="13.125" style="1" bestFit="1" customWidth="1"/>
    <col min="28" max="16384" width="9.125" style="1"/>
  </cols>
  <sheetData>
    <row r="2" spans="1:25" ht="13.9" customHeight="1">
      <c r="A2" s="128" t="s">
        <v>84</v>
      </c>
      <c r="B2" s="128" t="s">
        <v>154</v>
      </c>
      <c r="C2" s="128" t="s">
        <v>151</v>
      </c>
      <c r="D2" s="128" t="s">
        <v>71</v>
      </c>
      <c r="E2" s="128" t="s">
        <v>53</v>
      </c>
      <c r="F2" s="128" t="s">
        <v>174</v>
      </c>
      <c r="G2" s="366" t="s">
        <v>6</v>
      </c>
      <c r="H2" s="367"/>
      <c r="I2" s="368"/>
      <c r="J2" s="366" t="s">
        <v>76</v>
      </c>
      <c r="K2" s="367"/>
      <c r="L2" s="368"/>
      <c r="N2" s="369" t="s">
        <v>93</v>
      </c>
      <c r="O2" s="370"/>
      <c r="P2" s="371"/>
      <c r="Q2" s="369" t="s">
        <v>158</v>
      </c>
      <c r="R2" s="370"/>
      <c r="S2" s="370"/>
      <c r="T2" s="370"/>
      <c r="U2" s="370"/>
      <c r="V2" s="371"/>
      <c r="W2" s="116"/>
      <c r="X2" s="246" t="s">
        <v>91</v>
      </c>
      <c r="Y2" s="169"/>
    </row>
    <row r="3" spans="1:25">
      <c r="A3" s="48"/>
      <c r="B3" s="129"/>
      <c r="C3" s="129"/>
      <c r="D3" s="129"/>
      <c r="E3" s="129"/>
      <c r="F3" s="129"/>
      <c r="G3" s="150" t="s">
        <v>56</v>
      </c>
      <c r="H3" s="151" t="s">
        <v>73</v>
      </c>
      <c r="I3" s="152" t="s">
        <v>90</v>
      </c>
      <c r="J3" s="150" t="s">
        <v>52</v>
      </c>
      <c r="K3" s="151" t="s">
        <v>73</v>
      </c>
      <c r="L3" s="152" t="s">
        <v>90</v>
      </c>
      <c r="M3" s="1" t="s">
        <v>53</v>
      </c>
      <c r="N3" s="150" t="s">
        <v>142</v>
      </c>
      <c r="O3" s="244" t="s">
        <v>145</v>
      </c>
      <c r="P3" s="152" t="s">
        <v>150</v>
      </c>
      <c r="Q3" s="230"/>
      <c r="R3" s="150" t="s">
        <v>142</v>
      </c>
      <c r="S3" s="151" t="s">
        <v>145</v>
      </c>
      <c r="T3" s="152" t="s">
        <v>150</v>
      </c>
      <c r="U3" s="128" t="s">
        <v>40</v>
      </c>
      <c r="V3" s="153"/>
      <c r="X3" s="123" t="s">
        <v>181</v>
      </c>
      <c r="Y3" s="124">
        <f>parameter!C8</f>
        <v>5676.9848887954295</v>
      </c>
    </row>
    <row r="4" spans="1:25">
      <c r="A4" s="48"/>
      <c r="B4" s="50"/>
      <c r="C4" s="50"/>
      <c r="D4" s="50"/>
      <c r="E4" s="50"/>
      <c r="F4" s="50"/>
      <c r="G4" s="234"/>
      <c r="H4" s="231"/>
      <c r="I4" s="237"/>
      <c r="J4" s="234"/>
      <c r="K4" s="231"/>
      <c r="L4" s="237"/>
      <c r="M4" s="91" t="s">
        <v>64</v>
      </c>
      <c r="N4" s="247">
        <f>Y6-Y4</f>
        <v>2973.1161779686181</v>
      </c>
      <c r="O4" s="245">
        <f>Y7</f>
        <v>2022.8687108268114</v>
      </c>
      <c r="P4" s="240">
        <f>Y4</f>
        <v>681</v>
      </c>
      <c r="Q4" s="281"/>
      <c r="R4" s="234"/>
      <c r="S4" s="231"/>
      <c r="T4" s="237"/>
      <c r="U4" s="257"/>
      <c r="V4" s="130"/>
      <c r="X4" s="123" t="s">
        <v>176</v>
      </c>
      <c r="Y4" s="124">
        <v>681</v>
      </c>
    </row>
    <row r="5" spans="1:25">
      <c r="A5" s="49" t="s">
        <v>47</v>
      </c>
      <c r="B5" s="49" t="s">
        <v>67</v>
      </c>
      <c r="C5" s="49"/>
      <c r="D5" s="49"/>
      <c r="E5" s="49"/>
      <c r="F5" s="49">
        <v>5</v>
      </c>
      <c r="G5" s="68"/>
      <c r="H5" s="47">
        <f>K5/F5</f>
        <v>0.04</v>
      </c>
      <c r="I5" s="69"/>
      <c r="J5" s="68"/>
      <c r="K5" s="47">
        <v>0.2</v>
      </c>
      <c r="L5" s="69"/>
      <c r="M5" s="92"/>
      <c r="N5" s="241">
        <v>0</v>
      </c>
      <c r="O5" s="242">
        <v>0</v>
      </c>
      <c r="P5" s="243">
        <v>0</v>
      </c>
      <c r="Q5" s="282"/>
      <c r="R5" s="283">
        <f>N5*K5</f>
        <v>0</v>
      </c>
      <c r="S5" s="47">
        <f>O5*K5</f>
        <v>0</v>
      </c>
      <c r="T5" s="69">
        <f>P5*K5</f>
        <v>0</v>
      </c>
      <c r="U5" s="258">
        <f>SUM(R5+S5+T5)</f>
        <v>0</v>
      </c>
      <c r="V5" s="259"/>
      <c r="X5" s="123" t="s">
        <v>165</v>
      </c>
      <c r="Y5" s="124">
        <v>661</v>
      </c>
    </row>
    <row r="6" spans="1:25">
      <c r="A6" s="176" t="s">
        <v>27</v>
      </c>
      <c r="B6" s="176" t="s">
        <v>24</v>
      </c>
      <c r="C6" s="176"/>
      <c r="D6" s="159"/>
      <c r="E6" s="159"/>
      <c r="F6" s="159">
        <v>5</v>
      </c>
      <c r="G6" s="160"/>
      <c r="H6" s="161">
        <f>K6/F6</f>
        <v>0.04</v>
      </c>
      <c r="I6" s="162">
        <f>L6/F6</f>
        <v>0.4</v>
      </c>
      <c r="J6" s="160"/>
      <c r="K6" s="161">
        <v>0.2</v>
      </c>
      <c r="L6" s="162">
        <v>2</v>
      </c>
      <c r="M6" s="178"/>
      <c r="N6" s="183">
        <v>0</v>
      </c>
      <c r="O6" s="185">
        <v>0</v>
      </c>
      <c r="P6" s="186">
        <f>N6*K6</f>
        <v>0</v>
      </c>
      <c r="Q6" s="284"/>
      <c r="R6" s="207">
        <f>N6*K6</f>
        <v>0</v>
      </c>
      <c r="S6" s="197">
        <f>O6*K6</f>
        <v>0</v>
      </c>
      <c r="T6" s="229">
        <f>P6*K6</f>
        <v>0</v>
      </c>
      <c r="U6" s="260">
        <f t="shared" ref="U6:U25" si="0">SUM(R6+S6+T6)</f>
        <v>0</v>
      </c>
      <c r="V6" s="261"/>
      <c r="X6" s="123" t="s">
        <v>0</v>
      </c>
      <c r="Y6" s="124">
        <f>parameter!C10</f>
        <v>3654.1161779686181</v>
      </c>
    </row>
    <row r="7" spans="1:25">
      <c r="A7" s="174" t="s">
        <v>65</v>
      </c>
      <c r="B7" s="174"/>
      <c r="C7" s="174"/>
      <c r="D7" s="157"/>
      <c r="E7" s="156"/>
      <c r="F7" s="156">
        <v>3.3</v>
      </c>
      <c r="G7" s="204"/>
      <c r="H7" s="198">
        <f>K7/F7</f>
        <v>6.0606060606060615E-2</v>
      </c>
      <c r="I7" s="199">
        <f>L7/F7</f>
        <v>0.60606060606060608</v>
      </c>
      <c r="J7" s="204"/>
      <c r="K7" s="158">
        <v>0.2</v>
      </c>
      <c r="L7" s="177">
        <v>2</v>
      </c>
      <c r="M7" s="157"/>
      <c r="N7" s="184">
        <v>0</v>
      </c>
      <c r="O7" s="187">
        <v>0</v>
      </c>
      <c r="P7" s="188">
        <f>N7*K7</f>
        <v>0</v>
      </c>
      <c r="Q7" s="285"/>
      <c r="R7" s="286">
        <f>N7*K7</f>
        <v>0</v>
      </c>
      <c r="S7" s="158">
        <f>O7*K7</f>
        <v>0</v>
      </c>
      <c r="T7" s="177">
        <f>P7*K7</f>
        <v>0</v>
      </c>
      <c r="U7" s="262">
        <f t="shared" si="0"/>
        <v>0</v>
      </c>
      <c r="V7" s="263"/>
      <c r="X7" s="123" t="s">
        <v>36</v>
      </c>
      <c r="Y7" s="124">
        <f>parameter!C11</f>
        <v>2022.8687108268114</v>
      </c>
    </row>
    <row r="8" spans="1:25" ht="15">
      <c r="A8" s="51" t="s">
        <v>75</v>
      </c>
      <c r="B8" s="51" t="s">
        <v>22</v>
      </c>
      <c r="C8" s="51" t="s">
        <v>126</v>
      </c>
      <c r="D8" s="51" t="s">
        <v>171</v>
      </c>
      <c r="E8" s="51"/>
      <c r="F8" s="51">
        <v>3.3</v>
      </c>
      <c r="G8" s="70">
        <v>0.115</v>
      </c>
      <c r="H8" s="43">
        <v>0.24199999999999999</v>
      </c>
      <c r="I8" s="71">
        <v>0.39400000000000002</v>
      </c>
      <c r="J8" s="70">
        <f>F8*G8</f>
        <v>0.3795</v>
      </c>
      <c r="K8" s="44">
        <v>0.8</v>
      </c>
      <c r="L8" s="71">
        <f>I8*F8</f>
        <v>1.3002</v>
      </c>
      <c r="M8" s="95"/>
      <c r="N8" s="96">
        <v>0</v>
      </c>
      <c r="O8" s="45">
        <v>0</v>
      </c>
      <c r="P8" s="97">
        <v>0</v>
      </c>
      <c r="Q8" s="287"/>
      <c r="R8" s="190">
        <f t="shared" ref="R8:R25" si="1">N8*K8</f>
        <v>0</v>
      </c>
      <c r="S8" s="43">
        <f t="shared" ref="S8:S22" si="2">O8*K8</f>
        <v>0</v>
      </c>
      <c r="T8" s="71">
        <f>P8*L8</f>
        <v>0</v>
      </c>
      <c r="U8" s="264">
        <f t="shared" si="0"/>
        <v>0</v>
      </c>
      <c r="V8" s="265"/>
      <c r="X8" s="123" t="s">
        <v>164</v>
      </c>
      <c r="Y8" s="124">
        <v>0.3</v>
      </c>
    </row>
    <row r="9" spans="1:25" ht="15">
      <c r="A9" s="360" t="s">
        <v>39</v>
      </c>
      <c r="B9" s="57" t="s">
        <v>42</v>
      </c>
      <c r="C9" s="59" t="s">
        <v>140</v>
      </c>
      <c r="D9" s="55" t="s">
        <v>26</v>
      </c>
      <c r="E9" s="55"/>
      <c r="F9" s="55">
        <v>3.3</v>
      </c>
      <c r="G9" s="72"/>
      <c r="H9" s="16">
        <f>0.12/F9</f>
        <v>3.6363636363636362E-2</v>
      </c>
      <c r="I9" s="73">
        <f>0.2/F9</f>
        <v>6.0606060606060615E-2</v>
      </c>
      <c r="J9" s="72"/>
      <c r="K9" s="37">
        <f t="shared" ref="K9:K15" si="3">H9*F9</f>
        <v>0.11999999999999998</v>
      </c>
      <c r="L9" s="73">
        <f>I9*F9</f>
        <v>0.2</v>
      </c>
      <c r="M9" s="98"/>
      <c r="N9" s="99">
        <v>1</v>
      </c>
      <c r="O9" s="17">
        <v>1</v>
      </c>
      <c r="P9" s="100">
        <v>1</v>
      </c>
      <c r="Q9" s="288"/>
      <c r="R9" s="191">
        <f>N9*K9</f>
        <v>0.11999999999999998</v>
      </c>
      <c r="S9" s="16">
        <f t="shared" si="2"/>
        <v>0.11999999999999998</v>
      </c>
      <c r="T9" s="73">
        <f>P9*$L$9+(1-P9)*K9</f>
        <v>0.2</v>
      </c>
      <c r="U9" s="266">
        <f t="shared" si="0"/>
        <v>0.43999999999999995</v>
      </c>
      <c r="V9" s="267"/>
      <c r="X9" s="123" t="s">
        <v>68</v>
      </c>
      <c r="Y9" s="124">
        <v>0.6</v>
      </c>
    </row>
    <row r="10" spans="1:25" ht="15">
      <c r="A10" s="361"/>
      <c r="B10" s="53"/>
      <c r="C10" s="53"/>
      <c r="D10" s="55" t="s">
        <v>106</v>
      </c>
      <c r="E10" s="55"/>
      <c r="F10" s="55">
        <v>3.3</v>
      </c>
      <c r="G10" s="72"/>
      <c r="H10" s="16">
        <f>0.2/F10</f>
        <v>6.0606060606060615E-2</v>
      </c>
      <c r="I10" s="73">
        <f>0.4/F10</f>
        <v>0.12121212121212123</v>
      </c>
      <c r="J10" s="72"/>
      <c r="K10" s="37">
        <f t="shared" si="3"/>
        <v>0.2</v>
      </c>
      <c r="L10" s="73">
        <f>I10*F10</f>
        <v>0.4</v>
      </c>
      <c r="M10" s="98"/>
      <c r="N10" s="99">
        <v>1</v>
      </c>
      <c r="O10" s="17">
        <v>1</v>
      </c>
      <c r="P10" s="100">
        <v>1</v>
      </c>
      <c r="Q10" s="288"/>
      <c r="R10" s="191">
        <f>N10*K10</f>
        <v>0.2</v>
      </c>
      <c r="S10" s="16">
        <f t="shared" si="2"/>
        <v>0.2</v>
      </c>
      <c r="T10" s="73">
        <f>P10*$L$10+(1-P10)*K10</f>
        <v>0.4</v>
      </c>
      <c r="U10" s="266">
        <f t="shared" si="0"/>
        <v>0.8</v>
      </c>
      <c r="V10" s="267"/>
      <c r="X10" s="123" t="s">
        <v>41</v>
      </c>
      <c r="Y10" s="124">
        <v>0.8</v>
      </c>
    </row>
    <row r="11" spans="1:25" ht="15">
      <c r="A11" s="362" t="s">
        <v>130</v>
      </c>
      <c r="B11" s="58"/>
      <c r="C11" s="58"/>
      <c r="D11" s="64" t="s">
        <v>99</v>
      </c>
      <c r="E11" s="64"/>
      <c r="F11" s="64">
        <v>5</v>
      </c>
      <c r="G11" s="74"/>
      <c r="H11" s="38">
        <f>0.07*5/5</f>
        <v>7.0000000000000007E-2</v>
      </c>
      <c r="I11" s="75">
        <f>0.167*5/5</f>
        <v>0.16700000000000001</v>
      </c>
      <c r="J11" s="74"/>
      <c r="K11" s="18">
        <f>H11*F11</f>
        <v>0.35000000000000003</v>
      </c>
      <c r="L11" s="75">
        <f>I11*F11</f>
        <v>0.83500000000000008</v>
      </c>
      <c r="M11" s="101"/>
      <c r="N11" s="102">
        <v>1</v>
      </c>
      <c r="O11" s="19">
        <v>1</v>
      </c>
      <c r="P11" s="103">
        <v>1</v>
      </c>
      <c r="Q11" s="289"/>
      <c r="R11" s="192">
        <f t="shared" si="1"/>
        <v>0.35000000000000003</v>
      </c>
      <c r="S11" s="18">
        <f t="shared" si="2"/>
        <v>0.35000000000000003</v>
      </c>
      <c r="T11" s="75">
        <f>P11*$L$11+(1-P11)*K11</f>
        <v>0.83500000000000008</v>
      </c>
      <c r="U11" s="268">
        <f t="shared" si="0"/>
        <v>1.5350000000000001</v>
      </c>
      <c r="V11" s="269"/>
      <c r="X11" s="123" t="s">
        <v>70</v>
      </c>
      <c r="Y11" s="124">
        <v>0.8</v>
      </c>
    </row>
    <row r="12" spans="1:25" ht="15">
      <c r="A12" s="362"/>
      <c r="B12" s="58"/>
      <c r="C12" s="58"/>
      <c r="D12" s="64" t="s">
        <v>101</v>
      </c>
      <c r="E12" s="64"/>
      <c r="F12" s="64">
        <v>5</v>
      </c>
      <c r="G12" s="74"/>
      <c r="H12" s="18">
        <v>6.4000000000000001E-2</v>
      </c>
      <c r="I12" s="75"/>
      <c r="J12" s="74"/>
      <c r="K12" s="38">
        <f t="shared" si="3"/>
        <v>0.32</v>
      </c>
      <c r="L12" s="75"/>
      <c r="M12" s="101"/>
      <c r="N12" s="102">
        <v>1</v>
      </c>
      <c r="O12" s="19">
        <v>1</v>
      </c>
      <c r="P12" s="103">
        <v>1</v>
      </c>
      <c r="Q12" s="289"/>
      <c r="R12" s="192">
        <f t="shared" si="1"/>
        <v>0.32</v>
      </c>
      <c r="S12" s="18">
        <f t="shared" si="2"/>
        <v>0.32</v>
      </c>
      <c r="T12" s="75">
        <f>P12*$K$12</f>
        <v>0.32</v>
      </c>
      <c r="U12" s="268">
        <f t="shared" si="0"/>
        <v>0.96</v>
      </c>
      <c r="V12" s="269"/>
      <c r="X12" s="125"/>
      <c r="Y12" s="124"/>
    </row>
    <row r="13" spans="1:25" ht="15">
      <c r="A13" s="361" t="s">
        <v>39</v>
      </c>
      <c r="B13" s="53"/>
      <c r="C13" s="53"/>
      <c r="D13" s="55" t="s">
        <v>16</v>
      </c>
      <c r="E13" s="55"/>
      <c r="F13" s="55">
        <v>3.3</v>
      </c>
      <c r="G13" s="72"/>
      <c r="H13" s="16">
        <f>0.2/F13</f>
        <v>6.0606060606060615E-2</v>
      </c>
      <c r="I13" s="73"/>
      <c r="J13" s="72"/>
      <c r="K13" s="37">
        <f t="shared" si="3"/>
        <v>0.2</v>
      </c>
      <c r="L13" s="73"/>
      <c r="M13" s="98"/>
      <c r="N13" s="99">
        <v>1</v>
      </c>
      <c r="O13" s="17">
        <v>1</v>
      </c>
      <c r="P13" s="100">
        <v>1</v>
      </c>
      <c r="Q13" s="288"/>
      <c r="R13" s="191">
        <f t="shared" si="1"/>
        <v>0.2</v>
      </c>
      <c r="S13" s="16">
        <f t="shared" si="2"/>
        <v>0.2</v>
      </c>
      <c r="T13" s="73">
        <f>P13*$K$13</f>
        <v>0.2</v>
      </c>
      <c r="U13" s="266">
        <f t="shared" si="0"/>
        <v>0.60000000000000009</v>
      </c>
      <c r="V13" s="267"/>
      <c r="X13" s="125"/>
      <c r="Y13" s="124"/>
    </row>
    <row r="14" spans="1:25" ht="15">
      <c r="A14" s="361"/>
      <c r="B14" s="53"/>
      <c r="C14" s="53"/>
      <c r="D14" s="55" t="s">
        <v>44</v>
      </c>
      <c r="E14" s="55"/>
      <c r="F14" s="55">
        <v>3.3</v>
      </c>
      <c r="G14" s="72"/>
      <c r="H14" s="16">
        <f>0.035/F14</f>
        <v>1.0606060606060608E-2</v>
      </c>
      <c r="I14" s="73"/>
      <c r="J14" s="72"/>
      <c r="K14" s="37">
        <f t="shared" si="3"/>
        <v>3.5000000000000003E-2</v>
      </c>
      <c r="L14" s="73"/>
      <c r="M14" s="98"/>
      <c r="N14" s="99">
        <v>1</v>
      </c>
      <c r="O14" s="17">
        <v>1</v>
      </c>
      <c r="P14" s="100">
        <v>1</v>
      </c>
      <c r="Q14" s="288"/>
      <c r="R14" s="191">
        <f t="shared" si="1"/>
        <v>3.5000000000000003E-2</v>
      </c>
      <c r="S14" s="16">
        <f t="shared" si="2"/>
        <v>3.5000000000000003E-2</v>
      </c>
      <c r="T14" s="73">
        <f>P14*$K$14</f>
        <v>3.5000000000000003E-2</v>
      </c>
      <c r="U14" s="266">
        <f t="shared" si="0"/>
        <v>0.10500000000000001</v>
      </c>
      <c r="V14" s="267"/>
      <c r="X14" s="123" t="s">
        <v>102</v>
      </c>
      <c r="Y14" s="124">
        <v>0.2</v>
      </c>
    </row>
    <row r="15" spans="1:25" ht="15">
      <c r="A15" s="52" t="s">
        <v>74</v>
      </c>
      <c r="B15" s="52"/>
      <c r="C15" s="60"/>
      <c r="D15" s="65" t="s">
        <v>1</v>
      </c>
      <c r="E15" s="65"/>
      <c r="F15" s="65">
        <v>8.26</v>
      </c>
      <c r="G15" s="76">
        <f>0.065*3/F15</f>
        <v>2.3607748184019371E-2</v>
      </c>
      <c r="H15" s="4">
        <f>0.19*3/F15</f>
        <v>6.9007263922518172E-2</v>
      </c>
      <c r="I15" s="77">
        <f>2.3*3/F15</f>
        <v>0.83535108958837767</v>
      </c>
      <c r="J15" s="76">
        <f>F15*G15</f>
        <v>0.19500000000000001</v>
      </c>
      <c r="K15" s="39">
        <f t="shared" si="3"/>
        <v>0.57000000000000006</v>
      </c>
      <c r="L15" s="77">
        <f>I15*F15</f>
        <v>6.8999999999999995</v>
      </c>
      <c r="M15" s="104"/>
      <c r="N15" s="105">
        <v>1</v>
      </c>
      <c r="O15" s="22">
        <v>1</v>
      </c>
      <c r="P15" s="106">
        <v>1</v>
      </c>
      <c r="Q15" s="290"/>
      <c r="R15" s="193">
        <f t="shared" si="1"/>
        <v>0.57000000000000006</v>
      </c>
      <c r="S15" s="4">
        <f t="shared" si="2"/>
        <v>0.57000000000000006</v>
      </c>
      <c r="T15" s="77">
        <f>P15*$L$15+(1-P15)*K15</f>
        <v>6.8999999999999995</v>
      </c>
      <c r="U15" s="270">
        <f t="shared" si="0"/>
        <v>8.0399999999999991</v>
      </c>
      <c r="V15" s="271"/>
      <c r="X15" s="123" t="s">
        <v>157</v>
      </c>
      <c r="Y15" s="124">
        <v>0.9</v>
      </c>
    </row>
    <row r="16" spans="1:25" ht="15">
      <c r="A16" s="53" t="s">
        <v>39</v>
      </c>
      <c r="B16" s="53"/>
      <c r="C16" s="55" t="s">
        <v>17</v>
      </c>
      <c r="D16" s="55" t="s">
        <v>62</v>
      </c>
      <c r="E16" s="55"/>
      <c r="F16" s="55">
        <v>3.3</v>
      </c>
      <c r="G16" s="72"/>
      <c r="H16" s="37">
        <v>0</v>
      </c>
      <c r="I16" s="73"/>
      <c r="J16" s="72"/>
      <c r="K16" s="16">
        <v>0</v>
      </c>
      <c r="L16" s="73"/>
      <c r="M16" s="98"/>
      <c r="N16" s="99">
        <v>1</v>
      </c>
      <c r="O16" s="17">
        <v>1</v>
      </c>
      <c r="P16" s="100">
        <v>1</v>
      </c>
      <c r="Q16" s="288"/>
      <c r="R16" s="191">
        <f t="shared" si="1"/>
        <v>0</v>
      </c>
      <c r="S16" s="16">
        <f t="shared" si="2"/>
        <v>0</v>
      </c>
      <c r="T16" s="73">
        <f>P16*K16</f>
        <v>0</v>
      </c>
      <c r="U16" s="266">
        <f t="shared" si="0"/>
        <v>0</v>
      </c>
      <c r="V16" s="267"/>
      <c r="X16" s="126" t="s">
        <v>182</v>
      </c>
      <c r="Y16" s="127">
        <v>0.4</v>
      </c>
    </row>
    <row r="17" spans="1:23" ht="15">
      <c r="A17" s="54" t="s">
        <v>82</v>
      </c>
      <c r="B17" s="54"/>
      <c r="C17" s="61" t="s">
        <v>25</v>
      </c>
      <c r="D17" s="61" t="s">
        <v>61</v>
      </c>
      <c r="E17" s="61"/>
      <c r="F17" s="61">
        <v>3.3</v>
      </c>
      <c r="G17" s="78"/>
      <c r="H17" s="40">
        <v>0.39400000000000002</v>
      </c>
      <c r="I17" s="79"/>
      <c r="J17" s="78"/>
      <c r="K17" s="41">
        <v>1.3</v>
      </c>
      <c r="L17" s="79"/>
      <c r="M17" s="107"/>
      <c r="N17" s="108">
        <v>1</v>
      </c>
      <c r="O17" s="42">
        <v>1</v>
      </c>
      <c r="P17" s="109">
        <v>1</v>
      </c>
      <c r="Q17" s="291"/>
      <c r="R17" s="194">
        <f t="shared" si="1"/>
        <v>1.3</v>
      </c>
      <c r="S17" s="40">
        <f t="shared" si="2"/>
        <v>1.3</v>
      </c>
      <c r="T17" s="79">
        <f>P17*K17</f>
        <v>1.3</v>
      </c>
      <c r="U17" s="272">
        <f t="shared" si="0"/>
        <v>3.9000000000000004</v>
      </c>
      <c r="V17" s="273"/>
    </row>
    <row r="18" spans="1:23">
      <c r="A18" s="48"/>
      <c r="B18" s="363" t="s">
        <v>19</v>
      </c>
      <c r="C18" s="50" t="s">
        <v>94</v>
      </c>
      <c r="D18" s="50" t="s">
        <v>148</v>
      </c>
      <c r="E18" s="50"/>
      <c r="F18" s="62"/>
      <c r="G18" s="80"/>
      <c r="H18" s="23"/>
      <c r="I18" s="81"/>
      <c r="J18" s="80"/>
      <c r="K18" s="23">
        <v>0.1</v>
      </c>
      <c r="L18" s="81"/>
      <c r="M18" s="87"/>
      <c r="N18" s="93">
        <v>1</v>
      </c>
      <c r="O18" s="46">
        <v>1</v>
      </c>
      <c r="P18" s="94">
        <v>1</v>
      </c>
      <c r="Q18" s="292"/>
      <c r="R18" s="189">
        <f t="shared" si="1"/>
        <v>0.1</v>
      </c>
      <c r="S18" s="2">
        <f t="shared" si="2"/>
        <v>0.1</v>
      </c>
      <c r="T18" s="67">
        <f>P18*K18</f>
        <v>0.1</v>
      </c>
      <c r="U18" s="274">
        <f t="shared" si="0"/>
        <v>0.30000000000000004</v>
      </c>
      <c r="V18" s="275"/>
    </row>
    <row r="19" spans="1:23">
      <c r="A19" s="48"/>
      <c r="B19" s="364"/>
      <c r="C19" s="50" t="s">
        <v>21</v>
      </c>
      <c r="D19" s="50" t="s">
        <v>104</v>
      </c>
      <c r="E19" s="50"/>
      <c r="F19" s="62"/>
      <c r="G19" s="80"/>
      <c r="H19" s="23"/>
      <c r="I19" s="81"/>
      <c r="J19" s="80"/>
      <c r="K19" s="23">
        <v>0.2</v>
      </c>
      <c r="L19" s="81"/>
      <c r="M19" s="87"/>
      <c r="N19" s="93">
        <v>1</v>
      </c>
      <c r="O19" s="46">
        <v>1</v>
      </c>
      <c r="P19" s="94">
        <v>1</v>
      </c>
      <c r="Q19" s="292"/>
      <c r="R19" s="189">
        <f t="shared" si="1"/>
        <v>0.2</v>
      </c>
      <c r="S19" s="2">
        <f t="shared" si="2"/>
        <v>0.2</v>
      </c>
      <c r="T19" s="67">
        <f>P19*K19</f>
        <v>0.2</v>
      </c>
      <c r="U19" s="274">
        <f t="shared" si="0"/>
        <v>0.60000000000000009</v>
      </c>
      <c r="V19" s="275"/>
    </row>
    <row r="20" spans="1:23">
      <c r="A20" s="48"/>
      <c r="B20" s="365"/>
      <c r="C20" s="62" t="s">
        <v>138</v>
      </c>
      <c r="D20" s="62" t="s">
        <v>149</v>
      </c>
      <c r="E20" s="62"/>
      <c r="F20" s="62"/>
      <c r="G20" s="80"/>
      <c r="H20" s="23"/>
      <c r="I20" s="81"/>
      <c r="J20" s="80"/>
      <c r="K20" s="23">
        <f>H20*F20</f>
        <v>0</v>
      </c>
      <c r="L20" s="81"/>
      <c r="M20" s="110"/>
      <c r="N20" s="111">
        <v>1</v>
      </c>
      <c r="O20" s="24">
        <v>0</v>
      </c>
      <c r="P20" s="112">
        <v>1</v>
      </c>
      <c r="Q20" s="293"/>
      <c r="R20" s="195">
        <f t="shared" si="1"/>
        <v>0</v>
      </c>
      <c r="S20" s="23">
        <f t="shared" si="2"/>
        <v>0</v>
      </c>
      <c r="T20" s="81">
        <f>P20*K20</f>
        <v>0</v>
      </c>
      <c r="U20" s="274">
        <f t="shared" si="0"/>
        <v>0</v>
      </c>
      <c r="V20" s="276"/>
    </row>
    <row r="21" spans="1:23" ht="15">
      <c r="A21" s="55" t="s">
        <v>39</v>
      </c>
      <c r="B21" s="55" t="s">
        <v>23</v>
      </c>
      <c r="C21" s="55" t="s">
        <v>20</v>
      </c>
      <c r="D21" s="55" t="s">
        <v>131</v>
      </c>
      <c r="E21" s="55"/>
      <c r="F21" s="55">
        <v>3.3</v>
      </c>
      <c r="G21" s="72"/>
      <c r="H21" s="37">
        <f>0.13</f>
        <v>0.13</v>
      </c>
      <c r="I21" s="73">
        <f>1/F21</f>
        <v>0.30303030303030304</v>
      </c>
      <c r="J21" s="72"/>
      <c r="K21" s="16">
        <f>H21*F21</f>
        <v>0.42899999999999999</v>
      </c>
      <c r="L21" s="73">
        <f>I21*F21</f>
        <v>1</v>
      </c>
      <c r="M21" s="98"/>
      <c r="N21" s="99">
        <v>1</v>
      </c>
      <c r="O21" s="17">
        <v>1</v>
      </c>
      <c r="P21" s="100">
        <v>1</v>
      </c>
      <c r="Q21" s="288"/>
      <c r="R21" s="191">
        <f t="shared" si="1"/>
        <v>0.42899999999999999</v>
      </c>
      <c r="S21" s="16">
        <f t="shared" si="2"/>
        <v>0.42899999999999999</v>
      </c>
      <c r="T21" s="73">
        <f>P21*L21</f>
        <v>1</v>
      </c>
      <c r="U21" s="266">
        <f t="shared" si="0"/>
        <v>1.8580000000000001</v>
      </c>
      <c r="V21" s="267"/>
    </row>
    <row r="22" spans="1:23" ht="15">
      <c r="A22" s="360" t="s">
        <v>39</v>
      </c>
      <c r="B22" s="57" t="s">
        <v>48</v>
      </c>
      <c r="C22" s="55" t="s">
        <v>15</v>
      </c>
      <c r="D22" s="55" t="s">
        <v>88</v>
      </c>
      <c r="E22" s="55"/>
      <c r="F22" s="55">
        <v>3.3</v>
      </c>
      <c r="G22" s="72"/>
      <c r="H22" s="16">
        <f>0.04/F22</f>
        <v>1.2121212121212123E-2</v>
      </c>
      <c r="I22" s="73">
        <f>2/F22</f>
        <v>0.60606060606060608</v>
      </c>
      <c r="J22" s="72"/>
      <c r="K22" s="37">
        <f>H22*F22</f>
        <v>0.04</v>
      </c>
      <c r="L22" s="73">
        <f>I22*F22</f>
        <v>2</v>
      </c>
      <c r="M22" s="98"/>
      <c r="N22" s="99">
        <v>0</v>
      </c>
      <c r="O22" s="17">
        <v>0</v>
      </c>
      <c r="P22" s="100">
        <v>0</v>
      </c>
      <c r="Q22" s="288"/>
      <c r="R22" s="191">
        <f t="shared" si="1"/>
        <v>0</v>
      </c>
      <c r="S22" s="16">
        <f t="shared" si="2"/>
        <v>0</v>
      </c>
      <c r="T22" s="73">
        <f>P22*K22</f>
        <v>0</v>
      </c>
      <c r="U22" s="266">
        <f t="shared" si="0"/>
        <v>0</v>
      </c>
      <c r="V22" s="267"/>
    </row>
    <row r="23" spans="1:23" ht="15">
      <c r="A23" s="361"/>
      <c r="B23" s="53"/>
      <c r="C23" s="360" t="s">
        <v>66</v>
      </c>
      <c r="D23" s="360" t="s">
        <v>177</v>
      </c>
      <c r="E23" s="55" t="s">
        <v>115</v>
      </c>
      <c r="F23" s="55">
        <v>3.3</v>
      </c>
      <c r="G23" s="82">
        <v>4.4999999999999998E-2</v>
      </c>
      <c r="H23" s="37">
        <v>5.5000000000000007E-2</v>
      </c>
      <c r="I23" s="83">
        <v>0.12</v>
      </c>
      <c r="J23" s="72">
        <f>F23*G23</f>
        <v>0.14849999999999999</v>
      </c>
      <c r="K23" s="16">
        <f>H23*F23</f>
        <v>0.18150000000000002</v>
      </c>
      <c r="L23" s="73">
        <f>I23*F23</f>
        <v>0.39599999999999996</v>
      </c>
      <c r="M23" s="98"/>
      <c r="N23" s="99">
        <v>1</v>
      </c>
      <c r="O23" s="17">
        <v>1</v>
      </c>
      <c r="P23" s="100">
        <v>1</v>
      </c>
      <c r="Q23" s="288"/>
      <c r="R23" s="191">
        <f t="shared" si="1"/>
        <v>0.18150000000000002</v>
      </c>
      <c r="S23" s="16">
        <f>O23*L23</f>
        <v>0.39599999999999996</v>
      </c>
      <c r="T23" s="73">
        <f>P23*K23</f>
        <v>0.18150000000000002</v>
      </c>
      <c r="U23" s="266">
        <f t="shared" si="0"/>
        <v>0.75900000000000001</v>
      </c>
      <c r="V23" s="267"/>
    </row>
    <row r="24" spans="1:23" ht="15" customHeight="1">
      <c r="A24" s="361"/>
      <c r="B24" s="53"/>
      <c r="C24" s="372"/>
      <c r="D24" s="372"/>
      <c r="E24" s="55" t="s">
        <v>111</v>
      </c>
      <c r="F24" s="55">
        <v>3.3</v>
      </c>
      <c r="G24" s="82">
        <v>0.6</v>
      </c>
      <c r="H24" s="16"/>
      <c r="I24" s="73">
        <v>1</v>
      </c>
      <c r="J24" s="72">
        <f>F24*G24</f>
        <v>1.9799999999999998</v>
      </c>
      <c r="K24" s="16"/>
      <c r="L24" s="73">
        <f>I24*F24</f>
        <v>3.3</v>
      </c>
      <c r="M24" s="98"/>
      <c r="N24" s="99">
        <f>1-N23</f>
        <v>0</v>
      </c>
      <c r="O24" s="17">
        <f>1-O23</f>
        <v>0</v>
      </c>
      <c r="P24" s="100">
        <f>1-P23</f>
        <v>0</v>
      </c>
      <c r="Q24" s="288"/>
      <c r="R24" s="191">
        <f t="shared" si="1"/>
        <v>0</v>
      </c>
      <c r="S24" s="16">
        <f>O24*K24</f>
        <v>0</v>
      </c>
      <c r="T24" s="73">
        <f>P24*K24</f>
        <v>0</v>
      </c>
      <c r="U24" s="266">
        <f t="shared" si="0"/>
        <v>0</v>
      </c>
      <c r="V24" s="267"/>
    </row>
    <row r="25" spans="1:23" ht="15">
      <c r="A25" s="56" t="s">
        <v>130</v>
      </c>
      <c r="B25" s="56"/>
      <c r="C25" s="63" t="s">
        <v>18</v>
      </c>
      <c r="D25" s="63" t="s">
        <v>2</v>
      </c>
      <c r="E25" s="63" t="s">
        <v>111</v>
      </c>
      <c r="F25" s="63">
        <v>5</v>
      </c>
      <c r="G25" s="84">
        <f>J25/5</f>
        <v>0.122</v>
      </c>
      <c r="H25" s="85">
        <f>K25/5</f>
        <v>0.54</v>
      </c>
      <c r="I25" s="86">
        <f>L25/5</f>
        <v>1</v>
      </c>
      <c r="J25" s="88">
        <v>0.61</v>
      </c>
      <c r="K25" s="89">
        <v>2.7</v>
      </c>
      <c r="L25" s="90">
        <v>5</v>
      </c>
      <c r="M25" s="101"/>
      <c r="N25" s="113">
        <v>0</v>
      </c>
      <c r="O25" s="114">
        <v>0</v>
      </c>
      <c r="P25" s="115">
        <v>1</v>
      </c>
      <c r="Q25" s="289"/>
      <c r="R25" s="192">
        <f t="shared" si="1"/>
        <v>0</v>
      </c>
      <c r="S25" s="18">
        <f>O25*K25</f>
        <v>0</v>
      </c>
      <c r="T25" s="75">
        <f>P25*L25</f>
        <v>5</v>
      </c>
      <c r="U25" s="268">
        <f t="shared" si="0"/>
        <v>5</v>
      </c>
      <c r="V25" s="269"/>
    </row>
    <row r="26" spans="1:23">
      <c r="G26" s="87"/>
      <c r="H26" s="87"/>
      <c r="I26" s="87"/>
      <c r="J26" s="87"/>
      <c r="K26" s="87"/>
      <c r="M26" s="7"/>
      <c r="Q26" s="147" t="s">
        <v>163</v>
      </c>
      <c r="R26" s="193">
        <f>SUM(R5:R25)/Y15</f>
        <v>4.4505555555555549</v>
      </c>
      <c r="S26" s="4">
        <f>SUM(S5:S25)/Y15</f>
        <v>4.6888888888888882</v>
      </c>
      <c r="T26" s="77">
        <f>SUM(T5:T25)/Y15</f>
        <v>18.523888888888887</v>
      </c>
      <c r="U26" s="277">
        <f>SUM(R26+S26+T26)</f>
        <v>27.66333333333333</v>
      </c>
      <c r="V26" s="278" t="s">
        <v>119</v>
      </c>
      <c r="W26" s="1" t="s">
        <v>4</v>
      </c>
    </row>
    <row r="27" spans="1:23">
      <c r="M27"/>
      <c r="Q27" s="118" t="s">
        <v>10</v>
      </c>
      <c r="R27" s="118">
        <f>1.135*20*N4/3600</f>
        <v>18.747149233302121</v>
      </c>
      <c r="S27" s="6">
        <v>0</v>
      </c>
      <c r="T27" s="295">
        <v>0</v>
      </c>
      <c r="U27" s="277">
        <f t="shared" ref="U27:U32" si="4">SUM(R27+S27+T27)</f>
        <v>18.747149233302121</v>
      </c>
      <c r="V27" s="278" t="s">
        <v>129</v>
      </c>
      <c r="W27" s="3"/>
    </row>
    <row r="28" spans="1:23">
      <c r="M28"/>
      <c r="Q28" s="118" t="s">
        <v>9</v>
      </c>
      <c r="R28" s="296">
        <f>R26*N4/3600</f>
        <v>3.6755607564362029</v>
      </c>
      <c r="S28" s="6">
        <f>S26*O4/3600</f>
        <v>2.6347240616324519</v>
      </c>
      <c r="T28" s="295">
        <f>T26*P4/3600</f>
        <v>3.5041023148148143</v>
      </c>
      <c r="U28" s="277">
        <f t="shared" si="4"/>
        <v>9.8143871328834695</v>
      </c>
      <c r="V28" s="278" t="s">
        <v>129</v>
      </c>
      <c r="W28" s="3"/>
    </row>
    <row r="29" spans="1:23">
      <c r="M29"/>
      <c r="Q29" s="294" t="s">
        <v>98</v>
      </c>
      <c r="R29" s="297">
        <f>U27-U28</f>
        <v>8.9327621004186515</v>
      </c>
      <c r="S29" s="6"/>
      <c r="T29" s="295"/>
      <c r="U29" s="277">
        <f t="shared" si="4"/>
        <v>8.9327621004186515</v>
      </c>
      <c r="V29" s="278" t="s">
        <v>129</v>
      </c>
    </row>
    <row r="30" spans="1:23">
      <c r="M30"/>
      <c r="Q30" s="294" t="s">
        <v>11</v>
      </c>
      <c r="R30" s="298">
        <f>100*($U$27/U28-1)</f>
        <v>91.017013894725011</v>
      </c>
      <c r="S30" s="6"/>
      <c r="T30" s="295"/>
      <c r="U30" s="277">
        <f t="shared" si="4"/>
        <v>91.017013894725011</v>
      </c>
      <c r="V30" s="278" t="s">
        <v>110</v>
      </c>
    </row>
    <row r="31" spans="1:23">
      <c r="M31"/>
      <c r="Q31" s="294" t="s">
        <v>107</v>
      </c>
      <c r="R31" s="298">
        <f>U29/$U$27*100</f>
        <v>47.648642410925305</v>
      </c>
      <c r="S31" s="6"/>
      <c r="T31" s="295"/>
      <c r="U31" s="277">
        <f t="shared" si="4"/>
        <v>47.648642410925305</v>
      </c>
      <c r="V31" s="278" t="s">
        <v>110</v>
      </c>
      <c r="W31" s="21" t="s">
        <v>77</v>
      </c>
    </row>
    <row r="32" spans="1:23">
      <c r="M32"/>
      <c r="Q32" s="299" t="s">
        <v>167</v>
      </c>
      <c r="R32" s="300">
        <f>(R27-R28)/40*100</f>
        <v>37.678971192164795</v>
      </c>
      <c r="S32" s="121">
        <f>(S27-S28)/40*100</f>
        <v>-6.5868101540811299</v>
      </c>
      <c r="T32" s="301">
        <f>(T27-T28)/40*100</f>
        <v>-8.7602557870370354</v>
      </c>
      <c r="U32" s="279">
        <f t="shared" si="4"/>
        <v>22.331905251046631</v>
      </c>
      <c r="V32" s="280" t="s">
        <v>110</v>
      </c>
    </row>
    <row r="33" spans="13:26">
      <c r="M33"/>
      <c r="X33" s="1" t="s">
        <v>114</v>
      </c>
      <c r="Y33" s="1" t="s">
        <v>147</v>
      </c>
      <c r="Z33" s="1" t="s">
        <v>117</v>
      </c>
    </row>
    <row r="34" spans="13:26">
      <c r="M34"/>
      <c r="X34" s="311">
        <v>0.1</v>
      </c>
      <c r="Y34" s="311">
        <v>0.9</v>
      </c>
    </row>
    <row r="35" spans="13:26">
      <c r="W35" s="1" t="s">
        <v>124</v>
      </c>
      <c r="X35" s="1">
        <f>1.135*(6*3+6*3+4*3+4*3)/(3+3+3+3+1+1)*N4/3600*X34</f>
        <v>0.40172462642790258</v>
      </c>
      <c r="Y35" s="1">
        <f>R27*Y34</f>
        <v>16.872434309971908</v>
      </c>
      <c r="Z35" s="1">
        <f>X35+Y35</f>
        <v>17.274158936399811</v>
      </c>
    </row>
    <row r="36" spans="13:26">
      <c r="W36" s="1" t="s">
        <v>128</v>
      </c>
      <c r="X36" s="1">
        <f>1.498*X34</f>
        <v>0.14980000000000002</v>
      </c>
      <c r="Y36" s="1">
        <f>U28*Y34</f>
        <v>8.8329484195951231</v>
      </c>
      <c r="Z36" s="1">
        <f>X36+Y36</f>
        <v>8.9827484195951239</v>
      </c>
    </row>
    <row r="37" spans="13:26">
      <c r="W37" s="1" t="s">
        <v>123</v>
      </c>
      <c r="Z37" s="1">
        <f>Z35-Z36</f>
        <v>8.291410516804687</v>
      </c>
    </row>
    <row r="41" spans="13:26">
      <c r="Q41" s="7"/>
      <c r="R41" s="7"/>
      <c r="S41" s="7"/>
    </row>
    <row r="42" spans="13:26">
      <c r="Q42" s="7"/>
      <c r="R42" s="7"/>
      <c r="S42" s="7"/>
    </row>
    <row r="43" spans="13:26">
      <c r="O43" s="7"/>
      <c r="P43" s="7"/>
      <c r="Q43" s="7"/>
      <c r="R43" s="7"/>
      <c r="S43" s="7"/>
    </row>
    <row r="44" spans="13:26">
      <c r="O44" s="7"/>
      <c r="P44" s="7"/>
      <c r="Q44" s="7"/>
      <c r="R44" s="7"/>
      <c r="S44" s="7"/>
    </row>
    <row r="45" spans="13:26">
      <c r="O45" s="7"/>
      <c r="P45" s="7"/>
      <c r="Q45" s="7"/>
      <c r="R45" s="7"/>
      <c r="S45" s="7"/>
    </row>
    <row r="46" spans="13:26">
      <c r="O46" s="7"/>
      <c r="P46" s="7"/>
      <c r="Q46" s="7"/>
      <c r="R46" s="7"/>
      <c r="S46" s="7"/>
    </row>
    <row r="47" spans="13:26">
      <c r="O47" s="7"/>
      <c r="P47" s="7"/>
      <c r="Q47" s="7"/>
      <c r="R47" s="7"/>
      <c r="S47" s="7"/>
    </row>
    <row r="48" spans="13:26">
      <c r="O48" s="7"/>
      <c r="P48" s="7"/>
      <c r="Q48" s="7"/>
      <c r="R48" s="7"/>
      <c r="S48" s="7"/>
    </row>
    <row r="49" spans="15:19">
      <c r="O49" s="7"/>
      <c r="P49" s="7"/>
      <c r="Q49" s="7"/>
      <c r="R49" s="7"/>
      <c r="S49" s="7"/>
    </row>
    <row r="50" spans="15:19">
      <c r="O50" s="7"/>
      <c r="P50" s="7"/>
      <c r="Q50" s="7"/>
      <c r="R50" s="7"/>
      <c r="S50" s="7"/>
    </row>
    <row r="51" spans="15:19">
      <c r="O51" s="7"/>
      <c r="P51" s="7"/>
    </row>
    <row r="52" spans="15:19">
      <c r="O52" s="7"/>
      <c r="P52" s="7"/>
    </row>
  </sheetData>
  <mergeCells count="11">
    <mergeCell ref="Q2:V2"/>
    <mergeCell ref="A9:A10"/>
    <mergeCell ref="A11:A12"/>
    <mergeCell ref="A13:A14"/>
    <mergeCell ref="A22:A24"/>
    <mergeCell ref="B18:B20"/>
    <mergeCell ref="G2:I2"/>
    <mergeCell ref="J2:L2"/>
    <mergeCell ref="N2:P2"/>
    <mergeCell ref="C23:C24"/>
    <mergeCell ref="D23:D24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2:Y52"/>
  <sheetViews>
    <sheetView zoomScaleNormal="100" zoomScaleSheetLayoutView="75" workbookViewId="0">
      <pane xSplit="4" ySplit="3" topLeftCell="E4" activePane="bottomRight" state="frozen"/>
      <selection pane="topRight"/>
      <selection pane="bottomLeft"/>
      <selection pane="bottomRight" activeCell="H12" sqref="H12"/>
    </sheetView>
  </sheetViews>
  <sheetFormatPr defaultColWidth="9.125" defaultRowHeight="14.25"/>
  <cols>
    <col min="1" max="1" width="9.125" style="1"/>
    <col min="2" max="2" width="10.75" style="1" bestFit="1" customWidth="1"/>
    <col min="3" max="3" width="16.375" style="1" bestFit="1" customWidth="1"/>
    <col min="4" max="4" width="31" style="1" bestFit="1" customWidth="1"/>
    <col min="5" max="5" width="17" style="1" bestFit="1" customWidth="1"/>
    <col min="6" max="6" width="15.25" style="1" bestFit="1" customWidth="1"/>
    <col min="7" max="12" width="10.875" style="1" bestFit="1" customWidth="1"/>
    <col min="13" max="13" width="10.875" style="1" customWidth="1"/>
    <col min="14" max="15" width="15.75" style="1" customWidth="1"/>
    <col min="16" max="16" width="22" style="1" customWidth="1"/>
    <col min="17" max="17" width="35" style="1" customWidth="1"/>
    <col min="18" max="18" width="13.375" style="1" bestFit="1" customWidth="1"/>
    <col min="19" max="19" width="14.25" style="1" customWidth="1"/>
    <col min="20" max="20" width="11.75" style="1" customWidth="1"/>
    <col min="21" max="21" width="8" style="1" customWidth="1"/>
    <col min="22" max="22" width="11.75" style="1" customWidth="1"/>
    <col min="23" max="23" width="17.125" style="1" customWidth="1"/>
    <col min="24" max="24" width="20.875" style="1" customWidth="1"/>
    <col min="25" max="25" width="18.625" style="1" customWidth="1"/>
    <col min="26" max="26" width="24.625" style="1" bestFit="1" customWidth="1"/>
    <col min="27" max="27" width="13.125" style="1" bestFit="1" customWidth="1"/>
    <col min="28" max="16384" width="9.125" style="1"/>
  </cols>
  <sheetData>
    <row r="2" spans="1:25" ht="13.9" customHeight="1">
      <c r="A2" s="128" t="s">
        <v>84</v>
      </c>
      <c r="B2" s="128" t="s">
        <v>154</v>
      </c>
      <c r="C2" s="128" t="s">
        <v>151</v>
      </c>
      <c r="D2" s="128" t="s">
        <v>71</v>
      </c>
      <c r="E2" s="128" t="s">
        <v>53</v>
      </c>
      <c r="F2" s="128" t="s">
        <v>174</v>
      </c>
      <c r="G2" s="366" t="s">
        <v>6</v>
      </c>
      <c r="H2" s="367"/>
      <c r="I2" s="368"/>
      <c r="J2" s="366" t="s">
        <v>76</v>
      </c>
      <c r="K2" s="367"/>
      <c r="L2" s="368"/>
      <c r="N2" s="369" t="s">
        <v>93</v>
      </c>
      <c r="O2" s="371"/>
      <c r="Q2" s="369" t="s">
        <v>158</v>
      </c>
      <c r="R2" s="370"/>
      <c r="S2" s="370"/>
      <c r="T2" s="370"/>
      <c r="U2" s="371"/>
      <c r="X2" s="246" t="s">
        <v>91</v>
      </c>
      <c r="Y2" s="169"/>
    </row>
    <row r="3" spans="1:25">
      <c r="A3" s="48"/>
      <c r="B3" s="129"/>
      <c r="C3" s="129"/>
      <c r="D3" s="129"/>
      <c r="E3" s="129"/>
      <c r="F3" s="129"/>
      <c r="G3" s="150" t="s">
        <v>56</v>
      </c>
      <c r="H3" s="151" t="s">
        <v>73</v>
      </c>
      <c r="I3" s="152" t="s">
        <v>90</v>
      </c>
      <c r="J3" s="150" t="s">
        <v>52</v>
      </c>
      <c r="K3" s="151" t="s">
        <v>73</v>
      </c>
      <c r="L3" s="152" t="s">
        <v>90</v>
      </c>
      <c r="M3" s="1" t="s">
        <v>53</v>
      </c>
      <c r="N3" s="150" t="s">
        <v>142</v>
      </c>
      <c r="O3" s="152" t="s">
        <v>145</v>
      </c>
      <c r="Q3" s="246"/>
      <c r="R3" s="307" t="s">
        <v>142</v>
      </c>
      <c r="S3" s="308" t="s">
        <v>145</v>
      </c>
      <c r="T3" s="154" t="s">
        <v>40</v>
      </c>
      <c r="U3" s="169"/>
      <c r="X3" s="123" t="s">
        <v>181</v>
      </c>
      <c r="Y3" s="124">
        <f>parameter!C8</f>
        <v>5676.9848887954295</v>
      </c>
    </row>
    <row r="4" spans="1:25">
      <c r="A4" s="48"/>
      <c r="B4" s="50"/>
      <c r="C4" s="50"/>
      <c r="D4" s="50"/>
      <c r="E4" s="50"/>
      <c r="F4" s="50"/>
      <c r="G4" s="234"/>
      <c r="H4" s="231"/>
      <c r="I4" s="237"/>
      <c r="J4" s="234"/>
      <c r="K4" s="231"/>
      <c r="L4" s="237"/>
      <c r="M4" s="91" t="s">
        <v>64</v>
      </c>
      <c r="N4" s="238">
        <f>Y6</f>
        <v>3654.1161779686181</v>
      </c>
      <c r="O4" s="240">
        <f>Y7</f>
        <v>2022.8687108268114</v>
      </c>
      <c r="Q4" s="309"/>
      <c r="R4" s="66"/>
      <c r="S4" s="67"/>
      <c r="T4" s="257"/>
      <c r="U4" s="117"/>
      <c r="X4" s="123" t="s">
        <v>176</v>
      </c>
      <c r="Y4" s="124">
        <v>681</v>
      </c>
    </row>
    <row r="5" spans="1:25">
      <c r="A5" s="49" t="s">
        <v>47</v>
      </c>
      <c r="B5" s="49" t="s">
        <v>67</v>
      </c>
      <c r="C5" s="49"/>
      <c r="D5" s="49"/>
      <c r="E5" s="49"/>
      <c r="F5" s="49">
        <v>5</v>
      </c>
      <c r="G5" s="68"/>
      <c r="H5" s="47">
        <f>K5/F5</f>
        <v>0.04</v>
      </c>
      <c r="I5" s="69"/>
      <c r="J5" s="68"/>
      <c r="K5" s="47">
        <v>0.2</v>
      </c>
      <c r="L5" s="69"/>
      <c r="M5" s="92"/>
      <c r="N5" s="241">
        <v>0</v>
      </c>
      <c r="O5" s="243">
        <v>0</v>
      </c>
      <c r="Q5" s="282"/>
      <c r="R5" s="283">
        <f>N5*K5</f>
        <v>0</v>
      </c>
      <c r="S5" s="69">
        <f>O5*K5</f>
        <v>0</v>
      </c>
      <c r="T5" s="258">
        <f>SUM(Q5+R5+S5)</f>
        <v>0</v>
      </c>
      <c r="U5" s="259"/>
      <c r="X5" s="123" t="s">
        <v>165</v>
      </c>
      <c r="Y5" s="124">
        <v>661</v>
      </c>
    </row>
    <row r="6" spans="1:25">
      <c r="A6" s="176" t="s">
        <v>27</v>
      </c>
      <c r="B6" s="176" t="s">
        <v>24</v>
      </c>
      <c r="C6" s="176"/>
      <c r="D6" s="159"/>
      <c r="E6" s="159"/>
      <c r="F6" s="159">
        <v>5</v>
      </c>
      <c r="G6" s="160"/>
      <c r="H6" s="161">
        <f>K6/F6</f>
        <v>0.04</v>
      </c>
      <c r="I6" s="162">
        <f>L6/F6</f>
        <v>0.4</v>
      </c>
      <c r="J6" s="160"/>
      <c r="K6" s="161">
        <v>0.2</v>
      </c>
      <c r="L6" s="162">
        <v>2</v>
      </c>
      <c r="M6" s="178"/>
      <c r="N6" s="183">
        <v>0</v>
      </c>
      <c r="O6" s="186">
        <v>0</v>
      </c>
      <c r="Q6" s="284"/>
      <c r="R6" s="207">
        <f>N6*K6</f>
        <v>0</v>
      </c>
      <c r="S6" s="229">
        <f>O6*K6</f>
        <v>0</v>
      </c>
      <c r="T6" s="260">
        <f t="shared" ref="T6:T25" si="0">SUM(Q6+R6+S6)</f>
        <v>0</v>
      </c>
      <c r="U6" s="306"/>
      <c r="X6" s="123" t="s">
        <v>0</v>
      </c>
      <c r="Y6" s="124">
        <f>parameter!C10</f>
        <v>3654.1161779686181</v>
      </c>
    </row>
    <row r="7" spans="1:25">
      <c r="A7" s="174" t="s">
        <v>65</v>
      </c>
      <c r="B7" s="174"/>
      <c r="C7" s="174"/>
      <c r="D7" s="157"/>
      <c r="E7" s="156"/>
      <c r="F7" s="156">
        <v>3.3</v>
      </c>
      <c r="G7" s="204"/>
      <c r="H7" s="198">
        <f>K7/F7</f>
        <v>6.0606060606060615E-2</v>
      </c>
      <c r="I7" s="199">
        <f>L7/F7</f>
        <v>0.60606060606060608</v>
      </c>
      <c r="J7" s="204"/>
      <c r="K7" s="158">
        <v>0.2</v>
      </c>
      <c r="L7" s="177">
        <v>2</v>
      </c>
      <c r="M7" s="157"/>
      <c r="N7" s="184">
        <v>0</v>
      </c>
      <c r="O7" s="228">
        <v>0</v>
      </c>
      <c r="Q7" s="285"/>
      <c r="R7" s="286">
        <f>N7*K7</f>
        <v>0</v>
      </c>
      <c r="S7" s="177">
        <f>O7*K7</f>
        <v>0</v>
      </c>
      <c r="T7" s="262">
        <f t="shared" si="0"/>
        <v>0</v>
      </c>
      <c r="U7" s="263"/>
      <c r="X7" s="123" t="s">
        <v>36</v>
      </c>
      <c r="Y7" s="124">
        <f>parameter!C11</f>
        <v>2022.8687108268114</v>
      </c>
    </row>
    <row r="8" spans="1:25" ht="15">
      <c r="A8" s="51" t="s">
        <v>75</v>
      </c>
      <c r="B8" s="51" t="s">
        <v>22</v>
      </c>
      <c r="C8" s="51" t="s">
        <v>126</v>
      </c>
      <c r="D8" s="51" t="s">
        <v>171</v>
      </c>
      <c r="E8" s="51"/>
      <c r="F8" s="51">
        <v>3.3</v>
      </c>
      <c r="G8" s="70">
        <v>0.115</v>
      </c>
      <c r="H8" s="43">
        <v>0.24199999999999999</v>
      </c>
      <c r="I8" s="71">
        <v>0.39400000000000002</v>
      </c>
      <c r="J8" s="70">
        <f>F8*G8</f>
        <v>0.3795</v>
      </c>
      <c r="K8" s="44">
        <v>0.8</v>
      </c>
      <c r="L8" s="71">
        <f>I8*F8</f>
        <v>1.3002</v>
      </c>
      <c r="M8" s="95"/>
      <c r="N8" s="96">
        <v>0</v>
      </c>
      <c r="O8" s="97">
        <v>0</v>
      </c>
      <c r="Q8" s="287"/>
      <c r="R8" s="190">
        <f t="shared" ref="R8:R25" si="1">N8*K8</f>
        <v>0</v>
      </c>
      <c r="S8" s="71">
        <f t="shared" ref="S8:S22" si="2">O8*K8</f>
        <v>0</v>
      </c>
      <c r="T8" s="264">
        <f t="shared" si="0"/>
        <v>0</v>
      </c>
      <c r="U8" s="265"/>
      <c r="X8" s="123" t="s">
        <v>164</v>
      </c>
      <c r="Y8" s="124">
        <v>0.3</v>
      </c>
    </row>
    <row r="9" spans="1:25" ht="15">
      <c r="A9" s="360" t="s">
        <v>39</v>
      </c>
      <c r="B9" s="57" t="s">
        <v>42</v>
      </c>
      <c r="C9" s="59" t="s">
        <v>140</v>
      </c>
      <c r="D9" s="55" t="s">
        <v>26</v>
      </c>
      <c r="E9" s="55"/>
      <c r="F9" s="55">
        <v>3.3</v>
      </c>
      <c r="G9" s="72"/>
      <c r="H9" s="16">
        <f>0.12/F9</f>
        <v>3.6363636363636362E-2</v>
      </c>
      <c r="I9" s="73">
        <f>0.2/F9</f>
        <v>6.0606060606060615E-2</v>
      </c>
      <c r="J9" s="72"/>
      <c r="K9" s="37">
        <f t="shared" ref="K9:K16" si="3">H9*F9</f>
        <v>0.11999999999999998</v>
      </c>
      <c r="L9" s="73">
        <f>I9*F9</f>
        <v>0.2</v>
      </c>
      <c r="M9" s="98"/>
      <c r="N9" s="99">
        <v>1</v>
      </c>
      <c r="O9" s="100">
        <v>1</v>
      </c>
      <c r="Q9" s="288"/>
      <c r="R9" s="191">
        <f>N9*K9</f>
        <v>0.11999999999999998</v>
      </c>
      <c r="S9" s="73">
        <f t="shared" si="2"/>
        <v>0.11999999999999998</v>
      </c>
      <c r="T9" s="266">
        <f t="shared" si="0"/>
        <v>0.23999999999999996</v>
      </c>
      <c r="U9" s="267"/>
      <c r="X9" s="123" t="s">
        <v>68</v>
      </c>
      <c r="Y9" s="124">
        <v>0.6</v>
      </c>
    </row>
    <row r="10" spans="1:25" ht="15">
      <c r="A10" s="361"/>
      <c r="B10" s="53"/>
      <c r="C10" s="53"/>
      <c r="D10" s="55" t="s">
        <v>106</v>
      </c>
      <c r="E10" s="55"/>
      <c r="F10" s="55">
        <v>3.3</v>
      </c>
      <c r="G10" s="72"/>
      <c r="H10" s="16">
        <f>0.2/F10</f>
        <v>6.0606060606060615E-2</v>
      </c>
      <c r="I10" s="73">
        <f>0.4/F10</f>
        <v>0.12121212121212123</v>
      </c>
      <c r="J10" s="72"/>
      <c r="K10" s="37">
        <f t="shared" si="3"/>
        <v>0.2</v>
      </c>
      <c r="L10" s="73">
        <f>I10*F10</f>
        <v>0.4</v>
      </c>
      <c r="M10" s="98"/>
      <c r="N10" s="99">
        <v>1</v>
      </c>
      <c r="O10" s="100">
        <v>0.5</v>
      </c>
      <c r="Q10" s="288"/>
      <c r="R10" s="191">
        <f>N10*K10</f>
        <v>0.2</v>
      </c>
      <c r="S10" s="73">
        <f t="shared" si="2"/>
        <v>0.1</v>
      </c>
      <c r="T10" s="266">
        <f t="shared" si="0"/>
        <v>0.30000000000000004</v>
      </c>
      <c r="U10" s="267"/>
      <c r="X10" s="123" t="s">
        <v>41</v>
      </c>
      <c r="Y10" s="124">
        <v>0.8</v>
      </c>
    </row>
    <row r="11" spans="1:25" ht="15">
      <c r="A11" s="362" t="s">
        <v>130</v>
      </c>
      <c r="B11" s="58"/>
      <c r="C11" s="58"/>
      <c r="D11" s="64" t="s">
        <v>99</v>
      </c>
      <c r="E11" s="64"/>
      <c r="F11" s="64">
        <v>5</v>
      </c>
      <c r="G11" s="74"/>
      <c r="H11" s="38">
        <f>0.07*5/5</f>
        <v>7.0000000000000007E-2</v>
      </c>
      <c r="I11" s="75">
        <f>0.167*5/5</f>
        <v>0.16700000000000001</v>
      </c>
      <c r="J11" s="74"/>
      <c r="K11" s="18">
        <f>H11*F11</f>
        <v>0.35000000000000003</v>
      </c>
      <c r="L11" s="75">
        <f>I11*F11</f>
        <v>0.83500000000000008</v>
      </c>
      <c r="M11" s="101"/>
      <c r="N11" s="102">
        <v>1</v>
      </c>
      <c r="O11" s="103">
        <v>1</v>
      </c>
      <c r="Q11" s="289"/>
      <c r="R11" s="192">
        <f t="shared" si="1"/>
        <v>0.35000000000000003</v>
      </c>
      <c r="S11" s="75">
        <f t="shared" si="2"/>
        <v>0.35000000000000003</v>
      </c>
      <c r="T11" s="268">
        <f t="shared" si="0"/>
        <v>0.70000000000000007</v>
      </c>
      <c r="U11" s="269"/>
      <c r="X11" s="123" t="s">
        <v>70</v>
      </c>
      <c r="Y11" s="124">
        <v>0.8</v>
      </c>
    </row>
    <row r="12" spans="1:25" ht="15">
      <c r="A12" s="362"/>
      <c r="B12" s="58"/>
      <c r="C12" s="58"/>
      <c r="D12" s="64" t="s">
        <v>101</v>
      </c>
      <c r="E12" s="64"/>
      <c r="F12" s="64">
        <v>5</v>
      </c>
      <c r="G12" s="74"/>
      <c r="H12" s="18">
        <f>0.064/F12</f>
        <v>1.2800000000000001E-2</v>
      </c>
      <c r="I12" s="75"/>
      <c r="J12" s="74"/>
      <c r="K12" s="38">
        <f t="shared" si="3"/>
        <v>6.4000000000000001E-2</v>
      </c>
      <c r="L12" s="75"/>
      <c r="M12" s="101"/>
      <c r="N12" s="102">
        <v>1</v>
      </c>
      <c r="O12" s="103">
        <v>1</v>
      </c>
      <c r="Q12" s="289"/>
      <c r="R12" s="192">
        <f t="shared" si="1"/>
        <v>6.4000000000000001E-2</v>
      </c>
      <c r="S12" s="75">
        <f t="shared" si="2"/>
        <v>6.4000000000000001E-2</v>
      </c>
      <c r="T12" s="268">
        <f t="shared" si="0"/>
        <v>0.128</v>
      </c>
      <c r="U12" s="269"/>
      <c r="X12" s="125"/>
      <c r="Y12" s="124"/>
    </row>
    <row r="13" spans="1:25" ht="15">
      <c r="A13" s="361" t="s">
        <v>39</v>
      </c>
      <c r="B13" s="53"/>
      <c r="C13" s="53"/>
      <c r="D13" s="55" t="s">
        <v>16</v>
      </c>
      <c r="E13" s="55"/>
      <c r="F13" s="55">
        <v>3.3</v>
      </c>
      <c r="G13" s="72"/>
      <c r="H13" s="16">
        <f>0.2/F13</f>
        <v>6.0606060606060615E-2</v>
      </c>
      <c r="I13" s="73"/>
      <c r="J13" s="72"/>
      <c r="K13" s="37">
        <f t="shared" si="3"/>
        <v>0.2</v>
      </c>
      <c r="L13" s="73"/>
      <c r="M13" s="98"/>
      <c r="N13" s="99">
        <v>1</v>
      </c>
      <c r="O13" s="100">
        <v>1</v>
      </c>
      <c r="Q13" s="288"/>
      <c r="R13" s="191">
        <f t="shared" si="1"/>
        <v>0.2</v>
      </c>
      <c r="S13" s="73">
        <f t="shared" si="2"/>
        <v>0.2</v>
      </c>
      <c r="T13" s="266">
        <f t="shared" si="0"/>
        <v>0.4</v>
      </c>
      <c r="U13" s="267"/>
      <c r="X13" s="125"/>
      <c r="Y13" s="124"/>
    </row>
    <row r="14" spans="1:25" ht="15">
      <c r="A14" s="361"/>
      <c r="B14" s="53"/>
      <c r="C14" s="53"/>
      <c r="D14" s="55" t="s">
        <v>44</v>
      </c>
      <c r="E14" s="55"/>
      <c r="F14" s="55">
        <v>3.3</v>
      </c>
      <c r="G14" s="72"/>
      <c r="H14" s="16">
        <f>0.035/F14</f>
        <v>1.0606060606060608E-2</v>
      </c>
      <c r="I14" s="73"/>
      <c r="J14" s="72"/>
      <c r="K14" s="37">
        <f t="shared" si="3"/>
        <v>3.5000000000000003E-2</v>
      </c>
      <c r="L14" s="73"/>
      <c r="M14" s="98"/>
      <c r="N14" s="99">
        <v>1</v>
      </c>
      <c r="O14" s="100">
        <v>1</v>
      </c>
      <c r="Q14" s="288"/>
      <c r="R14" s="191">
        <f t="shared" si="1"/>
        <v>3.5000000000000003E-2</v>
      </c>
      <c r="S14" s="73">
        <f t="shared" si="2"/>
        <v>3.5000000000000003E-2</v>
      </c>
      <c r="T14" s="266">
        <f t="shared" si="0"/>
        <v>7.0000000000000007E-2</v>
      </c>
      <c r="U14" s="267"/>
      <c r="X14" s="123" t="s">
        <v>102</v>
      </c>
      <c r="Y14" s="124">
        <v>0.2</v>
      </c>
    </row>
    <row r="15" spans="1:25" ht="15">
      <c r="A15" s="52" t="s">
        <v>74</v>
      </c>
      <c r="B15" s="52"/>
      <c r="C15" s="60"/>
      <c r="D15" s="65" t="s">
        <v>1</v>
      </c>
      <c r="E15" s="65"/>
      <c r="F15" s="65">
        <v>8.26</v>
      </c>
      <c r="G15" s="76">
        <f>0.065*3/F15</f>
        <v>2.3607748184019371E-2</v>
      </c>
      <c r="H15" s="4">
        <f>0.19*3/F15</f>
        <v>6.9007263922518172E-2</v>
      </c>
      <c r="I15" s="77">
        <f>2.3*3/F15</f>
        <v>0.83535108958837767</v>
      </c>
      <c r="J15" s="76">
        <f>F15*G15</f>
        <v>0.19500000000000001</v>
      </c>
      <c r="K15" s="39">
        <f t="shared" si="3"/>
        <v>0.57000000000000006</v>
      </c>
      <c r="L15" s="77">
        <f>I15*F15</f>
        <v>6.8999999999999995</v>
      </c>
      <c r="M15" s="104"/>
      <c r="N15" s="105">
        <v>1</v>
      </c>
      <c r="O15" s="106">
        <v>1</v>
      </c>
      <c r="Q15" s="290"/>
      <c r="R15" s="193">
        <f t="shared" si="1"/>
        <v>0.57000000000000006</v>
      </c>
      <c r="S15" s="77">
        <f t="shared" si="2"/>
        <v>0.57000000000000006</v>
      </c>
      <c r="T15" s="270">
        <f t="shared" si="0"/>
        <v>1.1400000000000001</v>
      </c>
      <c r="U15" s="271"/>
      <c r="X15" s="123" t="s">
        <v>157</v>
      </c>
      <c r="Y15" s="124">
        <v>0.9</v>
      </c>
    </row>
    <row r="16" spans="1:25" ht="15">
      <c r="A16" s="53" t="s">
        <v>39</v>
      </c>
      <c r="B16" s="53"/>
      <c r="C16" s="55" t="s">
        <v>17</v>
      </c>
      <c r="D16" s="55" t="s">
        <v>62</v>
      </c>
      <c r="E16" s="55"/>
      <c r="F16" s="55">
        <v>3.3</v>
      </c>
      <c r="G16" s="72"/>
      <c r="H16" s="37">
        <v>0</v>
      </c>
      <c r="I16" s="73"/>
      <c r="J16" s="72"/>
      <c r="K16" s="16">
        <f t="shared" si="3"/>
        <v>0</v>
      </c>
      <c r="L16" s="73"/>
      <c r="M16" s="98"/>
      <c r="N16" s="99">
        <v>1</v>
      </c>
      <c r="O16" s="100">
        <v>1</v>
      </c>
      <c r="Q16" s="288"/>
      <c r="R16" s="191">
        <f t="shared" si="1"/>
        <v>0</v>
      </c>
      <c r="S16" s="73">
        <f t="shared" si="2"/>
        <v>0</v>
      </c>
      <c r="T16" s="266">
        <f t="shared" si="0"/>
        <v>0</v>
      </c>
      <c r="U16" s="267"/>
      <c r="X16" s="126" t="s">
        <v>182</v>
      </c>
      <c r="Y16" s="127">
        <v>0.4</v>
      </c>
    </row>
    <row r="17" spans="1:22" ht="15">
      <c r="A17" s="54" t="s">
        <v>82</v>
      </c>
      <c r="B17" s="54"/>
      <c r="C17" s="61" t="s">
        <v>25</v>
      </c>
      <c r="D17" s="61" t="s">
        <v>61</v>
      </c>
      <c r="E17" s="61"/>
      <c r="F17" s="61">
        <v>3.3</v>
      </c>
      <c r="G17" s="78"/>
      <c r="H17" s="40">
        <v>0.39400000000000002</v>
      </c>
      <c r="I17" s="79"/>
      <c r="J17" s="78"/>
      <c r="K17" s="41">
        <v>1.3</v>
      </c>
      <c r="L17" s="79"/>
      <c r="M17" s="107"/>
      <c r="N17" s="108">
        <v>1</v>
      </c>
      <c r="O17" s="109">
        <v>1</v>
      </c>
      <c r="Q17" s="291"/>
      <c r="R17" s="194">
        <f t="shared" si="1"/>
        <v>1.3</v>
      </c>
      <c r="S17" s="79">
        <f t="shared" si="2"/>
        <v>1.3</v>
      </c>
      <c r="T17" s="272">
        <f t="shared" si="0"/>
        <v>2.6</v>
      </c>
      <c r="U17" s="273"/>
    </row>
    <row r="18" spans="1:22">
      <c r="A18" s="48"/>
      <c r="B18" s="363" t="s">
        <v>19</v>
      </c>
      <c r="C18" s="50" t="s">
        <v>94</v>
      </c>
      <c r="D18" s="50" t="s">
        <v>148</v>
      </c>
      <c r="E18" s="50"/>
      <c r="F18" s="62"/>
      <c r="G18" s="80"/>
      <c r="H18" s="23"/>
      <c r="I18" s="81"/>
      <c r="J18" s="80"/>
      <c r="K18" s="23">
        <v>0.1</v>
      </c>
      <c r="L18" s="81"/>
      <c r="M18" s="87"/>
      <c r="N18" s="93">
        <v>1</v>
      </c>
      <c r="O18" s="94">
        <v>1</v>
      </c>
      <c r="Q18" s="292"/>
      <c r="R18" s="189">
        <f t="shared" si="1"/>
        <v>0.1</v>
      </c>
      <c r="S18" s="67">
        <f t="shared" si="2"/>
        <v>0.1</v>
      </c>
      <c r="T18" s="274">
        <f t="shared" si="0"/>
        <v>0.2</v>
      </c>
      <c r="U18" s="275"/>
    </row>
    <row r="19" spans="1:22">
      <c r="A19" s="48"/>
      <c r="B19" s="364"/>
      <c r="C19" s="50" t="s">
        <v>21</v>
      </c>
      <c r="D19" s="50" t="s">
        <v>104</v>
      </c>
      <c r="E19" s="50"/>
      <c r="F19" s="62"/>
      <c r="G19" s="80"/>
      <c r="H19" s="23"/>
      <c r="I19" s="81"/>
      <c r="J19" s="80"/>
      <c r="K19" s="23">
        <v>0.2</v>
      </c>
      <c r="L19" s="81"/>
      <c r="M19" s="87"/>
      <c r="N19" s="93">
        <v>1</v>
      </c>
      <c r="O19" s="94">
        <v>1</v>
      </c>
      <c r="Q19" s="292"/>
      <c r="R19" s="189">
        <f t="shared" si="1"/>
        <v>0.2</v>
      </c>
      <c r="S19" s="67">
        <f t="shared" si="2"/>
        <v>0.2</v>
      </c>
      <c r="T19" s="274">
        <f t="shared" si="0"/>
        <v>0.4</v>
      </c>
      <c r="U19" s="275"/>
    </row>
    <row r="20" spans="1:22">
      <c r="A20" s="48"/>
      <c r="B20" s="365"/>
      <c r="C20" s="62" t="s">
        <v>138</v>
      </c>
      <c r="D20" s="62" t="s">
        <v>149</v>
      </c>
      <c r="E20" s="62"/>
      <c r="F20" s="62"/>
      <c r="G20" s="80"/>
      <c r="H20" s="23"/>
      <c r="I20" s="81"/>
      <c r="J20" s="80"/>
      <c r="K20" s="23">
        <f>H20*F20</f>
        <v>0</v>
      </c>
      <c r="L20" s="81"/>
      <c r="M20" s="110"/>
      <c r="N20" s="111">
        <v>1</v>
      </c>
      <c r="O20" s="112">
        <v>1</v>
      </c>
      <c r="Q20" s="293"/>
      <c r="R20" s="195">
        <f t="shared" si="1"/>
        <v>0</v>
      </c>
      <c r="S20" s="81">
        <f t="shared" si="2"/>
        <v>0</v>
      </c>
      <c r="T20" s="274">
        <f t="shared" si="0"/>
        <v>0</v>
      </c>
      <c r="U20" s="276"/>
    </row>
    <row r="21" spans="1:22" ht="15">
      <c r="A21" s="55" t="s">
        <v>39</v>
      </c>
      <c r="B21" s="55" t="s">
        <v>23</v>
      </c>
      <c r="C21" s="55" t="s">
        <v>20</v>
      </c>
      <c r="D21" s="55" t="s">
        <v>131</v>
      </c>
      <c r="E21" s="55"/>
      <c r="F21" s="55">
        <v>3.3</v>
      </c>
      <c r="G21" s="72"/>
      <c r="H21" s="37">
        <f>0.13</f>
        <v>0.13</v>
      </c>
      <c r="I21" s="73">
        <f>1/F21</f>
        <v>0.30303030303030304</v>
      </c>
      <c r="J21" s="72"/>
      <c r="K21" s="16">
        <f>H21*F21</f>
        <v>0.42899999999999999</v>
      </c>
      <c r="L21" s="73">
        <f>I21*F21</f>
        <v>1</v>
      </c>
      <c r="M21" s="98"/>
      <c r="N21" s="99">
        <v>1</v>
      </c>
      <c r="O21" s="100">
        <v>1</v>
      </c>
      <c r="Q21" s="288"/>
      <c r="R21" s="191">
        <f t="shared" si="1"/>
        <v>0.42899999999999999</v>
      </c>
      <c r="S21" s="73">
        <f t="shared" si="2"/>
        <v>0.42899999999999999</v>
      </c>
      <c r="T21" s="266">
        <f t="shared" si="0"/>
        <v>0.85799999999999998</v>
      </c>
      <c r="U21" s="267"/>
    </row>
    <row r="22" spans="1:22" ht="15">
      <c r="A22" s="360" t="s">
        <v>39</v>
      </c>
      <c r="B22" s="57" t="s">
        <v>48</v>
      </c>
      <c r="C22" s="55" t="s">
        <v>15</v>
      </c>
      <c r="D22" s="55" t="s">
        <v>88</v>
      </c>
      <c r="E22" s="55"/>
      <c r="F22" s="55">
        <v>3.3</v>
      </c>
      <c r="G22" s="72"/>
      <c r="H22" s="16">
        <f>0.04/F22</f>
        <v>1.2121212121212123E-2</v>
      </c>
      <c r="I22" s="73">
        <f>2/F22</f>
        <v>0.60606060606060608</v>
      </c>
      <c r="J22" s="72"/>
      <c r="K22" s="37">
        <f>H22*F22</f>
        <v>0.04</v>
      </c>
      <c r="L22" s="73">
        <f>I22*F22</f>
        <v>2</v>
      </c>
      <c r="M22" s="98"/>
      <c r="N22" s="99">
        <v>0</v>
      </c>
      <c r="O22" s="100">
        <v>0</v>
      </c>
      <c r="Q22" s="288"/>
      <c r="R22" s="191">
        <f t="shared" si="1"/>
        <v>0</v>
      </c>
      <c r="S22" s="73">
        <f t="shared" si="2"/>
        <v>0</v>
      </c>
      <c r="T22" s="266">
        <f t="shared" si="0"/>
        <v>0</v>
      </c>
      <c r="U22" s="267"/>
    </row>
    <row r="23" spans="1:22" ht="15">
      <c r="A23" s="361"/>
      <c r="B23" s="53"/>
      <c r="C23" s="360" t="s">
        <v>66</v>
      </c>
      <c r="D23" s="360" t="s">
        <v>177</v>
      </c>
      <c r="E23" s="55" t="s">
        <v>115</v>
      </c>
      <c r="F23" s="55">
        <v>3.3</v>
      </c>
      <c r="G23" s="82">
        <v>4.4999999999999998E-2</v>
      </c>
      <c r="H23" s="37">
        <v>5.5000000000000007E-2</v>
      </c>
      <c r="I23" s="83">
        <v>0.12</v>
      </c>
      <c r="J23" s="72">
        <f>F23*G23</f>
        <v>0.14849999999999999</v>
      </c>
      <c r="K23" s="16">
        <f>H23*F23</f>
        <v>0.18150000000000002</v>
      </c>
      <c r="L23" s="73">
        <f>I23*F23</f>
        <v>0.39599999999999996</v>
      </c>
      <c r="M23" s="98"/>
      <c r="N23" s="99">
        <v>0.9</v>
      </c>
      <c r="O23" s="100">
        <v>0.9</v>
      </c>
      <c r="Q23" s="288"/>
      <c r="R23" s="191">
        <f t="shared" si="1"/>
        <v>0.16335000000000002</v>
      </c>
      <c r="S23" s="73">
        <f>O23*L23</f>
        <v>0.35639999999999999</v>
      </c>
      <c r="T23" s="266">
        <f t="shared" si="0"/>
        <v>0.51975000000000005</v>
      </c>
      <c r="U23" s="267"/>
    </row>
    <row r="24" spans="1:22" ht="15" customHeight="1">
      <c r="A24" s="361"/>
      <c r="B24" s="53"/>
      <c r="C24" s="372"/>
      <c r="D24" s="372"/>
      <c r="E24" s="55" t="s">
        <v>111</v>
      </c>
      <c r="F24" s="55">
        <v>3.3</v>
      </c>
      <c r="G24" s="82">
        <v>0.6</v>
      </c>
      <c r="H24" s="16"/>
      <c r="I24" s="73">
        <v>1</v>
      </c>
      <c r="J24" s="72">
        <f>F24*G24</f>
        <v>1.9799999999999998</v>
      </c>
      <c r="K24" s="16"/>
      <c r="L24" s="73">
        <f>I24*F24</f>
        <v>3.3</v>
      </c>
      <c r="M24" s="98"/>
      <c r="N24" s="99">
        <f>1-N23</f>
        <v>9.9999999999999978E-2</v>
      </c>
      <c r="O24" s="100">
        <f>1-O23</f>
        <v>9.9999999999999978E-2</v>
      </c>
      <c r="Q24" s="288"/>
      <c r="R24" s="191">
        <f t="shared" si="1"/>
        <v>0</v>
      </c>
      <c r="S24" s="73">
        <f>O24*K24</f>
        <v>0</v>
      </c>
      <c r="T24" s="266">
        <f t="shared" si="0"/>
        <v>0</v>
      </c>
      <c r="U24" s="267"/>
    </row>
    <row r="25" spans="1:22" ht="15">
      <c r="A25" s="56" t="s">
        <v>130</v>
      </c>
      <c r="B25" s="56"/>
      <c r="C25" s="63" t="s">
        <v>18</v>
      </c>
      <c r="D25" s="63" t="s">
        <v>2</v>
      </c>
      <c r="E25" s="63" t="s">
        <v>111</v>
      </c>
      <c r="F25" s="63">
        <v>5</v>
      </c>
      <c r="G25" s="84">
        <f>J25/5</f>
        <v>0.122</v>
      </c>
      <c r="H25" s="85">
        <f>K25/5</f>
        <v>0.54</v>
      </c>
      <c r="I25" s="86">
        <f>L25/5</f>
        <v>1</v>
      </c>
      <c r="J25" s="88">
        <v>0.61</v>
      </c>
      <c r="K25" s="89">
        <v>2.7</v>
      </c>
      <c r="L25" s="90">
        <v>5</v>
      </c>
      <c r="M25" s="101"/>
      <c r="N25" s="113">
        <v>0</v>
      </c>
      <c r="O25" s="115">
        <v>0</v>
      </c>
      <c r="Q25" s="289"/>
      <c r="R25" s="192">
        <f t="shared" si="1"/>
        <v>0</v>
      </c>
      <c r="S25" s="75">
        <f>O25*K25</f>
        <v>0</v>
      </c>
      <c r="T25" s="268">
        <f t="shared" si="0"/>
        <v>0</v>
      </c>
      <c r="U25" s="269"/>
    </row>
    <row r="26" spans="1:22">
      <c r="G26" s="87"/>
      <c r="H26" s="87"/>
      <c r="I26" s="87"/>
      <c r="J26" s="87"/>
      <c r="K26" s="87"/>
      <c r="M26" s="7"/>
      <c r="Q26" s="147" t="s">
        <v>163</v>
      </c>
      <c r="R26" s="193">
        <f>SUM(R5:R24)/Y15</f>
        <v>4.1459444444444449</v>
      </c>
      <c r="S26" s="77">
        <f>SUM(S5:S24)/Y15</f>
        <v>4.2493333333333334</v>
      </c>
      <c r="T26" s="277">
        <f>SUM(R26+S26)</f>
        <v>8.3952777777777783</v>
      </c>
      <c r="U26" s="278" t="s">
        <v>119</v>
      </c>
      <c r="V26" s="1" t="s">
        <v>4</v>
      </c>
    </row>
    <row r="27" spans="1:22">
      <c r="M27"/>
      <c r="Q27" s="118" t="s">
        <v>10</v>
      </c>
      <c r="R27" s="118">
        <f>1.135*20*N4/3600</f>
        <v>23.041232566635454</v>
      </c>
      <c r="S27" s="295">
        <v>0</v>
      </c>
      <c r="T27" s="277">
        <f t="shared" ref="T27:T32" si="4">SUM(R27+S27)</f>
        <v>23.041232566635454</v>
      </c>
      <c r="U27" s="278" t="s">
        <v>129</v>
      </c>
      <c r="V27" s="3"/>
    </row>
    <row r="28" spans="1:22">
      <c r="M28"/>
      <c r="Q28" s="118" t="s">
        <v>9</v>
      </c>
      <c r="R28" s="296">
        <f>R26*N4/3600</f>
        <v>4.2082674076120998</v>
      </c>
      <c r="S28" s="295">
        <f>S26*O4/3600</f>
        <v>2.387734289409277</v>
      </c>
      <c r="T28" s="277">
        <f t="shared" si="4"/>
        <v>6.5960016970213768</v>
      </c>
      <c r="U28" s="278" t="s">
        <v>129</v>
      </c>
      <c r="V28" s="3"/>
    </row>
    <row r="29" spans="1:22">
      <c r="M29"/>
      <c r="Q29" s="294" t="s">
        <v>98</v>
      </c>
      <c r="R29" s="297">
        <f>T27-T28</f>
        <v>16.445230869614079</v>
      </c>
      <c r="S29" s="295"/>
      <c r="T29" s="277">
        <f t="shared" si="4"/>
        <v>16.445230869614079</v>
      </c>
      <c r="U29" s="278" t="s">
        <v>129</v>
      </c>
    </row>
    <row r="30" spans="1:22">
      <c r="M30"/>
      <c r="Q30" s="294" t="s">
        <v>11</v>
      </c>
      <c r="R30" s="298">
        <f>100*($T$27/T28-1)</f>
        <v>249.32120434475351</v>
      </c>
      <c r="S30" s="295"/>
      <c r="T30" s="277">
        <f t="shared" si="4"/>
        <v>249.32120434475351</v>
      </c>
      <c r="U30" s="278" t="s">
        <v>110</v>
      </c>
    </row>
    <row r="31" spans="1:22">
      <c r="M31"/>
      <c r="Q31" s="294" t="s">
        <v>107</v>
      </c>
      <c r="R31" s="298">
        <f>T29/$T$27*100</f>
        <v>71.373051862804303</v>
      </c>
      <c r="S31" s="295"/>
      <c r="T31" s="277">
        <f t="shared" si="4"/>
        <v>71.373051862804303</v>
      </c>
      <c r="U31" s="278" t="s">
        <v>110</v>
      </c>
      <c r="V31" s="21" t="s">
        <v>77</v>
      </c>
    </row>
    <row r="32" spans="1:22">
      <c r="M32"/>
      <c r="Q32" s="299" t="s">
        <v>167</v>
      </c>
      <c r="R32" s="300">
        <f>(R27-R28)/40*100</f>
        <v>47.082412897558378</v>
      </c>
      <c r="S32" s="122">
        <f>(S27-S28)/40*100</f>
        <v>-5.9693357235231925</v>
      </c>
      <c r="T32" s="279">
        <f t="shared" si="4"/>
        <v>41.113077174035183</v>
      </c>
      <c r="U32" s="280" t="s">
        <v>110</v>
      </c>
    </row>
    <row r="33" spans="13:25">
      <c r="M33"/>
      <c r="W33" s="1" t="s">
        <v>114</v>
      </c>
      <c r="X33" s="1" t="s">
        <v>147</v>
      </c>
      <c r="Y33" s="1" t="s">
        <v>117</v>
      </c>
    </row>
    <row r="34" spans="13:25">
      <c r="M34"/>
      <c r="W34" s="311">
        <v>1</v>
      </c>
      <c r="X34" s="311">
        <v>0</v>
      </c>
    </row>
    <row r="35" spans="13:25">
      <c r="V35" s="1" t="s">
        <v>124</v>
      </c>
      <c r="W35" s="1">
        <f>1.135*(6*3+6*3+4*3+4*3)/(3+3+3+3+1+1)*N4/3600*W34</f>
        <v>4.9374069785647396</v>
      </c>
      <c r="X35" s="1">
        <f>R27*X34</f>
        <v>0</v>
      </c>
      <c r="Y35" s="1">
        <f>W35+X35</f>
        <v>4.9374069785647396</v>
      </c>
    </row>
    <row r="36" spans="13:25">
      <c r="V36" s="1" t="s">
        <v>128</v>
      </c>
      <c r="W36" s="1">
        <f>1.498*W34</f>
        <v>1.498</v>
      </c>
      <c r="X36" s="1">
        <f>T28*X34</f>
        <v>0</v>
      </c>
      <c r="Y36" s="1">
        <f>W36+X36</f>
        <v>1.498</v>
      </c>
    </row>
    <row r="37" spans="13:25">
      <c r="V37" s="1" t="s">
        <v>123</v>
      </c>
      <c r="Y37" s="1">
        <f>Y35-Y36</f>
        <v>3.4394069785647394</v>
      </c>
    </row>
    <row r="41" spans="13:25">
      <c r="Q41" s="7"/>
      <c r="R41" s="7"/>
      <c r="S41" s="7"/>
    </row>
    <row r="42" spans="13:25">
      <c r="Q42" s="7"/>
      <c r="R42" s="7"/>
      <c r="S42" s="7"/>
    </row>
    <row r="43" spans="13:25">
      <c r="O43" s="7"/>
      <c r="P43" s="7"/>
      <c r="Q43" s="7"/>
      <c r="R43" s="7"/>
      <c r="S43" s="7"/>
    </row>
    <row r="44" spans="13:25">
      <c r="O44" s="7"/>
      <c r="P44" s="7"/>
      <c r="Q44" s="7"/>
      <c r="R44" s="7"/>
      <c r="S44" s="7"/>
    </row>
    <row r="45" spans="13:25">
      <c r="O45" s="7"/>
      <c r="P45" s="7"/>
      <c r="Q45" s="7"/>
      <c r="R45" s="7"/>
      <c r="S45" s="7"/>
    </row>
    <row r="46" spans="13:25">
      <c r="O46" s="7"/>
      <c r="P46" s="7"/>
      <c r="Q46" s="7"/>
      <c r="R46" s="7"/>
      <c r="S46" s="7"/>
    </row>
    <row r="47" spans="13:25">
      <c r="O47" s="7"/>
      <c r="P47" s="7"/>
      <c r="Q47" s="7"/>
      <c r="R47" s="7"/>
      <c r="S47" s="7"/>
    </row>
    <row r="48" spans="13:25">
      <c r="O48" s="7"/>
      <c r="P48" s="7"/>
      <c r="Q48" s="7"/>
      <c r="R48" s="7"/>
      <c r="S48" s="7"/>
    </row>
    <row r="49" spans="15:19">
      <c r="O49" s="7"/>
      <c r="P49" s="7"/>
      <c r="Q49" s="7"/>
      <c r="R49" s="7"/>
      <c r="S49" s="7"/>
    </row>
    <row r="50" spans="15:19">
      <c r="O50" s="7"/>
      <c r="P50" s="7"/>
      <c r="Q50" s="7"/>
      <c r="R50" s="7"/>
      <c r="S50" s="7"/>
    </row>
    <row r="51" spans="15:19">
      <c r="O51" s="7"/>
      <c r="P51" s="7"/>
    </row>
    <row r="52" spans="15:19">
      <c r="O52" s="7"/>
      <c r="P52" s="7"/>
    </row>
  </sheetData>
  <mergeCells count="11">
    <mergeCell ref="Q2:U2"/>
    <mergeCell ref="A9:A10"/>
    <mergeCell ref="A11:A12"/>
    <mergeCell ref="A13:A14"/>
    <mergeCell ref="A22:A24"/>
    <mergeCell ref="B18:B20"/>
    <mergeCell ref="G2:I2"/>
    <mergeCell ref="J2:L2"/>
    <mergeCell ref="N2:O2"/>
    <mergeCell ref="C23:C24"/>
    <mergeCell ref="D23:D24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2:H28"/>
  <sheetViews>
    <sheetView zoomScaleNormal="100" zoomScaleSheetLayoutView="75" workbookViewId="0">
      <selection activeCell="B26" sqref="B26"/>
    </sheetView>
  </sheetViews>
  <sheetFormatPr defaultColWidth="9" defaultRowHeight="14.25"/>
  <cols>
    <col min="2" max="2" width="54.75" bestFit="1" customWidth="1"/>
    <col min="3" max="3" width="12.875" bestFit="1" customWidth="1"/>
    <col min="5" max="5" width="6.375" customWidth="1"/>
    <col min="6" max="6" width="9.25" customWidth="1"/>
    <col min="7" max="7" width="9.125" bestFit="1" customWidth="1"/>
    <col min="8" max="8" width="14.125" bestFit="1" customWidth="1"/>
  </cols>
  <sheetData>
    <row r="2" spans="2:8">
      <c r="B2" s="1" t="s">
        <v>135</v>
      </c>
    </row>
    <row r="4" spans="2:8">
      <c r="B4" t="s">
        <v>170</v>
      </c>
      <c r="C4">
        <v>500</v>
      </c>
      <c r="E4" t="s">
        <v>28</v>
      </c>
      <c r="F4" s="15">
        <v>22</v>
      </c>
      <c r="G4" s="15">
        <v>0</v>
      </c>
      <c r="H4">
        <v>3.3342999503020398</v>
      </c>
    </row>
    <row r="5" spans="2:8">
      <c r="B5" t="s">
        <v>172</v>
      </c>
      <c r="C5">
        <f>INDEX(G4:H28,MATCH(F4,G4:G28,0),2)</f>
        <v>30.893332021598599</v>
      </c>
      <c r="G5" s="15">
        <v>1</v>
      </c>
      <c r="H5">
        <v>-10.271498329457399</v>
      </c>
    </row>
    <row r="6" spans="2:8">
      <c r="B6" t="s">
        <v>14</v>
      </c>
      <c r="C6">
        <v>398600</v>
      </c>
      <c r="G6" s="15">
        <v>2</v>
      </c>
      <c r="H6">
        <v>-23.528290252111699</v>
      </c>
    </row>
    <row r="7" spans="2:8">
      <c r="B7" t="s">
        <v>133</v>
      </c>
      <c r="C7">
        <v>6378.14</v>
      </c>
      <c r="G7" s="15">
        <v>3</v>
      </c>
      <c r="H7">
        <v>-36.118151262630199</v>
      </c>
    </row>
    <row r="8" spans="2:8">
      <c r="B8" t="s">
        <v>160</v>
      </c>
      <c r="C8">
        <f>2*PI()*SQRT(($C$7+$C$4)^3/$C$6)</f>
        <v>5676.9848887954295</v>
      </c>
      <c r="G8" s="15">
        <v>4</v>
      </c>
      <c r="H8">
        <v>-47.400155406867697</v>
      </c>
    </row>
    <row r="9" spans="2:8">
      <c r="G9" s="15">
        <v>5</v>
      </c>
      <c r="H9">
        <v>-56.011313651595202</v>
      </c>
    </row>
    <row r="10" spans="2:8">
      <c r="B10" t="s">
        <v>173</v>
      </c>
      <c r="C10">
        <f>IF(C5&lt;ASIN(C7/(C7+C4))*180/PI(),(360-2*ASIN((((1/COS(C5*PI()/180))^2)*(((C7/(C7+C4))^2-(SIN(C5*PI()/180))^2)))^0.5)*180/PI())/360*C8,C8)</f>
        <v>3654.1161779686181</v>
      </c>
      <c r="G10" s="15">
        <v>6</v>
      </c>
      <c r="H10">
        <v>-59.571099866250798</v>
      </c>
    </row>
    <row r="11" spans="2:8">
      <c r="B11" t="s">
        <v>169</v>
      </c>
      <c r="C11">
        <f>C8-C10</f>
        <v>2022.8687108268114</v>
      </c>
      <c r="G11" s="15">
        <v>7</v>
      </c>
      <c r="H11">
        <v>-56.426129695037702</v>
      </c>
    </row>
    <row r="12" spans="2:8">
      <c r="B12" t="s">
        <v>134</v>
      </c>
      <c r="C12">
        <f>90</f>
        <v>90</v>
      </c>
      <c r="G12" s="15">
        <v>8</v>
      </c>
      <c r="H12">
        <v>-48.062620260921399</v>
      </c>
    </row>
    <row r="13" spans="2:8">
      <c r="G13" s="15">
        <v>9</v>
      </c>
      <c r="H13">
        <v>-36.902155799572</v>
      </c>
    </row>
    <row r="14" spans="2:8">
      <c r="B14" t="s">
        <v>168</v>
      </c>
      <c r="C14">
        <v>0.2</v>
      </c>
      <c r="G14" s="15">
        <v>10</v>
      </c>
      <c r="H14">
        <v>-24.37277069061</v>
      </c>
    </row>
    <row r="15" spans="2:8">
      <c r="B15" t="s">
        <v>157</v>
      </c>
      <c r="C15">
        <v>0.9</v>
      </c>
      <c r="G15" s="15">
        <v>11</v>
      </c>
      <c r="H15">
        <v>-11.147552962117</v>
      </c>
    </row>
    <row r="16" spans="2:8">
      <c r="B16" t="s">
        <v>182</v>
      </c>
      <c r="C16">
        <v>0.4</v>
      </c>
      <c r="G16" s="15">
        <v>12</v>
      </c>
      <c r="H16">
        <v>2.4420052163108199</v>
      </c>
    </row>
    <row r="17" spans="7:8">
      <c r="G17" s="15">
        <v>13</v>
      </c>
      <c r="H17">
        <v>16.205456724665702</v>
      </c>
    </row>
    <row r="18" spans="7:8">
      <c r="G18" s="15">
        <v>14</v>
      </c>
      <c r="H18">
        <v>29.998122792946798</v>
      </c>
    </row>
    <row r="19" spans="7:8">
      <c r="G19" s="15">
        <v>15</v>
      </c>
      <c r="H19">
        <v>43.647692426302797</v>
      </c>
    </row>
    <row r="20" spans="7:8">
      <c r="G20" s="15">
        <v>16</v>
      </c>
      <c r="H20">
        <v>56.810926741248501</v>
      </c>
    </row>
    <row r="21" spans="7:8">
      <c r="G21" s="15">
        <v>17</v>
      </c>
      <c r="H21">
        <v>68.422001172795902</v>
      </c>
    </row>
    <row r="22" spans="7:8">
      <c r="G22" s="15">
        <v>18</v>
      </c>
      <c r="H22">
        <v>74.371379328089901</v>
      </c>
    </row>
    <row r="23" spans="7:8">
      <c r="G23" s="15">
        <v>19</v>
      </c>
      <c r="H23">
        <v>69.058097270869794</v>
      </c>
    </row>
    <row r="24" spans="7:8">
      <c r="G24" s="15">
        <v>20</v>
      </c>
      <c r="H24">
        <v>57.633973354615897</v>
      </c>
    </row>
    <row r="25" spans="7:8">
      <c r="G25" s="15">
        <v>21</v>
      </c>
      <c r="H25">
        <v>44.524976015620197</v>
      </c>
    </row>
    <row r="26" spans="7:8">
      <c r="G26" s="15">
        <v>22</v>
      </c>
      <c r="H26">
        <v>30.893332021598599</v>
      </c>
    </row>
    <row r="27" spans="7:8">
      <c r="G27" s="15">
        <v>23</v>
      </c>
      <c r="H27">
        <v>17.103944718787101</v>
      </c>
    </row>
    <row r="28" spans="7:8">
      <c r="G28" s="15">
        <v>24</v>
      </c>
      <c r="H28">
        <v>3.3342999503020398</v>
      </c>
    </row>
  </sheetData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0"/>
  <sheetViews>
    <sheetView zoomScale="145" zoomScaleNormal="145" zoomScaleSheetLayoutView="75" workbookViewId="0">
      <selection activeCell="A6" sqref="A6:C6"/>
    </sheetView>
  </sheetViews>
  <sheetFormatPr defaultColWidth="9" defaultRowHeight="14.25"/>
  <cols>
    <col min="3" max="3" width="33.375" customWidth="1"/>
  </cols>
  <sheetData>
    <row r="1" spans="1:9">
      <c r="A1" s="374" t="s">
        <v>95</v>
      </c>
      <c r="B1" s="375"/>
      <c r="C1" s="376"/>
      <c r="D1" s="20"/>
      <c r="E1" s="6" t="e">
        <f>Detumbling!#REF!-Detumbling!#REF!</f>
        <v>#REF!</v>
      </c>
      <c r="F1" s="6"/>
      <c r="G1" s="6"/>
      <c r="H1" s="5" t="s">
        <v>129</v>
      </c>
      <c r="I1" s="1"/>
    </row>
    <row r="2" spans="1:9">
      <c r="A2" s="374" t="s">
        <v>161</v>
      </c>
      <c r="B2" s="375"/>
      <c r="C2" s="376"/>
      <c r="D2" s="20"/>
      <c r="E2" s="6" t="e">
        <f>E1/40*100</f>
        <v>#REF!</v>
      </c>
      <c r="F2" s="6"/>
      <c r="G2" s="6"/>
      <c r="H2" s="5" t="s">
        <v>110</v>
      </c>
      <c r="I2" s="1"/>
    </row>
    <row r="3" spans="1:9">
      <c r="A3" s="374" t="s">
        <v>97</v>
      </c>
      <c r="B3" s="375"/>
      <c r="C3" s="376"/>
      <c r="D3" s="20"/>
      <c r="E3" s="6" t="e">
        <f>100/E2</f>
        <v>#REF!</v>
      </c>
      <c r="F3" s="6"/>
      <c r="G3" s="6"/>
      <c r="H3" s="5" t="s">
        <v>112</v>
      </c>
      <c r="I3" s="1"/>
    </row>
    <row r="4" spans="1:9">
      <c r="A4" s="374" t="s">
        <v>12</v>
      </c>
      <c r="B4" s="375"/>
      <c r="C4" s="376"/>
      <c r="D4" s="20"/>
      <c r="E4" s="6" t="e">
        <f>IF(E2*6&gt;100,100,E2*6)</f>
        <v>#REF!</v>
      </c>
      <c r="F4" s="6"/>
      <c r="G4" s="6"/>
      <c r="H4" s="5" t="s">
        <v>110</v>
      </c>
      <c r="I4" s="1"/>
    </row>
    <row r="5" spans="1:9">
      <c r="A5" s="374" t="s">
        <v>7</v>
      </c>
      <c r="B5" s="375"/>
      <c r="C5" s="376"/>
      <c r="D5" s="20"/>
      <c r="E5" s="6"/>
      <c r="F5" s="6" t="e">
        <f>40*$E$4/100-Detumbling!#REF!</f>
        <v>#REF!</v>
      </c>
      <c r="G5" s="6" t="e">
        <f>40*$E$4/100-Detumbling!#REF!</f>
        <v>#REF!</v>
      </c>
      <c r="H5" s="5" t="s">
        <v>129</v>
      </c>
      <c r="I5" s="1"/>
    </row>
    <row r="6" spans="1:9">
      <c r="A6" s="374" t="s">
        <v>13</v>
      </c>
      <c r="B6" s="375"/>
      <c r="C6" s="376"/>
      <c r="D6" s="20"/>
      <c r="E6" s="6"/>
      <c r="F6" s="6" t="e">
        <f>F5/40*100</f>
        <v>#REF!</v>
      </c>
      <c r="G6" s="6" t="e">
        <f>G5/40*100</f>
        <v>#REF!</v>
      </c>
      <c r="H6" s="5" t="s">
        <v>110</v>
      </c>
      <c r="I6" s="3" t="s">
        <v>89</v>
      </c>
    </row>
    <row r="7" spans="1:9">
      <c r="A7" s="374" t="s">
        <v>8</v>
      </c>
      <c r="B7" s="375"/>
      <c r="C7" s="376"/>
      <c r="D7" s="20"/>
      <c r="E7" s="6"/>
      <c r="F7" s="6" t="e">
        <f>F5/40*100-40</f>
        <v>#REF!</v>
      </c>
      <c r="G7" s="6" t="e">
        <f>G5/40*100-40</f>
        <v>#REF!</v>
      </c>
      <c r="H7" s="5" t="s">
        <v>110</v>
      </c>
      <c r="I7" s="3" t="s">
        <v>89</v>
      </c>
    </row>
    <row r="8" spans="1:9">
      <c r="A8" s="13" t="s">
        <v>153</v>
      </c>
      <c r="B8" s="9"/>
      <c r="C8" s="8" t="s">
        <v>39</v>
      </c>
      <c r="D8" s="8"/>
      <c r="E8" s="4" t="e">
        <f>(Detumbling!#REF!+Detumbling!#REF!+Detumbling!#REF!+Detumbling!#REF!+Detumbling!#REF!+Detumbling!#REF!+Detumbling!#REF!+Detumbling!#REF!+Detumbling!#REF!+Detumbling!#REF!+Detumbling!#REF!+Detumbling!#REF!)/3.3</f>
        <v>#REF!</v>
      </c>
      <c r="F8" s="4" t="e">
        <f>(Detumbling!#REF!+Detumbling!#REF!+Detumbling!#REF!+Detumbling!#REF!+Detumbling!#REF!+Detumbling!#REF!+Detumbling!#REF!+Detumbling!#REF!+Detumbling!#REF!+Detumbling!#REF!+Detumbling!#REF!+Detumbling!#REF!)/3.3</f>
        <v>#REF!</v>
      </c>
      <c r="G8" s="4" t="e">
        <f>(Detumbling!#REF!+Detumbling!#REF!+Detumbling!#REF!+Detumbling!#REF!+Detumbling!#REF!+Detumbling!#REF!+Detumbling!#REF!+Detumbling!#REF!+Detumbling!#REF!+Detumbling!#REF!+Detumbling!#REF!+Detumbling!#REF!)/3.3</f>
        <v>#REF!</v>
      </c>
      <c r="H8" s="5"/>
      <c r="I8" s="3" t="s">
        <v>50</v>
      </c>
    </row>
    <row r="9" spans="1:9">
      <c r="A9" s="11"/>
      <c r="B9" s="10"/>
      <c r="C9" s="8" t="s">
        <v>45</v>
      </c>
      <c r="D9" s="8"/>
      <c r="E9" s="4" t="e">
        <f>(Detumbling!#REF!+Detumbling!#REF!+Detumbling!#REF!+Detumbling!#REF!+Detumbling!#REF!)/5</f>
        <v>#REF!</v>
      </c>
      <c r="F9" s="4" t="e">
        <f>(Detumbling!#REF!+Detumbling!#REF!+Detumbling!#REF!+Detumbling!#REF!+Detumbling!#REF!)/5</f>
        <v>#REF!</v>
      </c>
      <c r="G9" s="4" t="e">
        <f>(Detumbling!#REF!+Detumbling!#REF!+Detumbling!#REF!+Detumbling!#REF!+Detumbling!#REF!)/5</f>
        <v>#REF!</v>
      </c>
      <c r="H9" s="5"/>
      <c r="I9" s="3" t="s">
        <v>50</v>
      </c>
    </row>
    <row r="10" spans="1:9">
      <c r="A10" s="12"/>
      <c r="B10" s="14"/>
      <c r="C10" s="8" t="s">
        <v>57</v>
      </c>
      <c r="D10" s="8"/>
      <c r="E10" s="4" t="e">
        <f>(Detumbling!#REF!+Detumbling!#REF!+Detumbling!#REF!)/8.26</f>
        <v>#REF!</v>
      </c>
      <c r="F10" s="4" t="e">
        <f>(Detumbling!#REF!+Detumbling!#REF!+Detumbling!#REF!)/8.26</f>
        <v>#REF!</v>
      </c>
      <c r="G10" s="4" t="e">
        <f>(Detumbling!#REF!+Detumbling!#REF!+Detumbling!#REF!)/8.26</f>
        <v>#REF!</v>
      </c>
      <c r="H10" s="5"/>
      <c r="I10" s="3" t="s">
        <v>54</v>
      </c>
    </row>
  </sheetData>
  <mergeCells count="7">
    <mergeCell ref="A5:C5"/>
    <mergeCell ref="A7:C7"/>
    <mergeCell ref="A1:C1"/>
    <mergeCell ref="A2:C2"/>
    <mergeCell ref="A3:C3"/>
    <mergeCell ref="A4:C4"/>
    <mergeCell ref="A6:C6"/>
  </mergeCells>
  <phoneticPr fontId="9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6"/>
  <sheetViews>
    <sheetView topLeftCell="A18" zoomScaleNormal="100" zoomScaleSheetLayoutView="75" workbookViewId="0">
      <selection activeCell="A60" sqref="A60"/>
    </sheetView>
  </sheetViews>
  <sheetFormatPr defaultColWidth="9" defaultRowHeight="14.25"/>
  <cols>
    <col min="1" max="1" width="23.5" customWidth="1"/>
    <col min="2" max="2" width="12.5" customWidth="1"/>
    <col min="3" max="16" width="13.75" customWidth="1"/>
  </cols>
  <sheetData>
    <row r="1" spans="1:16" ht="16.5">
      <c r="A1" s="312"/>
      <c r="B1" s="313" t="s">
        <v>113</v>
      </c>
      <c r="C1" s="313" t="s">
        <v>127</v>
      </c>
      <c r="D1" s="313" t="s">
        <v>121</v>
      </c>
      <c r="E1" s="313" t="s">
        <v>118</v>
      </c>
      <c r="F1" s="313" t="s">
        <v>120</v>
      </c>
      <c r="G1" s="313" t="s">
        <v>109</v>
      </c>
      <c r="H1" s="313" t="s">
        <v>116</v>
      </c>
      <c r="I1" s="313" t="s">
        <v>125</v>
      </c>
      <c r="J1" s="313" t="s">
        <v>122</v>
      </c>
      <c r="K1" s="313" t="s">
        <v>60</v>
      </c>
      <c r="L1" s="313" t="s">
        <v>83</v>
      </c>
      <c r="M1" s="313" t="s">
        <v>35</v>
      </c>
      <c r="N1" s="313" t="s">
        <v>78</v>
      </c>
      <c r="O1" s="313" t="s">
        <v>79</v>
      </c>
      <c r="P1" s="314" t="s">
        <v>87</v>
      </c>
    </row>
    <row r="2" spans="1:16" ht="16.5">
      <c r="A2" s="315"/>
      <c r="B2" s="27" t="s">
        <v>96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316"/>
    </row>
    <row r="3" spans="1:16">
      <c r="A3" s="315"/>
      <c r="B3" s="377" t="s">
        <v>92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316"/>
    </row>
    <row r="4" spans="1:16">
      <c r="A4" s="315"/>
      <c r="B4" s="378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316"/>
    </row>
    <row r="5" spans="1:16" ht="16.5">
      <c r="A5" s="317" t="s">
        <v>105</v>
      </c>
      <c r="B5" s="30" t="s">
        <v>132</v>
      </c>
      <c r="C5" s="31" t="s">
        <v>3</v>
      </c>
      <c r="D5" s="30" t="s">
        <v>183</v>
      </c>
      <c r="E5" s="30" t="s">
        <v>184</v>
      </c>
      <c r="F5" s="30" t="s">
        <v>185</v>
      </c>
      <c r="G5" s="30" t="s">
        <v>186</v>
      </c>
      <c r="H5" s="30" t="s">
        <v>189</v>
      </c>
      <c r="I5" s="30" t="s">
        <v>187</v>
      </c>
      <c r="J5" s="30" t="s">
        <v>188</v>
      </c>
      <c r="K5" s="30" t="s">
        <v>190</v>
      </c>
      <c r="L5" s="30" t="s">
        <v>191</v>
      </c>
      <c r="M5" s="30" t="s">
        <v>194</v>
      </c>
      <c r="N5" s="30" t="s">
        <v>192</v>
      </c>
      <c r="O5" s="30" t="s">
        <v>193</v>
      </c>
      <c r="P5" s="318" t="s">
        <v>195</v>
      </c>
    </row>
    <row r="6" spans="1:16" ht="16.5">
      <c r="A6" s="319"/>
      <c r="B6" s="379" t="s">
        <v>38</v>
      </c>
      <c r="C6" s="36" t="s">
        <v>81</v>
      </c>
      <c r="D6" s="383" t="s">
        <v>55</v>
      </c>
      <c r="E6" s="383" t="s">
        <v>34</v>
      </c>
      <c r="F6" s="383" t="s">
        <v>38</v>
      </c>
      <c r="G6" s="383" t="s">
        <v>30</v>
      </c>
      <c r="H6" s="383" t="s">
        <v>34</v>
      </c>
      <c r="I6" s="383" t="s">
        <v>51</v>
      </c>
      <c r="J6" s="383" t="s">
        <v>59</v>
      </c>
      <c r="K6" s="387" t="s">
        <v>51</v>
      </c>
      <c r="L6" s="387" t="s">
        <v>32</v>
      </c>
      <c r="M6" s="387" t="s">
        <v>34</v>
      </c>
      <c r="N6" s="387" t="s">
        <v>30</v>
      </c>
      <c r="O6" s="387" t="s">
        <v>55</v>
      </c>
      <c r="P6" s="387" t="s">
        <v>51</v>
      </c>
    </row>
    <row r="7" spans="1:16" ht="16.5">
      <c r="A7" s="319" t="s">
        <v>162</v>
      </c>
      <c r="B7" s="380"/>
      <c r="C7" s="35" t="s">
        <v>139</v>
      </c>
      <c r="D7" s="384"/>
      <c r="E7" s="384"/>
      <c r="F7" s="384"/>
      <c r="G7" s="384"/>
      <c r="H7" s="384"/>
      <c r="I7" s="384"/>
      <c r="J7" s="384"/>
      <c r="K7" s="388"/>
      <c r="L7" s="388"/>
      <c r="M7" s="388"/>
      <c r="N7" s="388"/>
      <c r="O7" s="388"/>
      <c r="P7" s="388"/>
    </row>
    <row r="8" spans="1:16" ht="16.5">
      <c r="A8" s="319"/>
      <c r="B8" s="380"/>
      <c r="C8" s="29" t="s">
        <v>43</v>
      </c>
      <c r="D8" s="384"/>
      <c r="E8" s="384"/>
      <c r="F8" s="384"/>
      <c r="G8" s="384"/>
      <c r="H8" s="384"/>
      <c r="I8" s="384"/>
      <c r="J8" s="384"/>
      <c r="K8" s="388"/>
      <c r="L8" s="388"/>
      <c r="M8" s="388"/>
      <c r="N8" s="388"/>
      <c r="O8" s="388"/>
      <c r="P8" s="388"/>
    </row>
    <row r="9" spans="1:16" ht="16.5">
      <c r="A9" s="319" t="s">
        <v>103</v>
      </c>
      <c r="B9" s="380"/>
      <c r="C9" s="32" t="s">
        <v>141</v>
      </c>
      <c r="D9" s="384"/>
      <c r="E9" s="384"/>
      <c r="F9" s="384"/>
      <c r="G9" s="384"/>
      <c r="H9" s="384"/>
      <c r="I9" s="384"/>
      <c r="J9" s="384"/>
      <c r="K9" s="388"/>
      <c r="L9" s="388"/>
      <c r="M9" s="388"/>
      <c r="N9" s="388"/>
      <c r="O9" s="388"/>
      <c r="P9" s="388"/>
    </row>
    <row r="10" spans="1:16" ht="16.5">
      <c r="A10" s="319"/>
      <c r="B10" s="381"/>
      <c r="C10" s="36" t="s">
        <v>72</v>
      </c>
      <c r="D10" s="385"/>
      <c r="E10" s="385"/>
      <c r="F10" s="385"/>
      <c r="G10" s="385"/>
      <c r="H10" s="385"/>
      <c r="I10" s="385"/>
      <c r="J10" s="385"/>
      <c r="K10" s="389"/>
      <c r="L10" s="389"/>
      <c r="M10" s="389"/>
      <c r="N10" s="389"/>
      <c r="O10" s="389"/>
      <c r="P10" s="389"/>
    </row>
    <row r="11" spans="1:16" ht="16.5">
      <c r="A11" s="320" t="s">
        <v>152</v>
      </c>
      <c r="B11" s="33" t="s">
        <v>137</v>
      </c>
      <c r="C11" s="33" t="s">
        <v>178</v>
      </c>
      <c r="D11" s="34" t="s">
        <v>196</v>
      </c>
      <c r="E11" s="34" t="s">
        <v>198</v>
      </c>
      <c r="F11" s="34" t="s">
        <v>199</v>
      </c>
      <c r="G11" s="34" t="s">
        <v>200</v>
      </c>
      <c r="H11" s="34" t="s">
        <v>207</v>
      </c>
      <c r="I11" s="34" t="s">
        <v>201</v>
      </c>
      <c r="J11" s="34" t="s">
        <v>197</v>
      </c>
      <c r="K11" s="34" t="s">
        <v>202</v>
      </c>
      <c r="L11" s="34" t="s">
        <v>208</v>
      </c>
      <c r="M11" s="34" t="s">
        <v>205</v>
      </c>
      <c r="N11" s="34" t="s">
        <v>203</v>
      </c>
      <c r="O11" s="34" t="s">
        <v>206</v>
      </c>
      <c r="P11" s="321" t="s">
        <v>204</v>
      </c>
    </row>
    <row r="12" spans="1:16" ht="16.5">
      <c r="A12" s="320"/>
      <c r="B12" s="382" t="s">
        <v>85</v>
      </c>
      <c r="C12" s="382" t="s">
        <v>49</v>
      </c>
      <c r="D12" s="377" t="s">
        <v>85</v>
      </c>
      <c r="E12" s="377" t="s">
        <v>58</v>
      </c>
      <c r="F12" s="377" t="s">
        <v>85</v>
      </c>
      <c r="G12" s="377" t="s">
        <v>46</v>
      </c>
      <c r="H12" s="377" t="s">
        <v>63</v>
      </c>
      <c r="I12" s="28" t="s">
        <v>29</v>
      </c>
      <c r="J12" s="377" t="s">
        <v>63</v>
      </c>
      <c r="K12" s="386" t="s">
        <v>46</v>
      </c>
      <c r="L12" s="386" t="s">
        <v>86</v>
      </c>
      <c r="M12" s="386" t="s">
        <v>31</v>
      </c>
      <c r="N12" s="386" t="s">
        <v>46</v>
      </c>
      <c r="O12" s="386" t="s">
        <v>46</v>
      </c>
      <c r="P12" s="390" t="s">
        <v>33</v>
      </c>
    </row>
    <row r="13" spans="1:16" ht="16.5">
      <c r="A13" s="320" t="s">
        <v>144</v>
      </c>
      <c r="B13" s="382"/>
      <c r="C13" s="382"/>
      <c r="D13" s="377"/>
      <c r="E13" s="377"/>
      <c r="F13" s="377"/>
      <c r="G13" s="377"/>
      <c r="H13" s="377"/>
      <c r="I13" s="27" t="s">
        <v>209</v>
      </c>
      <c r="J13" s="377"/>
      <c r="K13" s="386"/>
      <c r="L13" s="386"/>
      <c r="M13" s="386"/>
      <c r="N13" s="386"/>
      <c r="O13" s="386"/>
      <c r="P13" s="390"/>
    </row>
    <row r="14" spans="1:16" ht="16.5">
      <c r="A14" s="320"/>
      <c r="B14" s="382"/>
      <c r="C14" s="382"/>
      <c r="D14" s="377"/>
      <c r="E14" s="377"/>
      <c r="F14" s="377"/>
      <c r="G14" s="377"/>
      <c r="H14" s="377"/>
      <c r="I14" s="28" t="s">
        <v>69</v>
      </c>
      <c r="J14" s="377"/>
      <c r="K14" s="386"/>
      <c r="L14" s="386"/>
      <c r="M14" s="386"/>
      <c r="N14" s="386"/>
      <c r="O14" s="386"/>
      <c r="P14" s="322" t="s">
        <v>210</v>
      </c>
    </row>
    <row r="15" spans="1:16" ht="16.5">
      <c r="A15" s="320" t="s">
        <v>5</v>
      </c>
      <c r="B15" s="382"/>
      <c r="C15" s="382"/>
      <c r="D15" s="377"/>
      <c r="E15" s="377"/>
      <c r="F15" s="377"/>
      <c r="G15" s="377"/>
      <c r="H15" s="377"/>
      <c r="I15" s="27" t="s">
        <v>211</v>
      </c>
      <c r="J15" s="377"/>
      <c r="K15" s="386"/>
      <c r="L15" s="386"/>
      <c r="M15" s="386"/>
      <c r="N15" s="386"/>
      <c r="O15" s="386"/>
      <c r="P15" s="323"/>
    </row>
    <row r="16" spans="1:16" ht="16.5">
      <c r="A16" s="320"/>
      <c r="B16" s="382"/>
      <c r="C16" s="382"/>
      <c r="D16" s="377"/>
      <c r="E16" s="377"/>
      <c r="F16" s="377"/>
      <c r="G16" s="377"/>
      <c r="H16" s="377"/>
      <c r="I16" s="28" t="s">
        <v>80</v>
      </c>
      <c r="J16" s="377"/>
      <c r="K16" s="386"/>
      <c r="L16" s="386"/>
      <c r="M16" s="386"/>
      <c r="N16" s="386"/>
      <c r="O16" s="386"/>
      <c r="P16" s="323"/>
    </row>
    <row r="17" spans="1:16" ht="16.5">
      <c r="A17" s="320" t="s">
        <v>37</v>
      </c>
      <c r="B17" s="26" t="s">
        <v>143</v>
      </c>
      <c r="C17" s="26" t="s">
        <v>180</v>
      </c>
      <c r="D17" s="27" t="s">
        <v>216</v>
      </c>
      <c r="E17" s="27" t="s">
        <v>214</v>
      </c>
      <c r="F17" s="27" t="s">
        <v>222</v>
      </c>
      <c r="G17" s="27" t="s">
        <v>220</v>
      </c>
      <c r="H17" s="27" t="s">
        <v>221</v>
      </c>
      <c r="I17" s="27" t="s">
        <v>223</v>
      </c>
      <c r="J17" s="27" t="s">
        <v>213</v>
      </c>
      <c r="K17" s="27" t="s">
        <v>217</v>
      </c>
      <c r="L17" s="27" t="s">
        <v>219</v>
      </c>
      <c r="M17" s="27" t="s">
        <v>212</v>
      </c>
      <c r="N17" s="27" t="s">
        <v>215</v>
      </c>
      <c r="O17" s="27" t="s">
        <v>218</v>
      </c>
      <c r="P17" s="323"/>
    </row>
    <row r="18" spans="1:16" ht="16.5">
      <c r="A18" s="324" t="s">
        <v>175</v>
      </c>
      <c r="B18" s="310" t="s">
        <v>146</v>
      </c>
      <c r="C18" s="310">
        <v>5674</v>
      </c>
      <c r="D18" s="310">
        <v>5667</v>
      </c>
      <c r="E18" s="310">
        <v>5659</v>
      </c>
      <c r="F18" s="310">
        <v>5668</v>
      </c>
      <c r="G18" s="310">
        <v>5668</v>
      </c>
      <c r="H18" s="310">
        <v>5667</v>
      </c>
      <c r="I18" s="310">
        <v>5667</v>
      </c>
      <c r="J18" s="310">
        <v>5664</v>
      </c>
      <c r="K18" s="310">
        <v>5664</v>
      </c>
      <c r="L18" s="310">
        <v>5675</v>
      </c>
      <c r="M18" s="310">
        <v>5665</v>
      </c>
      <c r="N18" s="310">
        <v>5668</v>
      </c>
      <c r="O18" s="310">
        <v>5667</v>
      </c>
      <c r="P18" s="325">
        <v>5620</v>
      </c>
    </row>
    <row r="19" spans="1:16" ht="16.5">
      <c r="A19" s="324" t="s">
        <v>156</v>
      </c>
      <c r="B19" s="310">
        <v>23.041</v>
      </c>
      <c r="C19" s="310">
        <v>18.747</v>
      </c>
      <c r="D19" s="310">
        <v>23.041</v>
      </c>
      <c r="E19" s="310">
        <v>23.041</v>
      </c>
      <c r="F19" s="310">
        <v>23.041</v>
      </c>
      <c r="G19" s="310">
        <v>23.041</v>
      </c>
      <c r="H19" s="310">
        <v>23.041</v>
      </c>
      <c r="I19" s="310">
        <v>23.041</v>
      </c>
      <c r="J19" s="310">
        <v>23.041</v>
      </c>
      <c r="K19" s="310">
        <v>23.041</v>
      </c>
      <c r="L19" s="310">
        <v>23.041</v>
      </c>
      <c r="M19" s="310">
        <v>23.041</v>
      </c>
      <c r="N19" s="310">
        <v>23.041</v>
      </c>
      <c r="O19" s="310">
        <v>23.041</v>
      </c>
      <c r="P19" s="325">
        <v>23.041</v>
      </c>
    </row>
    <row r="20" spans="1:16" ht="16.5">
      <c r="A20" s="324" t="s">
        <v>159</v>
      </c>
      <c r="B20" s="310">
        <v>6.5960000000000001</v>
      </c>
      <c r="C20" s="310">
        <v>9.4499999999999993</v>
      </c>
      <c r="D20" s="310">
        <v>6.5960000000000001</v>
      </c>
      <c r="E20" s="310">
        <v>6.5960000000000001</v>
      </c>
      <c r="F20" s="310">
        <v>6.5960000000000001</v>
      </c>
      <c r="G20" s="310">
        <v>6.5960000000000001</v>
      </c>
      <c r="H20" s="310">
        <v>6.5960000000000001</v>
      </c>
      <c r="I20" s="310">
        <v>9.2439999999999998</v>
      </c>
      <c r="J20" s="310">
        <v>6.5960000000000001</v>
      </c>
      <c r="K20" s="310">
        <v>6.5960000000000001</v>
      </c>
      <c r="L20" s="310">
        <v>6.5960000000000001</v>
      </c>
      <c r="M20" s="310">
        <v>6.5960000000000001</v>
      </c>
      <c r="N20" s="310">
        <v>6.5960000000000001</v>
      </c>
      <c r="O20" s="310">
        <v>6.5960000000000001</v>
      </c>
      <c r="P20" s="325">
        <v>8.3952000000000009</v>
      </c>
    </row>
    <row r="21" spans="1:16" ht="16.5">
      <c r="A21" s="326" t="s">
        <v>166</v>
      </c>
      <c r="B21" s="327">
        <f>B19-B20</f>
        <v>16.445</v>
      </c>
      <c r="C21" s="327">
        <f t="shared" ref="C21:P21" si="0">C19-C20</f>
        <v>9.2970000000000006</v>
      </c>
      <c r="D21" s="327">
        <f t="shared" si="0"/>
        <v>16.445</v>
      </c>
      <c r="E21" s="327">
        <f t="shared" si="0"/>
        <v>16.445</v>
      </c>
      <c r="F21" s="327">
        <f t="shared" si="0"/>
        <v>16.445</v>
      </c>
      <c r="G21" s="327">
        <f t="shared" si="0"/>
        <v>16.445</v>
      </c>
      <c r="H21" s="327">
        <f t="shared" si="0"/>
        <v>16.445</v>
      </c>
      <c r="I21" s="327">
        <f t="shared" si="0"/>
        <v>13.797000000000001</v>
      </c>
      <c r="J21" s="327">
        <f t="shared" si="0"/>
        <v>16.445</v>
      </c>
      <c r="K21" s="327">
        <f t="shared" si="0"/>
        <v>16.445</v>
      </c>
      <c r="L21" s="327">
        <f t="shared" si="0"/>
        <v>16.445</v>
      </c>
      <c r="M21" s="327">
        <f t="shared" si="0"/>
        <v>16.445</v>
      </c>
      <c r="N21" s="327">
        <f t="shared" si="0"/>
        <v>16.445</v>
      </c>
      <c r="O21" s="327">
        <f t="shared" si="0"/>
        <v>16.445</v>
      </c>
      <c r="P21" s="328">
        <f t="shared" si="0"/>
        <v>14.645799999999999</v>
      </c>
    </row>
    <row r="26" spans="1:16" ht="16.5">
      <c r="A26" s="329"/>
      <c r="B26" s="330" t="s">
        <v>96</v>
      </c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2"/>
    </row>
    <row r="27" spans="1:16">
      <c r="A27" s="315"/>
      <c r="B27" s="377" t="s">
        <v>92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316"/>
    </row>
    <row r="28" spans="1:16">
      <c r="A28" s="315"/>
      <c r="B28" s="378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316"/>
    </row>
    <row r="29" spans="1:16" ht="16.5">
      <c r="A29" s="317" t="s">
        <v>105</v>
      </c>
      <c r="B29" s="30" t="s">
        <v>132</v>
      </c>
      <c r="C29" s="31" t="s">
        <v>3</v>
      </c>
      <c r="D29" s="30" t="s">
        <v>183</v>
      </c>
      <c r="E29" s="30" t="s">
        <v>184</v>
      </c>
      <c r="F29" s="30" t="s">
        <v>185</v>
      </c>
      <c r="G29" s="30" t="s">
        <v>186</v>
      </c>
      <c r="H29" s="30" t="s">
        <v>189</v>
      </c>
      <c r="I29" s="30" t="s">
        <v>187</v>
      </c>
      <c r="J29" s="30" t="s">
        <v>188</v>
      </c>
      <c r="K29" s="30" t="s">
        <v>190</v>
      </c>
      <c r="L29" s="30" t="s">
        <v>191</v>
      </c>
      <c r="M29" s="30" t="s">
        <v>194</v>
      </c>
      <c r="N29" s="30" t="s">
        <v>192</v>
      </c>
      <c r="O29" s="30" t="s">
        <v>193</v>
      </c>
      <c r="P29" s="318" t="s">
        <v>195</v>
      </c>
    </row>
    <row r="30" spans="1:16" ht="16.5">
      <c r="A30" s="319"/>
      <c r="B30" s="379" t="s">
        <v>38</v>
      </c>
      <c r="C30" s="36" t="s">
        <v>81</v>
      </c>
      <c r="D30" s="383" t="s">
        <v>55</v>
      </c>
      <c r="E30" s="383" t="s">
        <v>34</v>
      </c>
      <c r="F30" s="383" t="s">
        <v>38</v>
      </c>
      <c r="G30" s="383" t="s">
        <v>30</v>
      </c>
      <c r="H30" s="383" t="s">
        <v>34</v>
      </c>
      <c r="I30" s="383" t="s">
        <v>51</v>
      </c>
      <c r="J30" s="383" t="s">
        <v>59</v>
      </c>
      <c r="K30" s="387" t="s">
        <v>51</v>
      </c>
      <c r="L30" s="387" t="s">
        <v>32</v>
      </c>
      <c r="M30" s="387" t="s">
        <v>34</v>
      </c>
      <c r="N30" s="387" t="s">
        <v>30</v>
      </c>
      <c r="O30" s="387" t="s">
        <v>55</v>
      </c>
      <c r="P30" s="387" t="s">
        <v>51</v>
      </c>
    </row>
    <row r="31" spans="1:16" ht="16.5">
      <c r="A31" s="319" t="s">
        <v>162</v>
      </c>
      <c r="B31" s="380"/>
      <c r="C31" s="35" t="s">
        <v>139</v>
      </c>
      <c r="D31" s="384"/>
      <c r="E31" s="384"/>
      <c r="F31" s="384"/>
      <c r="G31" s="384"/>
      <c r="H31" s="384"/>
      <c r="I31" s="384"/>
      <c r="J31" s="384"/>
      <c r="K31" s="388"/>
      <c r="L31" s="388"/>
      <c r="M31" s="388"/>
      <c r="N31" s="388"/>
      <c r="O31" s="388"/>
      <c r="P31" s="388"/>
    </row>
    <row r="32" spans="1:16" ht="16.5">
      <c r="A32" s="319"/>
      <c r="B32" s="380"/>
      <c r="C32" s="29" t="s">
        <v>43</v>
      </c>
      <c r="D32" s="384"/>
      <c r="E32" s="384"/>
      <c r="F32" s="384"/>
      <c r="G32" s="384"/>
      <c r="H32" s="384"/>
      <c r="I32" s="384"/>
      <c r="J32" s="384"/>
      <c r="K32" s="388"/>
      <c r="L32" s="388"/>
      <c r="M32" s="388"/>
      <c r="N32" s="388"/>
      <c r="O32" s="388"/>
      <c r="P32" s="388"/>
    </row>
    <row r="33" spans="1:16" ht="16.5">
      <c r="A33" s="319" t="s">
        <v>103</v>
      </c>
      <c r="B33" s="380"/>
      <c r="C33" s="32" t="s">
        <v>141</v>
      </c>
      <c r="D33" s="384"/>
      <c r="E33" s="384"/>
      <c r="F33" s="384"/>
      <c r="G33" s="384"/>
      <c r="H33" s="384"/>
      <c r="I33" s="384"/>
      <c r="J33" s="384"/>
      <c r="K33" s="388"/>
      <c r="L33" s="388"/>
      <c r="M33" s="388"/>
      <c r="N33" s="388"/>
      <c r="O33" s="388"/>
      <c r="P33" s="388"/>
    </row>
    <row r="34" spans="1:16" ht="16.5">
      <c r="A34" s="319"/>
      <c r="B34" s="381"/>
      <c r="C34" s="36" t="s">
        <v>72</v>
      </c>
      <c r="D34" s="385"/>
      <c r="E34" s="385"/>
      <c r="F34" s="385"/>
      <c r="G34" s="385"/>
      <c r="H34" s="385"/>
      <c r="I34" s="385"/>
      <c r="J34" s="385"/>
      <c r="K34" s="389"/>
      <c r="L34" s="389"/>
      <c r="M34" s="389"/>
      <c r="N34" s="389"/>
      <c r="O34" s="389"/>
      <c r="P34" s="389"/>
    </row>
    <row r="35" spans="1:16" ht="16.5">
      <c r="A35" s="320" t="s">
        <v>152</v>
      </c>
      <c r="B35" s="33" t="s">
        <v>137</v>
      </c>
      <c r="C35" s="33" t="s">
        <v>178</v>
      </c>
      <c r="D35" s="34" t="s">
        <v>196</v>
      </c>
      <c r="E35" s="34" t="s">
        <v>198</v>
      </c>
      <c r="F35" s="34" t="s">
        <v>199</v>
      </c>
      <c r="G35" s="34" t="s">
        <v>200</v>
      </c>
      <c r="H35" s="34" t="s">
        <v>207</v>
      </c>
      <c r="I35" s="34" t="s">
        <v>201</v>
      </c>
      <c r="J35" s="34" t="s">
        <v>197</v>
      </c>
      <c r="K35" s="34" t="s">
        <v>202</v>
      </c>
      <c r="L35" s="34" t="s">
        <v>208</v>
      </c>
      <c r="M35" s="34" t="s">
        <v>205</v>
      </c>
      <c r="N35" s="34" t="s">
        <v>203</v>
      </c>
      <c r="O35" s="34" t="s">
        <v>206</v>
      </c>
      <c r="P35" s="321" t="s">
        <v>204</v>
      </c>
    </row>
    <row r="36" spans="1:16" ht="16.5">
      <c r="A36" s="320"/>
      <c r="B36" s="382" t="s">
        <v>85</v>
      </c>
      <c r="C36" s="382" t="s">
        <v>49</v>
      </c>
      <c r="D36" s="377" t="s">
        <v>85</v>
      </c>
      <c r="E36" s="377" t="s">
        <v>58</v>
      </c>
      <c r="F36" s="377" t="s">
        <v>85</v>
      </c>
      <c r="G36" s="377" t="s">
        <v>46</v>
      </c>
      <c r="H36" s="377" t="s">
        <v>63</v>
      </c>
      <c r="I36" s="28" t="s">
        <v>29</v>
      </c>
      <c r="J36" s="377" t="s">
        <v>63</v>
      </c>
      <c r="K36" s="386" t="s">
        <v>46</v>
      </c>
      <c r="L36" s="386" t="s">
        <v>86</v>
      </c>
      <c r="M36" s="386" t="s">
        <v>31</v>
      </c>
      <c r="N36" s="386" t="s">
        <v>46</v>
      </c>
      <c r="O36" s="386" t="s">
        <v>46</v>
      </c>
      <c r="P36" s="390" t="s">
        <v>33</v>
      </c>
    </row>
    <row r="37" spans="1:16" ht="16.5">
      <c r="A37" s="320" t="s">
        <v>144</v>
      </c>
      <c r="B37" s="382"/>
      <c r="C37" s="382"/>
      <c r="D37" s="377"/>
      <c r="E37" s="377"/>
      <c r="F37" s="377"/>
      <c r="G37" s="377"/>
      <c r="H37" s="377"/>
      <c r="I37" s="27" t="s">
        <v>209</v>
      </c>
      <c r="J37" s="377"/>
      <c r="K37" s="386"/>
      <c r="L37" s="386"/>
      <c r="M37" s="386"/>
      <c r="N37" s="386"/>
      <c r="O37" s="386"/>
      <c r="P37" s="390"/>
    </row>
    <row r="38" spans="1:16" ht="16.5">
      <c r="A38" s="320"/>
      <c r="B38" s="382"/>
      <c r="C38" s="382"/>
      <c r="D38" s="377"/>
      <c r="E38" s="377"/>
      <c r="F38" s="377"/>
      <c r="G38" s="377"/>
      <c r="H38" s="377"/>
      <c r="I38" s="28" t="s">
        <v>69</v>
      </c>
      <c r="J38" s="377"/>
      <c r="K38" s="386"/>
      <c r="L38" s="386"/>
      <c r="M38" s="386"/>
      <c r="N38" s="386"/>
      <c r="O38" s="386"/>
      <c r="P38" s="322" t="s">
        <v>210</v>
      </c>
    </row>
    <row r="39" spans="1:16" ht="16.5">
      <c r="A39" s="320" t="s">
        <v>5</v>
      </c>
      <c r="B39" s="382"/>
      <c r="C39" s="382"/>
      <c r="D39" s="377"/>
      <c r="E39" s="377"/>
      <c r="F39" s="377"/>
      <c r="G39" s="377"/>
      <c r="H39" s="377"/>
      <c r="I39" s="27" t="s">
        <v>211</v>
      </c>
      <c r="J39" s="377"/>
      <c r="K39" s="386"/>
      <c r="L39" s="386"/>
      <c r="M39" s="386"/>
      <c r="N39" s="386"/>
      <c r="O39" s="386"/>
      <c r="P39" s="323"/>
    </row>
    <row r="40" spans="1:16" ht="16.5">
      <c r="A40" s="320"/>
      <c r="B40" s="382"/>
      <c r="C40" s="382"/>
      <c r="D40" s="377"/>
      <c r="E40" s="377"/>
      <c r="F40" s="377"/>
      <c r="G40" s="377"/>
      <c r="H40" s="377"/>
      <c r="I40" s="28" t="s">
        <v>80</v>
      </c>
      <c r="J40" s="377"/>
      <c r="K40" s="386"/>
      <c r="L40" s="386"/>
      <c r="M40" s="386"/>
      <c r="N40" s="386"/>
      <c r="O40" s="386"/>
      <c r="P40" s="323"/>
    </row>
    <row r="41" spans="1:16" ht="16.5">
      <c r="A41" s="320" t="s">
        <v>37</v>
      </c>
      <c r="B41" s="26" t="s">
        <v>143</v>
      </c>
      <c r="C41" s="26" t="s">
        <v>180</v>
      </c>
      <c r="D41" s="27" t="s">
        <v>216</v>
      </c>
      <c r="E41" s="27" t="s">
        <v>214</v>
      </c>
      <c r="F41" s="27" t="s">
        <v>222</v>
      </c>
      <c r="G41" s="27" t="s">
        <v>220</v>
      </c>
      <c r="H41" s="27" t="s">
        <v>221</v>
      </c>
      <c r="I41" s="27" t="s">
        <v>223</v>
      </c>
      <c r="J41" s="27" t="s">
        <v>213</v>
      </c>
      <c r="K41" s="27" t="s">
        <v>217</v>
      </c>
      <c r="L41" s="27" t="s">
        <v>219</v>
      </c>
      <c r="M41" s="27" t="s">
        <v>212</v>
      </c>
      <c r="N41" s="27" t="s">
        <v>215</v>
      </c>
      <c r="O41" s="27" t="s">
        <v>218</v>
      </c>
      <c r="P41" s="323"/>
    </row>
    <row r="42" spans="1:16" ht="16.5">
      <c r="A42" s="324" t="s">
        <v>175</v>
      </c>
      <c r="B42" s="310" t="s">
        <v>146</v>
      </c>
      <c r="C42" s="310">
        <v>5674</v>
      </c>
      <c r="D42" s="310">
        <v>5667</v>
      </c>
      <c r="E42" s="310">
        <v>5659</v>
      </c>
      <c r="F42" s="310">
        <v>5668</v>
      </c>
      <c r="G42" s="310">
        <v>5668</v>
      </c>
      <c r="H42" s="310">
        <v>5667</v>
      </c>
      <c r="I42" s="310">
        <v>5667</v>
      </c>
      <c r="J42" s="310">
        <v>5664</v>
      </c>
      <c r="K42" s="310">
        <v>5664</v>
      </c>
      <c r="L42" s="310">
        <v>5675</v>
      </c>
      <c r="M42" s="310">
        <v>5665</v>
      </c>
      <c r="N42" s="310">
        <v>5668</v>
      </c>
      <c r="O42" s="310">
        <v>5667</v>
      </c>
      <c r="P42" s="325">
        <v>5620</v>
      </c>
    </row>
    <row r="43" spans="1:16" ht="16.5">
      <c r="A43" s="324" t="s">
        <v>156</v>
      </c>
      <c r="B43" s="310">
        <v>23.041</v>
      </c>
      <c r="C43" s="310">
        <v>18.747</v>
      </c>
      <c r="D43" s="310">
        <v>23.041</v>
      </c>
      <c r="E43" s="310">
        <v>23.041</v>
      </c>
      <c r="F43" s="310">
        <v>23.041</v>
      </c>
      <c r="G43" s="310">
        <v>23.041</v>
      </c>
      <c r="H43" s="310">
        <v>23.041</v>
      </c>
      <c r="I43" s="310">
        <v>23.041</v>
      </c>
      <c r="J43" s="310">
        <v>23.041</v>
      </c>
      <c r="K43" s="310">
        <v>23.041</v>
      </c>
      <c r="L43" s="310">
        <v>23.041</v>
      </c>
      <c r="M43" s="310">
        <v>23.041</v>
      </c>
      <c r="N43" s="310">
        <v>23.041</v>
      </c>
      <c r="O43" s="310">
        <v>23.041</v>
      </c>
      <c r="P43" s="325">
        <v>23.041</v>
      </c>
    </row>
    <row r="44" spans="1:16" ht="16.5">
      <c r="A44" s="324" t="s">
        <v>159</v>
      </c>
      <c r="B44" s="310">
        <v>6.5960000000000001</v>
      </c>
      <c r="C44" s="310">
        <v>9.4499999999999993</v>
      </c>
      <c r="D44" s="310">
        <v>6.5960000000000001</v>
      </c>
      <c r="E44" s="310">
        <v>6.5960000000000001</v>
      </c>
      <c r="F44" s="310">
        <v>6.5960000000000001</v>
      </c>
      <c r="G44" s="310">
        <v>6.5960000000000001</v>
      </c>
      <c r="H44" s="310">
        <v>6.5960000000000001</v>
      </c>
      <c r="I44" s="310">
        <v>9.2439999999999998</v>
      </c>
      <c r="J44" s="310">
        <v>6.5960000000000001</v>
      </c>
      <c r="K44" s="310">
        <v>6.5960000000000001</v>
      </c>
      <c r="L44" s="310">
        <v>6.5960000000000001</v>
      </c>
      <c r="M44" s="310">
        <v>6.5960000000000001</v>
      </c>
      <c r="N44" s="310">
        <v>6.5960000000000001</v>
      </c>
      <c r="O44" s="310">
        <v>6.5960000000000001</v>
      </c>
      <c r="P44" s="325">
        <v>3.56</v>
      </c>
    </row>
    <row r="45" spans="1:16" ht="16.5">
      <c r="A45" s="326" t="s">
        <v>166</v>
      </c>
      <c r="B45" s="327">
        <f>B43-B44</f>
        <v>16.445</v>
      </c>
      <c r="C45" s="327">
        <f t="shared" ref="C45:P45" si="1">C43-C44</f>
        <v>9.2970000000000006</v>
      </c>
      <c r="D45" s="327">
        <f t="shared" si="1"/>
        <v>16.445</v>
      </c>
      <c r="E45" s="327">
        <f t="shared" si="1"/>
        <v>16.445</v>
      </c>
      <c r="F45" s="327">
        <f t="shared" si="1"/>
        <v>16.445</v>
      </c>
      <c r="G45" s="327">
        <f t="shared" si="1"/>
        <v>16.445</v>
      </c>
      <c r="H45" s="327">
        <f t="shared" si="1"/>
        <v>16.445</v>
      </c>
      <c r="I45" s="327">
        <f t="shared" si="1"/>
        <v>13.797000000000001</v>
      </c>
      <c r="J45" s="327">
        <f t="shared" si="1"/>
        <v>16.445</v>
      </c>
      <c r="K45" s="327">
        <f t="shared" si="1"/>
        <v>16.445</v>
      </c>
      <c r="L45" s="327">
        <f t="shared" si="1"/>
        <v>16.445</v>
      </c>
      <c r="M45" s="327">
        <f t="shared" si="1"/>
        <v>16.445</v>
      </c>
      <c r="N45" s="327">
        <f t="shared" si="1"/>
        <v>16.445</v>
      </c>
      <c r="O45" s="327">
        <f t="shared" si="1"/>
        <v>16.445</v>
      </c>
      <c r="P45" s="328">
        <f t="shared" si="1"/>
        <v>19.481000000000002</v>
      </c>
    </row>
    <row r="47" spans="1:16" ht="16.5">
      <c r="A47" s="335" t="s">
        <v>155</v>
      </c>
      <c r="B47" s="338">
        <f>B43*A48</f>
        <v>20.736900000000002</v>
      </c>
      <c r="C47" s="339">
        <f>C43*A48</f>
        <v>16.872299999999999</v>
      </c>
      <c r="D47" s="339">
        <f>D43*A48</f>
        <v>20.736900000000002</v>
      </c>
      <c r="E47" s="339">
        <f>E43*A48</f>
        <v>20.736900000000002</v>
      </c>
      <c r="F47" s="339">
        <f>F43*A48</f>
        <v>20.736900000000002</v>
      </c>
      <c r="G47" s="339">
        <f>G43*A48</f>
        <v>20.736900000000002</v>
      </c>
      <c r="H47" s="339">
        <f>H43*A48</f>
        <v>20.736900000000002</v>
      </c>
      <c r="I47" s="339">
        <f>I43*A48</f>
        <v>20.736900000000002</v>
      </c>
      <c r="J47" s="339">
        <f>J43*A48</f>
        <v>20.736900000000002</v>
      </c>
      <c r="K47" s="339">
        <f>K43*A48</f>
        <v>20.736900000000002</v>
      </c>
      <c r="L47" s="339">
        <f>L43*A48</f>
        <v>20.736900000000002</v>
      </c>
      <c r="M47" s="339">
        <f>M43*A48</f>
        <v>20.736900000000002</v>
      </c>
      <c r="N47" s="339">
        <f>N43*A48</f>
        <v>20.736900000000002</v>
      </c>
      <c r="O47" s="339">
        <f>O43*A48</f>
        <v>20.736900000000002</v>
      </c>
      <c r="P47" s="344">
        <f>P43*A48</f>
        <v>20.736900000000002</v>
      </c>
    </row>
    <row r="48" spans="1:16" ht="16.5">
      <c r="A48" s="342">
        <v>0.9</v>
      </c>
      <c r="B48" s="340">
        <f t="shared" ref="B48:P48" si="2">B44</f>
        <v>6.5960000000000001</v>
      </c>
      <c r="C48" s="341">
        <f t="shared" si="2"/>
        <v>9.4499999999999993</v>
      </c>
      <c r="D48" s="341">
        <f t="shared" si="2"/>
        <v>6.5960000000000001</v>
      </c>
      <c r="E48" s="341">
        <f t="shared" si="2"/>
        <v>6.5960000000000001</v>
      </c>
      <c r="F48" s="341">
        <f t="shared" si="2"/>
        <v>6.5960000000000001</v>
      </c>
      <c r="G48" s="341">
        <f t="shared" si="2"/>
        <v>6.5960000000000001</v>
      </c>
      <c r="H48" s="341">
        <f t="shared" si="2"/>
        <v>6.5960000000000001</v>
      </c>
      <c r="I48" s="341">
        <f t="shared" si="2"/>
        <v>9.2439999999999998</v>
      </c>
      <c r="J48" s="341">
        <f t="shared" si="2"/>
        <v>6.5960000000000001</v>
      </c>
      <c r="K48" s="341">
        <f t="shared" si="2"/>
        <v>6.5960000000000001</v>
      </c>
      <c r="L48" s="341">
        <f t="shared" si="2"/>
        <v>6.5960000000000001</v>
      </c>
      <c r="M48" s="341">
        <f t="shared" si="2"/>
        <v>6.5960000000000001</v>
      </c>
      <c r="N48" s="341">
        <f t="shared" si="2"/>
        <v>6.5960000000000001</v>
      </c>
      <c r="O48" s="341">
        <f t="shared" si="2"/>
        <v>6.5960000000000001</v>
      </c>
      <c r="P48" s="349">
        <f t="shared" si="2"/>
        <v>3.56</v>
      </c>
    </row>
    <row r="49" spans="1:16" ht="16.5">
      <c r="A49" s="336"/>
      <c r="B49" s="337">
        <f>B47-B48</f>
        <v>14.140900000000002</v>
      </c>
      <c r="C49" s="350">
        <f>C47-C48</f>
        <v>7.4222999999999999</v>
      </c>
      <c r="D49" s="350">
        <f t="shared" ref="D49:P49" si="3">D47-D48</f>
        <v>14.140900000000002</v>
      </c>
      <c r="E49" s="350">
        <f t="shared" si="3"/>
        <v>14.140900000000002</v>
      </c>
      <c r="F49" s="350">
        <f t="shared" si="3"/>
        <v>14.140900000000002</v>
      </c>
      <c r="G49" s="350">
        <f t="shared" si="3"/>
        <v>14.140900000000002</v>
      </c>
      <c r="H49" s="350">
        <f t="shared" si="3"/>
        <v>14.140900000000002</v>
      </c>
      <c r="I49" s="350">
        <f t="shared" si="3"/>
        <v>11.492900000000002</v>
      </c>
      <c r="J49" s="350">
        <f t="shared" si="3"/>
        <v>14.140900000000002</v>
      </c>
      <c r="K49" s="350">
        <f t="shared" si="3"/>
        <v>14.140900000000002</v>
      </c>
      <c r="L49" s="350">
        <f t="shared" si="3"/>
        <v>14.140900000000002</v>
      </c>
      <c r="M49" s="350">
        <f t="shared" si="3"/>
        <v>14.140900000000002</v>
      </c>
      <c r="N49" s="350">
        <f t="shared" si="3"/>
        <v>14.140900000000002</v>
      </c>
      <c r="O49" s="350">
        <f t="shared" si="3"/>
        <v>14.140900000000002</v>
      </c>
      <c r="P49" s="351">
        <f t="shared" si="3"/>
        <v>17.176900000000003</v>
      </c>
    </row>
    <row r="50" spans="1:16" ht="16.5">
      <c r="A50" s="333" t="s">
        <v>155</v>
      </c>
      <c r="B50" s="352">
        <f>B43*A51</f>
        <v>18.4328</v>
      </c>
      <c r="C50" s="353">
        <f>C43*A51</f>
        <v>14.9976</v>
      </c>
      <c r="D50" s="353">
        <f>D43*A51</f>
        <v>18.4328</v>
      </c>
      <c r="E50" s="353">
        <f>E43*A51</f>
        <v>18.4328</v>
      </c>
      <c r="F50" s="353">
        <f>F43*A51</f>
        <v>18.4328</v>
      </c>
      <c r="G50" s="353">
        <f>G43*A51</f>
        <v>18.4328</v>
      </c>
      <c r="H50" s="353">
        <f>H43*A51</f>
        <v>18.4328</v>
      </c>
      <c r="I50" s="353">
        <f>I43*A51</f>
        <v>18.4328</v>
      </c>
      <c r="J50" s="353">
        <f>J43*A51</f>
        <v>18.4328</v>
      </c>
      <c r="K50" s="353">
        <f>K43*A51</f>
        <v>18.4328</v>
      </c>
      <c r="L50" s="353">
        <f>L43*A51</f>
        <v>18.4328</v>
      </c>
      <c r="M50" s="353">
        <f>M43*A51</f>
        <v>18.4328</v>
      </c>
      <c r="N50" s="353">
        <f>N43*A51</f>
        <v>18.4328</v>
      </c>
      <c r="O50" s="353">
        <f>O43*A51</f>
        <v>18.4328</v>
      </c>
      <c r="P50" s="356">
        <f>P43*A51</f>
        <v>18.4328</v>
      </c>
    </row>
    <row r="51" spans="1:16" ht="16.5">
      <c r="A51" s="343">
        <v>0.8</v>
      </c>
      <c r="B51" s="345">
        <f t="shared" ref="B51:P51" si="4">B44</f>
        <v>6.5960000000000001</v>
      </c>
      <c r="C51" s="346">
        <f t="shared" si="4"/>
        <v>9.4499999999999993</v>
      </c>
      <c r="D51" s="346">
        <f t="shared" si="4"/>
        <v>6.5960000000000001</v>
      </c>
      <c r="E51" s="346">
        <f t="shared" si="4"/>
        <v>6.5960000000000001</v>
      </c>
      <c r="F51" s="346">
        <f t="shared" si="4"/>
        <v>6.5960000000000001</v>
      </c>
      <c r="G51" s="346">
        <f t="shared" si="4"/>
        <v>6.5960000000000001</v>
      </c>
      <c r="H51" s="346">
        <f t="shared" si="4"/>
        <v>6.5960000000000001</v>
      </c>
      <c r="I51" s="346">
        <f t="shared" si="4"/>
        <v>9.2439999999999998</v>
      </c>
      <c r="J51" s="346">
        <f t="shared" si="4"/>
        <v>6.5960000000000001</v>
      </c>
      <c r="K51" s="346">
        <f t="shared" si="4"/>
        <v>6.5960000000000001</v>
      </c>
      <c r="L51" s="346">
        <f t="shared" si="4"/>
        <v>6.5960000000000001</v>
      </c>
      <c r="M51" s="346">
        <f t="shared" si="4"/>
        <v>6.5960000000000001</v>
      </c>
      <c r="N51" s="346">
        <f t="shared" si="4"/>
        <v>6.5960000000000001</v>
      </c>
      <c r="O51" s="346">
        <f t="shared" si="4"/>
        <v>6.5960000000000001</v>
      </c>
      <c r="P51" s="357">
        <f t="shared" si="4"/>
        <v>3.56</v>
      </c>
    </row>
    <row r="52" spans="1:16" ht="16.5">
      <c r="A52" s="334"/>
      <c r="B52" s="354">
        <f>B50-B51</f>
        <v>11.8368</v>
      </c>
      <c r="C52" s="355">
        <f>C50-C51</f>
        <v>5.547600000000001</v>
      </c>
      <c r="D52" s="355">
        <f t="shared" ref="D52:P52" si="5">D50-D51</f>
        <v>11.8368</v>
      </c>
      <c r="E52" s="355">
        <f t="shared" si="5"/>
        <v>11.8368</v>
      </c>
      <c r="F52" s="355">
        <f t="shared" si="5"/>
        <v>11.8368</v>
      </c>
      <c r="G52" s="355">
        <f t="shared" si="5"/>
        <v>11.8368</v>
      </c>
      <c r="H52" s="355">
        <f t="shared" si="5"/>
        <v>11.8368</v>
      </c>
      <c r="I52" s="355">
        <f t="shared" si="5"/>
        <v>9.1888000000000005</v>
      </c>
      <c r="J52" s="355">
        <f t="shared" si="5"/>
        <v>11.8368</v>
      </c>
      <c r="K52" s="355">
        <f t="shared" si="5"/>
        <v>11.8368</v>
      </c>
      <c r="L52" s="355">
        <f t="shared" si="5"/>
        <v>11.8368</v>
      </c>
      <c r="M52" s="355">
        <f t="shared" si="5"/>
        <v>11.8368</v>
      </c>
      <c r="N52" s="355">
        <f t="shared" si="5"/>
        <v>11.8368</v>
      </c>
      <c r="O52" s="355">
        <f t="shared" si="5"/>
        <v>11.8368</v>
      </c>
      <c r="P52" s="358">
        <f t="shared" si="5"/>
        <v>14.8728</v>
      </c>
    </row>
    <row r="53" spans="1:16" ht="16.5">
      <c r="A53" s="335" t="s">
        <v>155</v>
      </c>
      <c r="B53" s="338">
        <f>B43*A54</f>
        <v>16.128699999999998</v>
      </c>
      <c r="C53" s="339">
        <f>C43*A54</f>
        <v>13.1229</v>
      </c>
      <c r="D53" s="339">
        <f>D43*A54</f>
        <v>16.128699999999998</v>
      </c>
      <c r="E53" s="339">
        <f>E43*A54</f>
        <v>16.128699999999998</v>
      </c>
      <c r="F53" s="339">
        <f>F43*A54</f>
        <v>16.128699999999998</v>
      </c>
      <c r="G53" s="339">
        <f>G43*A54</f>
        <v>16.128699999999998</v>
      </c>
      <c r="H53" s="339">
        <f>H43*A54</f>
        <v>16.128699999999998</v>
      </c>
      <c r="I53" s="339">
        <f>I43*A54</f>
        <v>16.128699999999998</v>
      </c>
      <c r="J53" s="339">
        <f>J43*A54</f>
        <v>16.128699999999998</v>
      </c>
      <c r="K53" s="339">
        <f>K43*A54</f>
        <v>16.128699999999998</v>
      </c>
      <c r="L53" s="339">
        <f>L43*A54</f>
        <v>16.128699999999998</v>
      </c>
      <c r="M53" s="339">
        <f>M43*A54</f>
        <v>16.128699999999998</v>
      </c>
      <c r="N53" s="339">
        <f>N43*A54</f>
        <v>16.128699999999998</v>
      </c>
      <c r="O53" s="339">
        <f>O43*A54</f>
        <v>16.128699999999998</v>
      </c>
      <c r="P53" s="344">
        <f>P43*A54</f>
        <v>16.128699999999998</v>
      </c>
    </row>
    <row r="54" spans="1:16" ht="16.5">
      <c r="A54" s="342">
        <v>0.7</v>
      </c>
      <c r="B54" s="340">
        <f t="shared" ref="B54:P54" si="6">B44</f>
        <v>6.5960000000000001</v>
      </c>
      <c r="C54" s="341">
        <f t="shared" si="6"/>
        <v>9.4499999999999993</v>
      </c>
      <c r="D54" s="341">
        <f t="shared" si="6"/>
        <v>6.5960000000000001</v>
      </c>
      <c r="E54" s="341">
        <f t="shared" si="6"/>
        <v>6.5960000000000001</v>
      </c>
      <c r="F54" s="341">
        <f t="shared" si="6"/>
        <v>6.5960000000000001</v>
      </c>
      <c r="G54" s="341">
        <f t="shared" si="6"/>
        <v>6.5960000000000001</v>
      </c>
      <c r="H54" s="341">
        <f t="shared" si="6"/>
        <v>6.5960000000000001</v>
      </c>
      <c r="I54" s="341">
        <f t="shared" si="6"/>
        <v>9.2439999999999998</v>
      </c>
      <c r="J54" s="341">
        <f t="shared" si="6"/>
        <v>6.5960000000000001</v>
      </c>
      <c r="K54" s="341">
        <f t="shared" si="6"/>
        <v>6.5960000000000001</v>
      </c>
      <c r="L54" s="341">
        <f t="shared" si="6"/>
        <v>6.5960000000000001</v>
      </c>
      <c r="M54" s="341">
        <f t="shared" si="6"/>
        <v>6.5960000000000001</v>
      </c>
      <c r="N54" s="341">
        <f t="shared" si="6"/>
        <v>6.5960000000000001</v>
      </c>
      <c r="O54" s="341">
        <f t="shared" si="6"/>
        <v>6.5960000000000001</v>
      </c>
      <c r="P54" s="349">
        <f t="shared" si="6"/>
        <v>3.56</v>
      </c>
    </row>
    <row r="55" spans="1:16" ht="16.5">
      <c r="A55" s="336"/>
      <c r="B55" s="337">
        <f>B53-B54</f>
        <v>9.5326999999999984</v>
      </c>
      <c r="C55" s="350">
        <f>C53-C54</f>
        <v>3.6729000000000003</v>
      </c>
      <c r="D55" s="350">
        <f t="shared" ref="D55:P55" si="7">D53-D54</f>
        <v>9.5326999999999984</v>
      </c>
      <c r="E55" s="350">
        <f t="shared" si="7"/>
        <v>9.5326999999999984</v>
      </c>
      <c r="F55" s="350">
        <f t="shared" si="7"/>
        <v>9.5326999999999984</v>
      </c>
      <c r="G55" s="350">
        <f t="shared" si="7"/>
        <v>9.5326999999999984</v>
      </c>
      <c r="H55" s="350">
        <f t="shared" si="7"/>
        <v>9.5326999999999984</v>
      </c>
      <c r="I55" s="350">
        <f t="shared" si="7"/>
        <v>6.8846999999999987</v>
      </c>
      <c r="J55" s="350">
        <f t="shared" si="7"/>
        <v>9.5326999999999984</v>
      </c>
      <c r="K55" s="350">
        <f t="shared" si="7"/>
        <v>9.5326999999999984</v>
      </c>
      <c r="L55" s="350">
        <f t="shared" si="7"/>
        <v>9.5326999999999984</v>
      </c>
      <c r="M55" s="350">
        <f t="shared" si="7"/>
        <v>9.5326999999999984</v>
      </c>
      <c r="N55" s="350">
        <f t="shared" si="7"/>
        <v>9.5326999999999984</v>
      </c>
      <c r="O55" s="350">
        <f t="shared" si="7"/>
        <v>9.5326999999999984</v>
      </c>
      <c r="P55" s="351">
        <f t="shared" si="7"/>
        <v>12.568699999999998</v>
      </c>
    </row>
    <row r="56" spans="1:16" ht="16.5">
      <c r="A56" s="333" t="s">
        <v>155</v>
      </c>
      <c r="B56" s="352">
        <f>B43*A57</f>
        <v>13.8246</v>
      </c>
      <c r="C56" s="353">
        <f>C43*A57</f>
        <v>11.248199999999999</v>
      </c>
      <c r="D56" s="353">
        <f>D43*A57</f>
        <v>13.8246</v>
      </c>
      <c r="E56" s="353">
        <f>E43*A57</f>
        <v>13.8246</v>
      </c>
      <c r="F56" s="353">
        <f>F43*A57</f>
        <v>13.8246</v>
      </c>
      <c r="G56" s="353">
        <f>G43*A57</f>
        <v>13.8246</v>
      </c>
      <c r="H56" s="353">
        <f>H43*A57</f>
        <v>13.8246</v>
      </c>
      <c r="I56" s="353">
        <f>I43*A57</f>
        <v>13.8246</v>
      </c>
      <c r="J56" s="353">
        <f>J43*A57</f>
        <v>13.8246</v>
      </c>
      <c r="K56" s="353">
        <f>K43*A57</f>
        <v>13.8246</v>
      </c>
      <c r="L56" s="353">
        <f>L43*A57</f>
        <v>13.8246</v>
      </c>
      <c r="M56" s="353">
        <f>M43*A57</f>
        <v>13.8246</v>
      </c>
      <c r="N56" s="353">
        <f>N43*A57</f>
        <v>13.8246</v>
      </c>
      <c r="O56" s="353">
        <f>O43*A57</f>
        <v>13.8246</v>
      </c>
      <c r="P56" s="356">
        <f>P43*A57</f>
        <v>13.8246</v>
      </c>
    </row>
    <row r="57" spans="1:16" ht="16.5">
      <c r="A57" s="343">
        <v>0.6</v>
      </c>
      <c r="B57" s="345">
        <f t="shared" ref="B57:P57" si="8">B44</f>
        <v>6.5960000000000001</v>
      </c>
      <c r="C57" s="346">
        <f t="shared" si="8"/>
        <v>9.4499999999999993</v>
      </c>
      <c r="D57" s="346">
        <f t="shared" si="8"/>
        <v>6.5960000000000001</v>
      </c>
      <c r="E57" s="346">
        <f t="shared" si="8"/>
        <v>6.5960000000000001</v>
      </c>
      <c r="F57" s="346">
        <f t="shared" si="8"/>
        <v>6.5960000000000001</v>
      </c>
      <c r="G57" s="346">
        <f t="shared" si="8"/>
        <v>6.5960000000000001</v>
      </c>
      <c r="H57" s="346">
        <f t="shared" si="8"/>
        <v>6.5960000000000001</v>
      </c>
      <c r="I57" s="346">
        <f t="shared" si="8"/>
        <v>9.2439999999999998</v>
      </c>
      <c r="J57" s="346">
        <f t="shared" si="8"/>
        <v>6.5960000000000001</v>
      </c>
      <c r="K57" s="346">
        <f t="shared" si="8"/>
        <v>6.5960000000000001</v>
      </c>
      <c r="L57" s="346">
        <f t="shared" si="8"/>
        <v>6.5960000000000001</v>
      </c>
      <c r="M57" s="346">
        <f t="shared" si="8"/>
        <v>6.5960000000000001</v>
      </c>
      <c r="N57" s="346">
        <f t="shared" si="8"/>
        <v>6.5960000000000001</v>
      </c>
      <c r="O57" s="346">
        <f t="shared" si="8"/>
        <v>6.5960000000000001</v>
      </c>
      <c r="P57" s="357">
        <f t="shared" si="8"/>
        <v>3.56</v>
      </c>
    </row>
    <row r="58" spans="1:16" ht="16.5">
      <c r="A58" s="334"/>
      <c r="B58" s="354">
        <f>B56-B57</f>
        <v>7.2286000000000001</v>
      </c>
      <c r="C58" s="355">
        <f>C56-C57</f>
        <v>1.7981999999999996</v>
      </c>
      <c r="D58" s="355">
        <f t="shared" ref="D58:P58" si="9">D56-D57</f>
        <v>7.2286000000000001</v>
      </c>
      <c r="E58" s="355">
        <f t="shared" si="9"/>
        <v>7.2286000000000001</v>
      </c>
      <c r="F58" s="355">
        <f t="shared" si="9"/>
        <v>7.2286000000000001</v>
      </c>
      <c r="G58" s="355">
        <f t="shared" si="9"/>
        <v>7.2286000000000001</v>
      </c>
      <c r="H58" s="355">
        <f t="shared" si="9"/>
        <v>7.2286000000000001</v>
      </c>
      <c r="I58" s="355">
        <f t="shared" si="9"/>
        <v>4.5806000000000004</v>
      </c>
      <c r="J58" s="355">
        <f t="shared" si="9"/>
        <v>7.2286000000000001</v>
      </c>
      <c r="K58" s="355">
        <f t="shared" si="9"/>
        <v>7.2286000000000001</v>
      </c>
      <c r="L58" s="355">
        <f t="shared" si="9"/>
        <v>7.2286000000000001</v>
      </c>
      <c r="M58" s="355">
        <f t="shared" si="9"/>
        <v>7.2286000000000001</v>
      </c>
      <c r="N58" s="355">
        <f t="shared" si="9"/>
        <v>7.2286000000000001</v>
      </c>
      <c r="O58" s="355">
        <f t="shared" si="9"/>
        <v>7.2286000000000001</v>
      </c>
      <c r="P58" s="358">
        <f t="shared" si="9"/>
        <v>10.2646</v>
      </c>
    </row>
    <row r="59" spans="1:16" ht="16.5">
      <c r="A59" s="335" t="s">
        <v>155</v>
      </c>
      <c r="B59" s="338">
        <f>B43*A60</f>
        <v>11.5205</v>
      </c>
      <c r="C59" s="339">
        <f>C43*A60</f>
        <v>9.3734999999999999</v>
      </c>
      <c r="D59" s="339">
        <f>D43*A60</f>
        <v>11.5205</v>
      </c>
      <c r="E59" s="339">
        <f>E43*A60</f>
        <v>11.5205</v>
      </c>
      <c r="F59" s="339">
        <f>F43*A60</f>
        <v>11.5205</v>
      </c>
      <c r="G59" s="339">
        <f>G43*A60</f>
        <v>11.5205</v>
      </c>
      <c r="H59" s="339">
        <f>H43*A60</f>
        <v>11.5205</v>
      </c>
      <c r="I59" s="339">
        <f>I43*A60</f>
        <v>11.5205</v>
      </c>
      <c r="J59" s="339">
        <f>J43*A60</f>
        <v>11.5205</v>
      </c>
      <c r="K59" s="339">
        <f>K43*A60</f>
        <v>11.5205</v>
      </c>
      <c r="L59" s="339">
        <f>L43*A60</f>
        <v>11.5205</v>
      </c>
      <c r="M59" s="339">
        <f>M43*A60</f>
        <v>11.5205</v>
      </c>
      <c r="N59" s="339">
        <f>N43*A60</f>
        <v>11.5205</v>
      </c>
      <c r="O59" s="339">
        <f>O43*A60</f>
        <v>11.5205</v>
      </c>
      <c r="P59" s="344">
        <f>P43*A60</f>
        <v>11.5205</v>
      </c>
    </row>
    <row r="60" spans="1:16" ht="16.5">
      <c r="A60" s="342">
        <v>0.5</v>
      </c>
      <c r="B60" s="340">
        <f t="shared" ref="B60:P60" si="10">B44</f>
        <v>6.5960000000000001</v>
      </c>
      <c r="C60" s="341">
        <f t="shared" si="10"/>
        <v>9.4499999999999993</v>
      </c>
      <c r="D60" s="341">
        <f t="shared" si="10"/>
        <v>6.5960000000000001</v>
      </c>
      <c r="E60" s="341">
        <f t="shared" si="10"/>
        <v>6.5960000000000001</v>
      </c>
      <c r="F60" s="341">
        <f t="shared" si="10"/>
        <v>6.5960000000000001</v>
      </c>
      <c r="G60" s="341">
        <f t="shared" si="10"/>
        <v>6.5960000000000001</v>
      </c>
      <c r="H60" s="341">
        <f t="shared" si="10"/>
        <v>6.5960000000000001</v>
      </c>
      <c r="I60" s="341">
        <f t="shared" si="10"/>
        <v>9.2439999999999998</v>
      </c>
      <c r="J60" s="341">
        <f t="shared" si="10"/>
        <v>6.5960000000000001</v>
      </c>
      <c r="K60" s="341">
        <f t="shared" si="10"/>
        <v>6.5960000000000001</v>
      </c>
      <c r="L60" s="341">
        <f t="shared" si="10"/>
        <v>6.5960000000000001</v>
      </c>
      <c r="M60" s="341">
        <f t="shared" si="10"/>
        <v>6.5960000000000001</v>
      </c>
      <c r="N60" s="341">
        <f t="shared" si="10"/>
        <v>6.5960000000000001</v>
      </c>
      <c r="O60" s="341">
        <f t="shared" si="10"/>
        <v>6.5960000000000001</v>
      </c>
      <c r="P60" s="349">
        <f t="shared" si="10"/>
        <v>3.56</v>
      </c>
    </row>
    <row r="61" spans="1:16" ht="16.5">
      <c r="A61" s="336"/>
      <c r="B61" s="337">
        <f>B59-B60</f>
        <v>4.9245000000000001</v>
      </c>
      <c r="C61" s="350">
        <f>C59-C60</f>
        <v>-7.6499999999999346E-2</v>
      </c>
      <c r="D61" s="350">
        <f t="shared" ref="D61:P61" si="11">D59-D60</f>
        <v>4.9245000000000001</v>
      </c>
      <c r="E61" s="350">
        <f t="shared" si="11"/>
        <v>4.9245000000000001</v>
      </c>
      <c r="F61" s="350">
        <f t="shared" si="11"/>
        <v>4.9245000000000001</v>
      </c>
      <c r="G61" s="350">
        <f t="shared" si="11"/>
        <v>4.9245000000000001</v>
      </c>
      <c r="H61" s="350">
        <f t="shared" si="11"/>
        <v>4.9245000000000001</v>
      </c>
      <c r="I61" s="350">
        <f t="shared" si="11"/>
        <v>2.2765000000000004</v>
      </c>
      <c r="J61" s="350">
        <f t="shared" si="11"/>
        <v>4.9245000000000001</v>
      </c>
      <c r="K61" s="350">
        <f t="shared" si="11"/>
        <v>4.9245000000000001</v>
      </c>
      <c r="L61" s="350">
        <f t="shared" si="11"/>
        <v>4.9245000000000001</v>
      </c>
      <c r="M61" s="350">
        <f t="shared" si="11"/>
        <v>4.9245000000000001</v>
      </c>
      <c r="N61" s="350">
        <f t="shared" si="11"/>
        <v>4.9245000000000001</v>
      </c>
      <c r="O61" s="350">
        <f t="shared" si="11"/>
        <v>4.9245000000000001</v>
      </c>
      <c r="P61" s="351">
        <f t="shared" si="11"/>
        <v>7.9604999999999997</v>
      </c>
    </row>
    <row r="62" spans="1:16" ht="16.5">
      <c r="A62" s="333" t="s">
        <v>155</v>
      </c>
      <c r="B62" s="352">
        <f>B43*A63</f>
        <v>9.2164000000000001</v>
      </c>
      <c r="C62" s="353">
        <f>C43*A63</f>
        <v>7.4988000000000001</v>
      </c>
      <c r="D62" s="353">
        <f>D43*A63</f>
        <v>9.2164000000000001</v>
      </c>
      <c r="E62" s="353">
        <f>E43*A63</f>
        <v>9.2164000000000001</v>
      </c>
      <c r="F62" s="353">
        <f>F43*A63</f>
        <v>9.2164000000000001</v>
      </c>
      <c r="G62" s="353">
        <f>G43*A63</f>
        <v>9.2164000000000001</v>
      </c>
      <c r="H62" s="353">
        <f>H43*A63</f>
        <v>9.2164000000000001</v>
      </c>
      <c r="I62" s="353">
        <f>I43*A63</f>
        <v>9.2164000000000001</v>
      </c>
      <c r="J62" s="353">
        <f>J43*A63</f>
        <v>9.2164000000000001</v>
      </c>
      <c r="K62" s="353">
        <f>K43*A63</f>
        <v>9.2164000000000001</v>
      </c>
      <c r="L62" s="353">
        <f>L43*A63</f>
        <v>9.2164000000000001</v>
      </c>
      <c r="M62" s="353">
        <f>M43*A63</f>
        <v>9.2164000000000001</v>
      </c>
      <c r="N62" s="353">
        <f>N43*A63</f>
        <v>9.2164000000000001</v>
      </c>
      <c r="O62" s="353">
        <f>O43*A63</f>
        <v>9.2164000000000001</v>
      </c>
      <c r="P62" s="356">
        <f>P43*A63</f>
        <v>9.2164000000000001</v>
      </c>
    </row>
    <row r="63" spans="1:16" ht="16.5">
      <c r="A63" s="343">
        <v>0.4</v>
      </c>
      <c r="B63" s="345">
        <f t="shared" ref="B63:P63" si="12">B44</f>
        <v>6.5960000000000001</v>
      </c>
      <c r="C63" s="346">
        <f t="shared" si="12"/>
        <v>9.4499999999999993</v>
      </c>
      <c r="D63" s="346">
        <f t="shared" si="12"/>
        <v>6.5960000000000001</v>
      </c>
      <c r="E63" s="346">
        <f t="shared" si="12"/>
        <v>6.5960000000000001</v>
      </c>
      <c r="F63" s="346">
        <f t="shared" si="12"/>
        <v>6.5960000000000001</v>
      </c>
      <c r="G63" s="346">
        <f t="shared" si="12"/>
        <v>6.5960000000000001</v>
      </c>
      <c r="H63" s="346">
        <f t="shared" si="12"/>
        <v>6.5960000000000001</v>
      </c>
      <c r="I63" s="346">
        <f t="shared" si="12"/>
        <v>9.2439999999999998</v>
      </c>
      <c r="J63" s="346">
        <f t="shared" si="12"/>
        <v>6.5960000000000001</v>
      </c>
      <c r="K63" s="346">
        <f t="shared" si="12"/>
        <v>6.5960000000000001</v>
      </c>
      <c r="L63" s="346">
        <f t="shared" si="12"/>
        <v>6.5960000000000001</v>
      </c>
      <c r="M63" s="346">
        <f t="shared" si="12"/>
        <v>6.5960000000000001</v>
      </c>
      <c r="N63" s="346">
        <f t="shared" si="12"/>
        <v>6.5960000000000001</v>
      </c>
      <c r="O63" s="346">
        <f t="shared" si="12"/>
        <v>6.5960000000000001</v>
      </c>
      <c r="P63" s="357">
        <f t="shared" si="12"/>
        <v>3.56</v>
      </c>
    </row>
    <row r="64" spans="1:16" ht="16.5">
      <c r="A64" s="334"/>
      <c r="B64" s="354">
        <f>B62-B63</f>
        <v>2.6204000000000001</v>
      </c>
      <c r="C64" s="355">
        <f>C62-C63</f>
        <v>-1.9511999999999992</v>
      </c>
      <c r="D64" s="355">
        <f t="shared" ref="D64:P64" si="13">D62-D63</f>
        <v>2.6204000000000001</v>
      </c>
      <c r="E64" s="355">
        <f t="shared" si="13"/>
        <v>2.6204000000000001</v>
      </c>
      <c r="F64" s="355">
        <f t="shared" si="13"/>
        <v>2.6204000000000001</v>
      </c>
      <c r="G64" s="355">
        <f t="shared" si="13"/>
        <v>2.6204000000000001</v>
      </c>
      <c r="H64" s="355">
        <f t="shared" si="13"/>
        <v>2.6204000000000001</v>
      </c>
      <c r="I64" s="355">
        <f t="shared" si="13"/>
        <v>-2.7599999999999625E-2</v>
      </c>
      <c r="J64" s="355">
        <f t="shared" si="13"/>
        <v>2.6204000000000001</v>
      </c>
      <c r="K64" s="355">
        <f t="shared" si="13"/>
        <v>2.6204000000000001</v>
      </c>
      <c r="L64" s="355">
        <f t="shared" si="13"/>
        <v>2.6204000000000001</v>
      </c>
      <c r="M64" s="355">
        <f t="shared" si="13"/>
        <v>2.6204000000000001</v>
      </c>
      <c r="N64" s="355">
        <f t="shared" si="13"/>
        <v>2.6204000000000001</v>
      </c>
      <c r="O64" s="355">
        <f t="shared" si="13"/>
        <v>2.6204000000000001</v>
      </c>
      <c r="P64" s="358">
        <f t="shared" si="13"/>
        <v>5.6563999999999997</v>
      </c>
    </row>
    <row r="65" spans="1:16" ht="16.5">
      <c r="A65" s="335" t="s">
        <v>155</v>
      </c>
      <c r="B65" s="338">
        <f>B43*A66</f>
        <v>6.9123000000000001</v>
      </c>
      <c r="C65" s="339">
        <f>C43*A66</f>
        <v>5.6240999999999994</v>
      </c>
      <c r="D65" s="339">
        <f>D43*A66</f>
        <v>6.9123000000000001</v>
      </c>
      <c r="E65" s="339">
        <f>E43*A66</f>
        <v>6.9123000000000001</v>
      </c>
      <c r="F65" s="339">
        <f>F43*A66</f>
        <v>6.9123000000000001</v>
      </c>
      <c r="G65" s="339">
        <f>G43*A66</f>
        <v>6.9123000000000001</v>
      </c>
      <c r="H65" s="339">
        <f>H43*A66</f>
        <v>6.9123000000000001</v>
      </c>
      <c r="I65" s="339">
        <f>I43*A66</f>
        <v>6.9123000000000001</v>
      </c>
      <c r="J65" s="339">
        <f>J43*A66</f>
        <v>6.9123000000000001</v>
      </c>
      <c r="K65" s="339">
        <f>K43*A66</f>
        <v>6.9123000000000001</v>
      </c>
      <c r="L65" s="339">
        <f>L43*A66</f>
        <v>6.9123000000000001</v>
      </c>
      <c r="M65" s="339">
        <f>M43*A66</f>
        <v>6.9123000000000001</v>
      </c>
      <c r="N65" s="339">
        <f>N43*A66</f>
        <v>6.9123000000000001</v>
      </c>
      <c r="O65" s="339">
        <f>O43*A66</f>
        <v>6.9123000000000001</v>
      </c>
      <c r="P65" s="344">
        <f>P43*A66</f>
        <v>6.9123000000000001</v>
      </c>
    </row>
    <row r="66" spans="1:16" ht="16.5">
      <c r="A66" s="342">
        <v>0.3</v>
      </c>
      <c r="B66" s="340">
        <f t="shared" ref="B66:P66" si="14">B44</f>
        <v>6.5960000000000001</v>
      </c>
      <c r="C66" s="341">
        <f t="shared" si="14"/>
        <v>9.4499999999999993</v>
      </c>
      <c r="D66" s="341">
        <f t="shared" si="14"/>
        <v>6.5960000000000001</v>
      </c>
      <c r="E66" s="341">
        <f t="shared" si="14"/>
        <v>6.5960000000000001</v>
      </c>
      <c r="F66" s="341">
        <f t="shared" si="14"/>
        <v>6.5960000000000001</v>
      </c>
      <c r="G66" s="341">
        <f t="shared" si="14"/>
        <v>6.5960000000000001</v>
      </c>
      <c r="H66" s="341">
        <f t="shared" si="14"/>
        <v>6.5960000000000001</v>
      </c>
      <c r="I66" s="341">
        <f t="shared" si="14"/>
        <v>9.2439999999999998</v>
      </c>
      <c r="J66" s="341">
        <f t="shared" si="14"/>
        <v>6.5960000000000001</v>
      </c>
      <c r="K66" s="341">
        <f t="shared" si="14"/>
        <v>6.5960000000000001</v>
      </c>
      <c r="L66" s="341">
        <f t="shared" si="14"/>
        <v>6.5960000000000001</v>
      </c>
      <c r="M66" s="341">
        <f t="shared" si="14"/>
        <v>6.5960000000000001</v>
      </c>
      <c r="N66" s="341">
        <f t="shared" si="14"/>
        <v>6.5960000000000001</v>
      </c>
      <c r="O66" s="341">
        <f t="shared" si="14"/>
        <v>6.5960000000000001</v>
      </c>
      <c r="P66" s="349">
        <f t="shared" si="14"/>
        <v>3.56</v>
      </c>
    </row>
    <row r="67" spans="1:16" ht="16.5">
      <c r="A67" s="336"/>
      <c r="B67" s="337">
        <f>B65-B66</f>
        <v>0.31630000000000003</v>
      </c>
      <c r="C67" s="350">
        <f>C65-C66</f>
        <v>-3.8258999999999999</v>
      </c>
      <c r="D67" s="350">
        <f t="shared" ref="D67:P67" si="15">D65-D66</f>
        <v>0.31630000000000003</v>
      </c>
      <c r="E67" s="350">
        <f t="shared" si="15"/>
        <v>0.31630000000000003</v>
      </c>
      <c r="F67" s="350">
        <f t="shared" si="15"/>
        <v>0.31630000000000003</v>
      </c>
      <c r="G67" s="350">
        <f t="shared" si="15"/>
        <v>0.31630000000000003</v>
      </c>
      <c r="H67" s="350">
        <f t="shared" si="15"/>
        <v>0.31630000000000003</v>
      </c>
      <c r="I67" s="350">
        <f t="shared" si="15"/>
        <v>-2.3316999999999997</v>
      </c>
      <c r="J67" s="350">
        <f t="shared" si="15"/>
        <v>0.31630000000000003</v>
      </c>
      <c r="K67" s="350">
        <f t="shared" si="15"/>
        <v>0.31630000000000003</v>
      </c>
      <c r="L67" s="350">
        <f t="shared" si="15"/>
        <v>0.31630000000000003</v>
      </c>
      <c r="M67" s="350">
        <f t="shared" si="15"/>
        <v>0.31630000000000003</v>
      </c>
      <c r="N67" s="350">
        <f t="shared" si="15"/>
        <v>0.31630000000000003</v>
      </c>
      <c r="O67" s="350">
        <f t="shared" si="15"/>
        <v>0.31630000000000003</v>
      </c>
      <c r="P67" s="351">
        <f t="shared" si="15"/>
        <v>3.3523000000000001</v>
      </c>
    </row>
    <row r="68" spans="1:16" ht="16.5">
      <c r="A68" s="333" t="s">
        <v>155</v>
      </c>
      <c r="B68" s="352">
        <f>B43*A69</f>
        <v>4.6082000000000001</v>
      </c>
      <c r="C68" s="353">
        <f>C43*A69</f>
        <v>3.7494000000000001</v>
      </c>
      <c r="D68" s="353">
        <f>D43*A69</f>
        <v>4.6082000000000001</v>
      </c>
      <c r="E68" s="353">
        <f>E43*A69</f>
        <v>4.6082000000000001</v>
      </c>
      <c r="F68" s="353">
        <f>F43*A69</f>
        <v>4.6082000000000001</v>
      </c>
      <c r="G68" s="353">
        <f>G43*A69</f>
        <v>4.6082000000000001</v>
      </c>
      <c r="H68" s="353">
        <f>H43*A69</f>
        <v>4.6082000000000001</v>
      </c>
      <c r="I68" s="353">
        <f>I43*A69</f>
        <v>4.6082000000000001</v>
      </c>
      <c r="J68" s="353">
        <f>J43*A69</f>
        <v>4.6082000000000001</v>
      </c>
      <c r="K68" s="353">
        <f>K43*A69</f>
        <v>4.6082000000000001</v>
      </c>
      <c r="L68" s="353">
        <f>L43*A69</f>
        <v>4.6082000000000001</v>
      </c>
      <c r="M68" s="353">
        <f>M43*A69</f>
        <v>4.6082000000000001</v>
      </c>
      <c r="N68" s="353">
        <f>N43*J69</f>
        <v>151.97843600000002</v>
      </c>
      <c r="O68" s="353">
        <f>O43*A69</f>
        <v>4.6082000000000001</v>
      </c>
      <c r="P68" s="356">
        <f>P43*A69</f>
        <v>4.6082000000000001</v>
      </c>
    </row>
    <row r="69" spans="1:16" ht="16.5">
      <c r="A69" s="343">
        <v>0.2</v>
      </c>
      <c r="B69" s="345">
        <f t="shared" ref="B69:P69" si="16">B44</f>
        <v>6.5960000000000001</v>
      </c>
      <c r="C69" s="346">
        <f t="shared" si="16"/>
        <v>9.4499999999999993</v>
      </c>
      <c r="D69" s="346">
        <f t="shared" si="16"/>
        <v>6.5960000000000001</v>
      </c>
      <c r="E69" s="346">
        <f t="shared" si="16"/>
        <v>6.5960000000000001</v>
      </c>
      <c r="F69" s="346">
        <f t="shared" si="16"/>
        <v>6.5960000000000001</v>
      </c>
      <c r="G69" s="346">
        <f t="shared" si="16"/>
        <v>6.5960000000000001</v>
      </c>
      <c r="H69" s="346">
        <f t="shared" si="16"/>
        <v>6.5960000000000001</v>
      </c>
      <c r="I69" s="346">
        <f t="shared" si="16"/>
        <v>9.2439999999999998</v>
      </c>
      <c r="J69" s="346">
        <f t="shared" si="16"/>
        <v>6.5960000000000001</v>
      </c>
      <c r="K69" s="346">
        <f t="shared" si="16"/>
        <v>6.5960000000000001</v>
      </c>
      <c r="L69" s="346">
        <f t="shared" si="16"/>
        <v>6.5960000000000001</v>
      </c>
      <c r="M69" s="346">
        <f t="shared" si="16"/>
        <v>6.5960000000000001</v>
      </c>
      <c r="N69" s="346">
        <f t="shared" si="16"/>
        <v>6.5960000000000001</v>
      </c>
      <c r="O69" s="346">
        <f t="shared" si="16"/>
        <v>6.5960000000000001</v>
      </c>
      <c r="P69" s="357">
        <f t="shared" si="16"/>
        <v>3.56</v>
      </c>
    </row>
    <row r="70" spans="1:16" ht="16.5">
      <c r="A70" s="334"/>
      <c r="B70" s="354">
        <f>B68-B69</f>
        <v>-1.9878</v>
      </c>
      <c r="C70" s="355">
        <f>C68-C69</f>
        <v>-5.7005999999999997</v>
      </c>
      <c r="D70" s="355">
        <f t="shared" ref="D70:P70" si="17">D68-D69</f>
        <v>-1.9878</v>
      </c>
      <c r="E70" s="355">
        <f t="shared" si="17"/>
        <v>-1.9878</v>
      </c>
      <c r="F70" s="355">
        <f t="shared" si="17"/>
        <v>-1.9878</v>
      </c>
      <c r="G70" s="355">
        <f t="shared" si="17"/>
        <v>-1.9878</v>
      </c>
      <c r="H70" s="355">
        <f t="shared" si="17"/>
        <v>-1.9878</v>
      </c>
      <c r="I70" s="355">
        <f t="shared" si="17"/>
        <v>-4.6357999999999997</v>
      </c>
      <c r="J70" s="355">
        <f t="shared" si="17"/>
        <v>-1.9878</v>
      </c>
      <c r="K70" s="355">
        <f t="shared" si="17"/>
        <v>-1.9878</v>
      </c>
      <c r="L70" s="355">
        <f t="shared" si="17"/>
        <v>-1.9878</v>
      </c>
      <c r="M70" s="355">
        <f t="shared" si="17"/>
        <v>-1.9878</v>
      </c>
      <c r="N70" s="355">
        <f t="shared" si="17"/>
        <v>145.38243600000001</v>
      </c>
      <c r="O70" s="355">
        <f t="shared" si="17"/>
        <v>-1.9878</v>
      </c>
      <c r="P70" s="358">
        <f t="shared" si="17"/>
        <v>1.0482</v>
      </c>
    </row>
    <row r="71" spans="1:16" ht="16.5">
      <c r="A71" s="335" t="s">
        <v>155</v>
      </c>
      <c r="B71" s="338">
        <f>B43*A72</f>
        <v>2.3041</v>
      </c>
      <c r="C71" s="339">
        <f>C43*A72</f>
        <v>1.8747</v>
      </c>
      <c r="D71" s="339">
        <f>D43*A72</f>
        <v>2.3041</v>
      </c>
      <c r="E71" s="339">
        <f>E43*A72</f>
        <v>2.3041</v>
      </c>
      <c r="F71" s="339">
        <f>F43*A72</f>
        <v>2.3041</v>
      </c>
      <c r="G71" s="339">
        <f>G43*A72</f>
        <v>2.3041</v>
      </c>
      <c r="H71" s="339">
        <f>H43*A72</f>
        <v>2.3041</v>
      </c>
      <c r="I71" s="339">
        <f>I43*A72</f>
        <v>2.3041</v>
      </c>
      <c r="J71" s="339">
        <f>J43*A72</f>
        <v>2.3041</v>
      </c>
      <c r="K71" s="339">
        <f>K43*A72</f>
        <v>2.3041</v>
      </c>
      <c r="L71" s="339">
        <f>L43*A72</f>
        <v>2.3041</v>
      </c>
      <c r="M71" s="339">
        <f>M43*A72</f>
        <v>2.3041</v>
      </c>
      <c r="N71" s="339">
        <f>N43*A72</f>
        <v>2.3041</v>
      </c>
      <c r="O71" s="339">
        <f>O43*A72</f>
        <v>2.3041</v>
      </c>
      <c r="P71" s="344">
        <f>P43*A72</f>
        <v>2.3041</v>
      </c>
    </row>
    <row r="72" spans="1:16" ht="16.5">
      <c r="A72" s="342">
        <v>0.1</v>
      </c>
      <c r="B72" s="340">
        <f t="shared" ref="B72:P72" si="18">B44</f>
        <v>6.5960000000000001</v>
      </c>
      <c r="C72" s="341">
        <f t="shared" si="18"/>
        <v>9.4499999999999993</v>
      </c>
      <c r="D72" s="341">
        <f t="shared" si="18"/>
        <v>6.5960000000000001</v>
      </c>
      <c r="E72" s="341">
        <f t="shared" si="18"/>
        <v>6.5960000000000001</v>
      </c>
      <c r="F72" s="341">
        <f t="shared" si="18"/>
        <v>6.5960000000000001</v>
      </c>
      <c r="G72" s="341">
        <f t="shared" si="18"/>
        <v>6.5960000000000001</v>
      </c>
      <c r="H72" s="341">
        <f t="shared" si="18"/>
        <v>6.5960000000000001</v>
      </c>
      <c r="I72" s="341">
        <f t="shared" si="18"/>
        <v>9.2439999999999998</v>
      </c>
      <c r="J72" s="341">
        <f t="shared" si="18"/>
        <v>6.5960000000000001</v>
      </c>
      <c r="K72" s="341">
        <f t="shared" si="18"/>
        <v>6.5960000000000001</v>
      </c>
      <c r="L72" s="341">
        <f t="shared" si="18"/>
        <v>6.5960000000000001</v>
      </c>
      <c r="M72" s="341">
        <f t="shared" si="18"/>
        <v>6.5960000000000001</v>
      </c>
      <c r="N72" s="341">
        <f t="shared" si="18"/>
        <v>6.5960000000000001</v>
      </c>
      <c r="O72" s="341">
        <f t="shared" si="18"/>
        <v>6.5960000000000001</v>
      </c>
      <c r="P72" s="349">
        <f t="shared" si="18"/>
        <v>3.56</v>
      </c>
    </row>
    <row r="73" spans="1:16" ht="16.5">
      <c r="A73" s="336"/>
      <c r="B73" s="337">
        <f>B71-B72</f>
        <v>-4.2919</v>
      </c>
      <c r="C73" s="350">
        <f>C71-C72</f>
        <v>-7.5752999999999995</v>
      </c>
      <c r="D73" s="350">
        <f t="shared" ref="D73:P73" si="19">D71-D72</f>
        <v>-4.2919</v>
      </c>
      <c r="E73" s="350">
        <f t="shared" si="19"/>
        <v>-4.2919</v>
      </c>
      <c r="F73" s="350">
        <f t="shared" si="19"/>
        <v>-4.2919</v>
      </c>
      <c r="G73" s="350">
        <f t="shared" si="19"/>
        <v>-4.2919</v>
      </c>
      <c r="H73" s="350">
        <f t="shared" si="19"/>
        <v>-4.2919</v>
      </c>
      <c r="I73" s="350">
        <f t="shared" si="19"/>
        <v>-6.9398999999999997</v>
      </c>
      <c r="J73" s="350">
        <f t="shared" si="19"/>
        <v>-4.2919</v>
      </c>
      <c r="K73" s="350">
        <f t="shared" si="19"/>
        <v>-4.2919</v>
      </c>
      <c r="L73" s="350">
        <f t="shared" si="19"/>
        <v>-4.2919</v>
      </c>
      <c r="M73" s="350">
        <f t="shared" si="19"/>
        <v>-4.2919</v>
      </c>
      <c r="N73" s="350">
        <f t="shared" si="19"/>
        <v>-4.2919</v>
      </c>
      <c r="O73" s="350">
        <f t="shared" si="19"/>
        <v>-4.2919</v>
      </c>
      <c r="P73" s="351">
        <f t="shared" si="19"/>
        <v>-1.2559</v>
      </c>
    </row>
    <row r="74" spans="1:16" ht="16.5">
      <c r="A74" s="333" t="s">
        <v>155</v>
      </c>
      <c r="B74" s="352">
        <f>B43*A75</f>
        <v>0</v>
      </c>
      <c r="C74" s="353">
        <f>C43*A75</f>
        <v>0</v>
      </c>
      <c r="D74" s="353">
        <f>D43*A75</f>
        <v>0</v>
      </c>
      <c r="E74" s="353">
        <f>E43*A75</f>
        <v>0</v>
      </c>
      <c r="F74" s="353">
        <f>F43*A75</f>
        <v>0</v>
      </c>
      <c r="G74" s="353">
        <f>G43*A75</f>
        <v>0</v>
      </c>
      <c r="H74" s="353">
        <f>H43*A75</f>
        <v>0</v>
      </c>
      <c r="I74" s="353">
        <f>I43*A75</f>
        <v>0</v>
      </c>
      <c r="J74" s="353">
        <f>J43*A75</f>
        <v>0</v>
      </c>
      <c r="K74" s="353">
        <f>K43*A75</f>
        <v>0</v>
      </c>
      <c r="L74" s="353">
        <f>L43*A75</f>
        <v>0</v>
      </c>
      <c r="M74" s="353">
        <f>M43*A75</f>
        <v>0</v>
      </c>
      <c r="N74" s="353">
        <f>N43*A75</f>
        <v>0</v>
      </c>
      <c r="O74" s="353">
        <f>O43*A75</f>
        <v>0</v>
      </c>
      <c r="P74" s="356">
        <f>P43*A75</f>
        <v>0</v>
      </c>
    </row>
    <row r="75" spans="1:16" ht="16.5">
      <c r="A75" s="343">
        <v>0</v>
      </c>
      <c r="B75" s="345">
        <f t="shared" ref="B75:P75" si="20">B44</f>
        <v>6.5960000000000001</v>
      </c>
      <c r="C75" s="346">
        <f t="shared" si="20"/>
        <v>9.4499999999999993</v>
      </c>
      <c r="D75" s="346">
        <f t="shared" si="20"/>
        <v>6.5960000000000001</v>
      </c>
      <c r="E75" s="346">
        <f t="shared" si="20"/>
        <v>6.5960000000000001</v>
      </c>
      <c r="F75" s="346">
        <f t="shared" si="20"/>
        <v>6.5960000000000001</v>
      </c>
      <c r="G75" s="346">
        <f t="shared" si="20"/>
        <v>6.5960000000000001</v>
      </c>
      <c r="H75" s="346">
        <f t="shared" si="20"/>
        <v>6.5960000000000001</v>
      </c>
      <c r="I75" s="346">
        <f t="shared" si="20"/>
        <v>9.2439999999999998</v>
      </c>
      <c r="J75" s="346">
        <f t="shared" si="20"/>
        <v>6.5960000000000001</v>
      </c>
      <c r="K75" s="346">
        <f t="shared" si="20"/>
        <v>6.5960000000000001</v>
      </c>
      <c r="L75" s="346">
        <f t="shared" si="20"/>
        <v>6.5960000000000001</v>
      </c>
      <c r="M75" s="346">
        <f t="shared" si="20"/>
        <v>6.5960000000000001</v>
      </c>
      <c r="N75" s="346">
        <f t="shared" si="20"/>
        <v>6.5960000000000001</v>
      </c>
      <c r="O75" s="346">
        <f t="shared" si="20"/>
        <v>6.5960000000000001</v>
      </c>
      <c r="P75" s="357">
        <f t="shared" si="20"/>
        <v>3.56</v>
      </c>
    </row>
    <row r="76" spans="1:16" ht="16.5">
      <c r="A76" s="334"/>
      <c r="B76" s="347">
        <f>B74-B75</f>
        <v>-6.5960000000000001</v>
      </c>
      <c r="C76" s="348">
        <f>C74-C75</f>
        <v>-9.4499999999999993</v>
      </c>
      <c r="D76" s="348">
        <f t="shared" ref="D76:P76" si="21">D74-D75</f>
        <v>-6.5960000000000001</v>
      </c>
      <c r="E76" s="348">
        <f t="shared" si="21"/>
        <v>-6.5960000000000001</v>
      </c>
      <c r="F76" s="348">
        <f t="shared" si="21"/>
        <v>-6.5960000000000001</v>
      </c>
      <c r="G76" s="348">
        <f t="shared" si="21"/>
        <v>-6.5960000000000001</v>
      </c>
      <c r="H76" s="348">
        <f t="shared" si="21"/>
        <v>-6.5960000000000001</v>
      </c>
      <c r="I76" s="348">
        <f t="shared" si="21"/>
        <v>-9.2439999999999998</v>
      </c>
      <c r="J76" s="348">
        <f t="shared" si="21"/>
        <v>-6.5960000000000001</v>
      </c>
      <c r="K76" s="348">
        <f t="shared" si="21"/>
        <v>-6.5960000000000001</v>
      </c>
      <c r="L76" s="348">
        <f t="shared" si="21"/>
        <v>-6.5960000000000001</v>
      </c>
      <c r="M76" s="348">
        <f t="shared" si="21"/>
        <v>-6.5960000000000001</v>
      </c>
      <c r="N76" s="348">
        <f t="shared" si="21"/>
        <v>-6.5960000000000001</v>
      </c>
      <c r="O76" s="348">
        <f t="shared" si="21"/>
        <v>-6.5960000000000001</v>
      </c>
      <c r="P76" s="359">
        <f t="shared" si="21"/>
        <v>-3.56</v>
      </c>
    </row>
  </sheetData>
  <mergeCells count="58">
    <mergeCell ref="M12:M16"/>
    <mergeCell ref="M6:M10"/>
    <mergeCell ref="I6:I10"/>
    <mergeCell ref="P12:P13"/>
    <mergeCell ref="L12:L16"/>
    <mergeCell ref="L6:L10"/>
    <mergeCell ref="K12:K16"/>
    <mergeCell ref="K6:K10"/>
    <mergeCell ref="J12:J16"/>
    <mergeCell ref="J6:J10"/>
    <mergeCell ref="P6:P10"/>
    <mergeCell ref="O12:O16"/>
    <mergeCell ref="O6:O10"/>
    <mergeCell ref="N12:N16"/>
    <mergeCell ref="N6:N10"/>
    <mergeCell ref="B3:B4"/>
    <mergeCell ref="B6:B10"/>
    <mergeCell ref="B12:B16"/>
    <mergeCell ref="C12:C16"/>
    <mergeCell ref="H12:H16"/>
    <mergeCell ref="H6:H10"/>
    <mergeCell ref="G12:G16"/>
    <mergeCell ref="G6:G10"/>
    <mergeCell ref="F12:F16"/>
    <mergeCell ref="F6:F10"/>
    <mergeCell ref="E12:E16"/>
    <mergeCell ref="E6:E10"/>
    <mergeCell ref="D12:D16"/>
    <mergeCell ref="D6:D10"/>
    <mergeCell ref="M36:M40"/>
    <mergeCell ref="M30:M34"/>
    <mergeCell ref="I30:I34"/>
    <mergeCell ref="P36:P37"/>
    <mergeCell ref="L36:L40"/>
    <mergeCell ref="L30:L34"/>
    <mergeCell ref="K36:K40"/>
    <mergeCell ref="K30:K34"/>
    <mergeCell ref="J36:J40"/>
    <mergeCell ref="J30:J34"/>
    <mergeCell ref="P30:P34"/>
    <mergeCell ref="O36:O40"/>
    <mergeCell ref="O30:O34"/>
    <mergeCell ref="N36:N40"/>
    <mergeCell ref="N30:N34"/>
    <mergeCell ref="B27:B28"/>
    <mergeCell ref="B30:B34"/>
    <mergeCell ref="B36:B40"/>
    <mergeCell ref="C36:C40"/>
    <mergeCell ref="H36:H40"/>
    <mergeCell ref="H30:H34"/>
    <mergeCell ref="G36:G40"/>
    <mergeCell ref="G30:G34"/>
    <mergeCell ref="F36:F40"/>
    <mergeCell ref="F30:F34"/>
    <mergeCell ref="E36:E40"/>
    <mergeCell ref="E30:E34"/>
    <mergeCell ref="D36:D40"/>
    <mergeCell ref="D30:D34"/>
  </mergeCells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Detumbling</vt:lpstr>
      <vt:lpstr>① 2주기(Mission&amp;UHF)</vt:lpstr>
      <vt:lpstr>② 8주기(S-band)</vt:lpstr>
      <vt:lpstr>③ 2주기(S-band)</vt:lpstr>
      <vt:lpstr>④ 그 외</vt:lpstr>
      <vt:lpstr>parameter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ACL2022_13</cp:lastModifiedBy>
  <cp:revision>109</cp:revision>
  <dcterms:created xsi:type="dcterms:W3CDTF">2022-05-05T15:04:23Z</dcterms:created>
  <dcterms:modified xsi:type="dcterms:W3CDTF">2022-10-13T08:57:14Z</dcterms:modified>
  <cp:version>1000.0100.01</cp:version>
</cp:coreProperties>
</file>