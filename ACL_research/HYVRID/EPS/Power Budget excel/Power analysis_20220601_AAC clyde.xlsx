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이진진\Desktop\대학원\프로젝트\"/>
    </mc:Choice>
  </mc:AlternateContent>
  <xr:revisionPtr revIDLastSave="0" documentId="13_ncr:1_{1AFEE0C3-ADC0-4BD6-BC82-0BCDF5AA40AA}" xr6:coauthVersionLast="47" xr6:coauthVersionMax="47" xr10:uidLastSave="{00000000-0000-0000-0000-000000000000}"/>
  <bookViews>
    <workbookView xWindow="-120" yWindow="-120" windowWidth="29040" windowHeight="15840" firstSheet="1" activeTab="1" xr2:uid="{0A2B6DDC-A61D-4F7D-BB4D-49AE07372813}"/>
  </bookViews>
  <sheets>
    <sheet name="parameter" sheetId="1" r:id="rId1"/>
    <sheet name="Power analysis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4" i="2" l="1"/>
  <c r="H24" i="2"/>
  <c r="G24" i="2"/>
  <c r="J7" i="2"/>
  <c r="K7" i="2"/>
  <c r="L7" i="2"/>
  <c r="S26" i="2" l="1"/>
  <c r="R9" i="2"/>
  <c r="R8" i="2"/>
  <c r="N4" i="2"/>
  <c r="R6" i="2"/>
  <c r="R7" i="2"/>
  <c r="R10" i="2"/>
  <c r="R11" i="2"/>
  <c r="R12" i="2"/>
  <c r="R13" i="2"/>
  <c r="R14" i="2"/>
  <c r="R16" i="2"/>
  <c r="R17" i="2"/>
  <c r="R18" i="2"/>
  <c r="R20" i="2"/>
  <c r="R22" i="2"/>
  <c r="R23" i="2"/>
  <c r="R24" i="2"/>
  <c r="R5" i="2"/>
  <c r="P11" i="2" l="1"/>
  <c r="P9" i="2"/>
  <c r="P10" i="2"/>
  <c r="P14" i="2"/>
  <c r="P8" i="2"/>
  <c r="P7" i="2"/>
  <c r="P5" i="2"/>
  <c r="C5" i="1" l="1"/>
  <c r="I10" i="2" l="1"/>
  <c r="L10" i="2" s="1"/>
  <c r="H10" i="2"/>
  <c r="K10" i="2" s="1"/>
  <c r="H11" i="2"/>
  <c r="K11" i="2" s="1"/>
  <c r="G14" i="2"/>
  <c r="J14" i="2" s="1"/>
  <c r="H14" i="2"/>
  <c r="K14" i="2" s="1"/>
  <c r="I14" i="2"/>
  <c r="L14" i="2" s="1"/>
  <c r="T14" i="2" s="1"/>
  <c r="H8" i="2"/>
  <c r="K8" i="2" s="1"/>
  <c r="I8" i="2"/>
  <c r="L8" i="2" s="1"/>
  <c r="H9" i="2"/>
  <c r="K9" i="2" s="1"/>
  <c r="I9" i="2"/>
  <c r="L9" i="2" s="1"/>
  <c r="H12" i="2"/>
  <c r="K12" i="2" s="1"/>
  <c r="U12" i="2" s="1"/>
  <c r="H13" i="2"/>
  <c r="K13" i="2" s="1"/>
  <c r="U13" i="2" s="1"/>
  <c r="T11" i="2" l="1"/>
  <c r="U11" i="2"/>
  <c r="T8" i="2"/>
  <c r="T9" i="2"/>
  <c r="T13" i="2"/>
  <c r="T12" i="2"/>
  <c r="T10" i="2"/>
  <c r="U8" i="2"/>
  <c r="U14" i="2"/>
  <c r="U9" i="2"/>
  <c r="U10" i="2"/>
  <c r="S6" i="2" l="1"/>
  <c r="S7" i="2"/>
  <c r="S5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8" i="2"/>
  <c r="S8" i="2" s="1"/>
  <c r="U6" i="2" l="1"/>
  <c r="T6" i="2"/>
  <c r="C8" i="1"/>
  <c r="U18" i="2"/>
  <c r="U5" i="2"/>
  <c r="I6" i="2"/>
  <c r="H6" i="2"/>
  <c r="C10" i="1" l="1"/>
  <c r="Y5" i="2" s="1"/>
  <c r="U17" i="2"/>
  <c r="G10" i="3" s="1"/>
  <c r="R26" i="2" l="1"/>
  <c r="O4" i="2"/>
  <c r="H5" i="2"/>
  <c r="T18" i="2"/>
  <c r="S18" i="2"/>
  <c r="S23" i="2"/>
  <c r="L22" i="2"/>
  <c r="S22" i="2" s="1"/>
  <c r="L23" i="2"/>
  <c r="K16" i="2"/>
  <c r="T17" i="2"/>
  <c r="K19" i="2"/>
  <c r="R19" i="2" s="1"/>
  <c r="K22" i="2"/>
  <c r="J22" i="2"/>
  <c r="J23" i="2"/>
  <c r="T7" i="2"/>
  <c r="Y4" i="2"/>
  <c r="I20" i="2"/>
  <c r="L20" i="2" s="1"/>
  <c r="T20" i="2" s="1"/>
  <c r="H20" i="2"/>
  <c r="K20" i="2" s="1"/>
  <c r="K15" i="2"/>
  <c r="R15" i="2" s="1"/>
  <c r="S14" i="2"/>
  <c r="S9" i="2"/>
  <c r="H21" i="2"/>
  <c r="K21" i="2" s="1"/>
  <c r="I21" i="2"/>
  <c r="L21" i="2" s="1"/>
  <c r="C12" i="1"/>
  <c r="C11" i="1"/>
  <c r="Y6" i="2" s="1"/>
  <c r="T21" i="2" l="1"/>
  <c r="R21" i="2"/>
  <c r="R25" i="2"/>
  <c r="R27" i="2" s="1"/>
  <c r="R32" i="2" s="1"/>
  <c r="F10" i="3"/>
  <c r="T23" i="2"/>
  <c r="U24" i="2"/>
  <c r="T19" i="2"/>
  <c r="Q4" i="2"/>
  <c r="P4" i="2"/>
  <c r="T5" i="2"/>
  <c r="S20" i="2"/>
  <c r="U15" i="2"/>
  <c r="S21" i="2"/>
  <c r="S10" i="2"/>
  <c r="U23" i="2"/>
  <c r="U21" i="2"/>
  <c r="S13" i="2"/>
  <c r="T16" i="2"/>
  <c r="U16" i="2"/>
  <c r="U20" i="2"/>
  <c r="U7" i="2"/>
  <c r="S19" i="2"/>
  <c r="U19" i="2"/>
  <c r="T22" i="2"/>
  <c r="U22" i="2"/>
  <c r="S11" i="2"/>
  <c r="S24" i="2"/>
  <c r="T24" i="2"/>
  <c r="F9" i="3" s="1"/>
  <c r="S12" i="2"/>
  <c r="T15" i="2"/>
  <c r="S15" i="2"/>
  <c r="S16" i="2"/>
  <c r="S17" i="2"/>
  <c r="E10" i="3" s="1"/>
  <c r="R33" i="2" l="1"/>
  <c r="R31" i="2"/>
  <c r="R29" i="2"/>
  <c r="R28" i="2"/>
  <c r="R30" i="2" s="1"/>
  <c r="G9" i="3"/>
  <c r="G8" i="3"/>
  <c r="F8" i="3"/>
  <c r="E8" i="3"/>
  <c r="E9" i="3"/>
  <c r="S25" i="2"/>
  <c r="S27" i="2" s="1"/>
  <c r="U25" i="2"/>
  <c r="U27" i="2" s="1"/>
  <c r="U28" i="2" s="1"/>
  <c r="U30" i="2" s="1"/>
  <c r="T25" i="2"/>
  <c r="T27" i="2" s="1"/>
  <c r="T28" i="2" s="1"/>
  <c r="T30" i="2" s="1"/>
  <c r="T31" i="2" l="1"/>
  <c r="T32" i="2"/>
  <c r="S32" i="2"/>
  <c r="S31" i="2"/>
  <c r="S29" i="2"/>
  <c r="S33" i="2"/>
  <c r="U31" i="2"/>
  <c r="U32" i="2"/>
  <c r="S28" i="2"/>
  <c r="S30" i="2" s="1"/>
  <c r="E1" i="3"/>
  <c r="E2" i="3" s="1"/>
  <c r="E4" i="3" l="1"/>
  <c r="E3" i="3"/>
  <c r="G5" i="3" l="1"/>
  <c r="F5" i="3"/>
  <c r="F6" i="3" l="1"/>
  <c r="F7" i="3"/>
  <c r="G7" i="3"/>
  <c r="G6" i="3"/>
</calcChain>
</file>

<file path=xl/sharedStrings.xml><?xml version="1.0" encoding="utf-8"?>
<sst xmlns="http://schemas.openxmlformats.org/spreadsheetml/2006/main" count="148" uniqueCount="116">
  <si>
    <t>parameter</t>
    <phoneticPr fontId="1" type="noConversion"/>
  </si>
  <si>
    <t>Earth Gravitational Standard Cosntant (km3/sec2)</t>
  </si>
  <si>
    <t>Earth Effective Radius (km)</t>
  </si>
  <si>
    <t>attitdue (km)</t>
    <phoneticPr fontId="1" type="noConversion"/>
  </si>
  <si>
    <t>orbital period (sec)</t>
    <phoneticPr fontId="1" type="noConversion"/>
  </si>
  <si>
    <t>sunlight (sec)</t>
    <phoneticPr fontId="1" type="noConversion"/>
  </si>
  <si>
    <t>Eclipse (sec)</t>
    <phoneticPr fontId="1" type="noConversion"/>
  </si>
  <si>
    <t>conversion efficiency (%)</t>
    <phoneticPr fontId="1" type="noConversion"/>
  </si>
  <si>
    <t>Product</t>
    <phoneticPr fontId="1" type="noConversion"/>
  </si>
  <si>
    <t>Subsystem</t>
    <phoneticPr fontId="1" type="noConversion"/>
  </si>
  <si>
    <t>PAYR</t>
    <phoneticPr fontId="1" type="noConversion"/>
  </si>
  <si>
    <t>PAYS</t>
    <phoneticPr fontId="1" type="noConversion"/>
  </si>
  <si>
    <t>PAYC</t>
    <phoneticPr fontId="1" type="noConversion"/>
  </si>
  <si>
    <t>ACDS</t>
    <phoneticPr fontId="1" type="noConversion"/>
  </si>
  <si>
    <t>CNDH</t>
    <phoneticPr fontId="1" type="noConversion"/>
  </si>
  <si>
    <t>COMS</t>
    <phoneticPr fontId="1" type="noConversion"/>
  </si>
  <si>
    <t>EPS</t>
    <phoneticPr fontId="1" type="noConversion"/>
  </si>
  <si>
    <t>Cam</t>
    <phoneticPr fontId="1" type="noConversion"/>
  </si>
  <si>
    <t>Battery</t>
    <phoneticPr fontId="1" type="noConversion"/>
  </si>
  <si>
    <t>PCDU</t>
    <phoneticPr fontId="1" type="noConversion"/>
  </si>
  <si>
    <t>Solar cell</t>
    <phoneticPr fontId="1" type="noConversion"/>
  </si>
  <si>
    <t>OBC</t>
    <phoneticPr fontId="1" type="noConversion"/>
  </si>
  <si>
    <t>UHF antenna</t>
    <phoneticPr fontId="1" type="noConversion"/>
  </si>
  <si>
    <t>S-band TRx</t>
    <phoneticPr fontId="1" type="noConversion"/>
  </si>
  <si>
    <t>UHF TRx</t>
    <phoneticPr fontId="1" type="noConversion"/>
  </si>
  <si>
    <t>ADCS module</t>
    <phoneticPr fontId="1" type="noConversion"/>
  </si>
  <si>
    <t>GPS antenna</t>
    <phoneticPr fontId="1" type="noConversion"/>
  </si>
  <si>
    <t>GPS Rx</t>
    <phoneticPr fontId="1" type="noConversion"/>
  </si>
  <si>
    <t>NanoCam - 70 mm</t>
  </si>
  <si>
    <t>OEM719</t>
  </si>
  <si>
    <t>Optimus-40</t>
  </si>
  <si>
    <t>Starbuck-Nano-Plus</t>
  </si>
  <si>
    <t>NanoCom AX100</t>
  </si>
  <si>
    <t>Voltage Input</t>
    <phoneticPr fontId="1" type="noConversion"/>
  </si>
  <si>
    <t>Idel</t>
    <phoneticPr fontId="1" type="noConversion"/>
  </si>
  <si>
    <t>Nominal</t>
    <phoneticPr fontId="1" type="noConversion"/>
  </si>
  <si>
    <t>Peak</t>
    <phoneticPr fontId="1" type="noConversion"/>
  </si>
  <si>
    <t>Mode</t>
    <phoneticPr fontId="1" type="noConversion"/>
  </si>
  <si>
    <t>Rx</t>
    <phoneticPr fontId="1" type="noConversion"/>
  </si>
  <si>
    <t>Tx</t>
    <phoneticPr fontId="1" type="noConversion"/>
  </si>
  <si>
    <t>ISIS</t>
    <phoneticPr fontId="1" type="noConversion"/>
  </si>
  <si>
    <t>Current(A)</t>
    <phoneticPr fontId="1" type="noConversion"/>
  </si>
  <si>
    <t>Vbat</t>
    <phoneticPr fontId="1" type="noConversion"/>
  </si>
  <si>
    <t>Cubecomputer</t>
    <phoneticPr fontId="1" type="noConversion"/>
  </si>
  <si>
    <t>Cubesense V3 x 2</t>
    <phoneticPr fontId="1" type="noConversion"/>
  </si>
  <si>
    <t>Cubecontrol</t>
    <phoneticPr fontId="1" type="noConversion"/>
  </si>
  <si>
    <t>CubeMag</t>
    <phoneticPr fontId="1" type="noConversion"/>
  </si>
  <si>
    <t>Wheel x 3</t>
    <phoneticPr fontId="1" type="noConversion"/>
  </si>
  <si>
    <t>CubeTorquers coil</t>
    <phoneticPr fontId="1" type="noConversion"/>
  </si>
  <si>
    <t>TW1829</t>
    <phoneticPr fontId="1" type="noConversion"/>
  </si>
  <si>
    <t>sun pointing</t>
    <phoneticPr fontId="1" type="noConversion"/>
  </si>
  <si>
    <t>Orbit period</t>
    <phoneticPr fontId="1" type="noConversion"/>
  </si>
  <si>
    <t>Missiond period</t>
    <phoneticPr fontId="1" type="noConversion"/>
  </si>
  <si>
    <t>Power</t>
    <phoneticPr fontId="1" type="noConversion"/>
  </si>
  <si>
    <t>Wh</t>
    <phoneticPr fontId="1" type="noConversion"/>
  </si>
  <si>
    <t>Note</t>
    <phoneticPr fontId="1" type="noConversion"/>
  </si>
  <si>
    <t>GOMspace</t>
    <phoneticPr fontId="1" type="noConversion"/>
  </si>
  <si>
    <t>Idle</t>
    <phoneticPr fontId="1" type="noConversion"/>
  </si>
  <si>
    <t>total power consumption</t>
    <phoneticPr fontId="1" type="noConversion"/>
  </si>
  <si>
    <t>Consumption Power (W)</t>
    <phoneticPr fontId="1" type="noConversion"/>
  </si>
  <si>
    <t>DoD reference</t>
    <phoneticPr fontId="1" type="noConversion"/>
  </si>
  <si>
    <t>Conversion Efficiency</t>
  </si>
  <si>
    <t>required margin</t>
    <phoneticPr fontId="1" type="noConversion"/>
  </si>
  <si>
    <t>W</t>
    <phoneticPr fontId="1" type="noConversion"/>
  </si>
  <si>
    <t>Peak load</t>
    <phoneticPr fontId="1" type="noConversion"/>
  </si>
  <si>
    <t>3.3V</t>
    <phoneticPr fontId="1" type="noConversion"/>
  </si>
  <si>
    <t>5.0V</t>
    <phoneticPr fontId="1" type="noConversion"/>
  </si>
  <si>
    <t>&lt; 4.5 A</t>
    <phoneticPr fontId="1" type="noConversion"/>
  </si>
  <si>
    <t>&lt; 4.7 A</t>
    <phoneticPr fontId="1" type="noConversion"/>
  </si>
  <si>
    <t>Mission</t>
    <phoneticPr fontId="1" type="noConversion"/>
  </si>
  <si>
    <t>S-band COM</t>
    <phoneticPr fontId="1" type="noConversion"/>
  </si>
  <si>
    <t>Duty(%)</t>
    <phoneticPr fontId="1" type="noConversion"/>
  </si>
  <si>
    <t>Time</t>
    <phoneticPr fontId="1" type="noConversion"/>
  </si>
  <si>
    <t>PULSAR-STX</t>
    <phoneticPr fontId="1" type="noConversion"/>
  </si>
  <si>
    <t>LTAN</t>
    <phoneticPr fontId="1" type="noConversion"/>
  </si>
  <si>
    <t>Beta angle(deg)</t>
    <phoneticPr fontId="1" type="noConversion"/>
  </si>
  <si>
    <t>sunlight (sec)</t>
  </si>
  <si>
    <t>Eclipse (sec)</t>
  </si>
  <si>
    <t>solar panel efficiency</t>
    <phoneticPr fontId="1" type="noConversion"/>
  </si>
  <si>
    <t>Emppt</t>
    <phoneticPr fontId="1" type="noConversion"/>
  </si>
  <si>
    <t>Etmp</t>
    <phoneticPr fontId="1" type="noConversion"/>
  </si>
  <si>
    <t>Eman</t>
    <phoneticPr fontId="1" type="noConversion"/>
  </si>
  <si>
    <t xml:space="preserve">Need Orbit number for Full charge </t>
    <phoneticPr fontId="1" type="noConversion"/>
  </si>
  <si>
    <t>Power generation (orbit average)</t>
    <phoneticPr fontId="1" type="noConversion"/>
  </si>
  <si>
    <t>SoC after sun-pointing</t>
    <phoneticPr fontId="1" type="noConversion"/>
  </si>
  <si>
    <t>SoC after sun-pointing 6 orbit</t>
    <phoneticPr fontId="1" type="noConversion"/>
  </si>
  <si>
    <t>SoC after mission or S-band COM</t>
    <phoneticPr fontId="1" type="noConversion"/>
  </si>
  <si>
    <t>&gt; 40 %</t>
    <phoneticPr fontId="1" type="noConversion"/>
  </si>
  <si>
    <t>After mission or S-band COM,charging magnitude</t>
    <phoneticPr fontId="1" type="noConversion"/>
  </si>
  <si>
    <t>After sun-pointing, charging  magnitude</t>
    <phoneticPr fontId="1" type="noConversion"/>
  </si>
  <si>
    <t>%</t>
    <phoneticPr fontId="1" type="noConversion"/>
  </si>
  <si>
    <t>N</t>
    <phoneticPr fontId="1" type="noConversion"/>
  </si>
  <si>
    <t>worst case</t>
    <phoneticPr fontId="1" type="noConversion"/>
  </si>
  <si>
    <t>SoC after mission or S-band COM except margin</t>
    <phoneticPr fontId="1" type="noConversion"/>
  </si>
  <si>
    <t>Detumbling</t>
    <phoneticPr fontId="1" type="noConversion"/>
  </si>
  <si>
    <t>Need battery capacity (orbit average)</t>
    <phoneticPr fontId="1" type="noConversion"/>
  </si>
  <si>
    <t>Depth of Discharge</t>
    <phoneticPr fontId="1" type="noConversion"/>
  </si>
  <si>
    <t>Residual/Generation</t>
    <phoneticPr fontId="1" type="noConversion"/>
  </si>
  <si>
    <t>Power Margin Value</t>
    <phoneticPr fontId="1" type="noConversion"/>
  </si>
  <si>
    <t>Power Margin</t>
    <phoneticPr fontId="1" type="noConversion"/>
  </si>
  <si>
    <t>&gt;40%</t>
    <phoneticPr fontId="1" type="noConversion"/>
  </si>
  <si>
    <t>SoC (state of charge)</t>
    <phoneticPr fontId="1" type="noConversion"/>
  </si>
  <si>
    <t>DoD (Depth of discharge)</t>
    <phoneticPr fontId="1" type="noConversion"/>
  </si>
  <si>
    <t>charging rate</t>
    <phoneticPr fontId="1" type="noConversion"/>
  </si>
  <si>
    <t>CubeTorquers rod</t>
    <phoneticPr fontId="1" type="noConversion"/>
  </si>
  <si>
    <t>Component</t>
    <phoneticPr fontId="1" type="noConversion"/>
  </si>
  <si>
    <t>NST</t>
    <phoneticPr fontId="1" type="noConversion"/>
  </si>
  <si>
    <t>3.3V</t>
  </si>
  <si>
    <t>3.3V</t>
    <phoneticPr fontId="1" type="noConversion"/>
  </si>
  <si>
    <t>5V</t>
    <phoneticPr fontId="1" type="noConversion"/>
  </si>
  <si>
    <t>3.3V (1)</t>
    <phoneticPr fontId="1" type="noConversion"/>
  </si>
  <si>
    <t>3.3V (2)</t>
    <phoneticPr fontId="1" type="noConversion"/>
  </si>
  <si>
    <t>5.5V (2)</t>
    <phoneticPr fontId="1" type="noConversion"/>
  </si>
  <si>
    <t>channel</t>
    <phoneticPr fontId="1" type="noConversion"/>
  </si>
  <si>
    <t>VBAT</t>
    <phoneticPr fontId="1" type="noConversion"/>
  </si>
  <si>
    <t>TBD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</si>
</sst>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_);[Red]\(0.00000\)"/>
    <numFmt numFmtId="177" formatCode="0_);[Red]\(0\)"/>
    <numFmt numFmtId="178" formatCode="0.0000_ "/>
  </numFmts>
  <fonts count="3">
    <font>
      <sz val="11"/>
      <color theme="1"/>
      <name val="D2Coding"/>
      <family val="2"/>
      <charset val="129"/>
    </font>
    <font>
      <sz val="8"/>
      <name val="D2Coding"/>
      <family val="2"/>
      <charset val="129"/>
    </font>
    <font>
      <sz val="11"/>
      <name val="D2Coding"/>
      <family val="2"/>
      <charset val="129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4" xfId="0" applyNumberFormat="1" applyFill="1" applyBorder="1" applyAlignment="1">
      <alignment horizontal="right" vertical="center"/>
    </xf>
    <xf numFmtId="0" fontId="0" fillId="0" borderId="2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0" fillId="0" borderId="8" xfId="0" applyNumberFormat="1" applyFill="1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Alignment="1">
      <alignment horizontal="left" vertical="center"/>
    </xf>
    <xf numFmtId="176" fontId="0" fillId="5" borderId="4" xfId="0" applyNumberFormat="1" applyFill="1" applyBorder="1" applyAlignment="1">
      <alignment horizontal="right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right" vertical="center"/>
    </xf>
    <xf numFmtId="0" fontId="0" fillId="0" borderId="7" xfId="0" applyFill="1" applyBorder="1" applyAlignment="1">
      <alignment vertical="center"/>
    </xf>
    <xf numFmtId="176" fontId="0" fillId="0" borderId="0" xfId="0" applyNumberFormat="1" applyFill="1" applyBorder="1" applyAlignment="1">
      <alignment vertical="center"/>
    </xf>
    <xf numFmtId="0" fontId="0" fillId="5" borderId="5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0" xfId="0" applyFill="1" applyBorder="1" applyAlignment="1">
      <alignment horizontal="left" vertical="center"/>
    </xf>
    <xf numFmtId="0" fontId="0" fillId="5" borderId="14" xfId="0" applyFill="1" applyBorder="1" applyAlignment="1">
      <alignment horizontal="center" vertical="center"/>
    </xf>
    <xf numFmtId="176" fontId="0" fillId="0" borderId="2" xfId="0" applyNumberFormat="1" applyFill="1" applyBorder="1" applyAlignment="1">
      <alignment horizontal="center" vertical="center"/>
    </xf>
    <xf numFmtId="177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2" xfId="0" applyFill="1" applyBorder="1" applyAlignment="1">
      <alignment vertical="center"/>
    </xf>
    <xf numFmtId="0" fontId="0" fillId="0" borderId="0" xfId="0" applyFill="1" applyAlignment="1">
      <alignment horizontal="left" vertical="center"/>
    </xf>
    <xf numFmtId="0" fontId="2" fillId="5" borderId="4" xfId="0" applyFont="1" applyFill="1" applyBorder="1" applyAlignment="1">
      <alignment horizontal="right" vertical="center"/>
    </xf>
    <xf numFmtId="176" fontId="0" fillId="2" borderId="4" xfId="0" applyNumberFormat="1" applyFill="1" applyBorder="1" applyAlignment="1">
      <alignment horizontal="right" vertical="center"/>
    </xf>
    <xf numFmtId="176" fontId="0" fillId="2" borderId="2" xfId="0" applyNumberFormat="1" applyFill="1" applyBorder="1" applyAlignment="1">
      <alignment horizontal="right" vertical="center"/>
    </xf>
    <xf numFmtId="9" fontId="0" fillId="2" borderId="4" xfId="0" applyNumberFormat="1" applyFill="1" applyBorder="1" applyAlignment="1">
      <alignment horizontal="right" vertical="center"/>
    </xf>
    <xf numFmtId="176" fontId="0" fillId="3" borderId="4" xfId="0" applyNumberFormat="1" applyFill="1" applyBorder="1" applyAlignment="1">
      <alignment horizontal="right" vertical="center"/>
    </xf>
    <xf numFmtId="176" fontId="0" fillId="3" borderId="2" xfId="0" applyNumberFormat="1" applyFill="1" applyBorder="1" applyAlignment="1">
      <alignment horizontal="right" vertical="center"/>
    </xf>
    <xf numFmtId="9" fontId="0" fillId="3" borderId="4" xfId="0" applyNumberFormat="1" applyFill="1" applyBorder="1" applyAlignment="1">
      <alignment horizontal="right" vertical="center"/>
    </xf>
    <xf numFmtId="0" fontId="0" fillId="3" borderId="0" xfId="0" applyFill="1" applyAlignment="1">
      <alignment horizontal="center" vertical="center"/>
    </xf>
    <xf numFmtId="176" fontId="0" fillId="4" borderId="4" xfId="0" applyNumberFormat="1" applyFill="1" applyBorder="1" applyAlignment="1">
      <alignment horizontal="right" vertical="center"/>
    </xf>
    <xf numFmtId="176" fontId="0" fillId="4" borderId="2" xfId="0" applyNumberFormat="1" applyFill="1" applyBorder="1" applyAlignment="1">
      <alignment horizontal="right" vertical="center"/>
    </xf>
    <xf numFmtId="9" fontId="0" fillId="4" borderId="4" xfId="0" applyNumberFormat="1" applyFill="1" applyBorder="1" applyAlignment="1">
      <alignment horizontal="right" vertical="center"/>
    </xf>
    <xf numFmtId="0" fontId="0" fillId="0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176" fontId="0" fillId="0" borderId="4" xfId="0" applyNumberFormat="1" applyFill="1" applyBorder="1" applyAlignment="1">
      <alignment horizontal="center" vertical="center"/>
    </xf>
    <xf numFmtId="178" fontId="0" fillId="2" borderId="4" xfId="0" applyNumberFormat="1" applyFill="1" applyBorder="1" applyAlignment="1">
      <alignment horizontal="right" vertical="center"/>
    </xf>
    <xf numFmtId="178" fontId="0" fillId="5" borderId="4" xfId="0" applyNumberFormat="1" applyFill="1" applyBorder="1" applyAlignment="1">
      <alignment horizontal="right" vertical="center"/>
    </xf>
    <xf numFmtId="0" fontId="0" fillId="5" borderId="4" xfId="0" applyFill="1" applyBorder="1" applyAlignment="1">
      <alignment horizontal="center" vertical="center"/>
    </xf>
    <xf numFmtId="178" fontId="0" fillId="4" borderId="4" xfId="0" applyNumberFormat="1" applyFill="1" applyBorder="1" applyAlignment="1">
      <alignment horizontal="right" vertical="center"/>
    </xf>
    <xf numFmtId="178" fontId="0" fillId="3" borderId="4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76" fontId="0" fillId="5" borderId="2" xfId="0" applyNumberFormat="1" applyFill="1" applyBorder="1" applyAlignment="1">
      <alignment horizontal="right" vertical="center"/>
    </xf>
    <xf numFmtId="9" fontId="0" fillId="5" borderId="4" xfId="0" applyNumberFormat="1" applyFill="1" applyBorder="1" applyAlignment="1">
      <alignment horizontal="right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176" fontId="0" fillId="6" borderId="4" xfId="0" applyNumberFormat="1" applyFill="1" applyBorder="1" applyAlignment="1">
      <alignment horizontal="right" vertical="center"/>
    </xf>
    <xf numFmtId="176" fontId="0" fillId="6" borderId="2" xfId="0" applyNumberFormat="1" applyFill="1" applyBorder="1" applyAlignment="1">
      <alignment horizontal="right" vertical="center"/>
    </xf>
    <xf numFmtId="9" fontId="0" fillId="6" borderId="4" xfId="0" applyNumberFormat="1" applyFill="1" applyBorder="1" applyAlignment="1">
      <alignment horizontal="right" vertical="center"/>
    </xf>
    <xf numFmtId="178" fontId="0" fillId="6" borderId="4" xfId="0" applyNumberFormat="1" applyFill="1" applyBorder="1" applyAlignment="1">
      <alignment horizontal="right" vertical="center"/>
    </xf>
    <xf numFmtId="0" fontId="0" fillId="5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3018-7E71-4688-AB39-9D5D3CD43AA0}">
  <dimension ref="B2:H28"/>
  <sheetViews>
    <sheetView workbookViewId="0">
      <selection activeCell="F4" sqref="F4"/>
    </sheetView>
  </sheetViews>
  <sheetFormatPr defaultRowHeight="13.5"/>
  <cols>
    <col min="2" max="2" width="54.75" bestFit="1" customWidth="1"/>
    <col min="5" max="5" width="6.375" customWidth="1"/>
    <col min="6" max="6" width="9.25" customWidth="1"/>
    <col min="7" max="7" width="9.125" bestFit="1" customWidth="1"/>
    <col min="8" max="8" width="14.125" bestFit="1" customWidth="1"/>
  </cols>
  <sheetData>
    <row r="2" spans="2:8">
      <c r="B2" s="1" t="s">
        <v>0</v>
      </c>
    </row>
    <row r="4" spans="2:8">
      <c r="B4" t="s">
        <v>3</v>
      </c>
      <c r="C4">
        <v>500</v>
      </c>
      <c r="E4" t="s">
        <v>74</v>
      </c>
      <c r="F4" s="31">
        <v>0</v>
      </c>
      <c r="G4" s="31">
        <v>0</v>
      </c>
      <c r="H4">
        <v>3.3342999503020398</v>
      </c>
    </row>
    <row r="5" spans="2:8">
      <c r="B5" t="s">
        <v>75</v>
      </c>
      <c r="C5">
        <f>INDEX(G4:H28,MATCH(F4,G4:G28,0),2)</f>
        <v>3.3342999503020398</v>
      </c>
      <c r="G5" s="31">
        <v>1</v>
      </c>
      <c r="H5">
        <v>-10.271498329457399</v>
      </c>
    </row>
    <row r="6" spans="2:8">
      <c r="B6" t="s">
        <v>1</v>
      </c>
      <c r="C6">
        <v>398600</v>
      </c>
      <c r="G6" s="31">
        <v>2</v>
      </c>
      <c r="H6">
        <v>-23.528290252111699</v>
      </c>
    </row>
    <row r="7" spans="2:8">
      <c r="B7" t="s">
        <v>2</v>
      </c>
      <c r="C7">
        <v>6378.14</v>
      </c>
      <c r="G7" s="31">
        <v>3</v>
      </c>
      <c r="H7">
        <v>-36.118151262630199</v>
      </c>
    </row>
    <row r="8" spans="2:8">
      <c r="B8" t="s">
        <v>4</v>
      </c>
      <c r="C8">
        <f>2*PI()*SQRT(($C$7+$C$4)^3/$C$6)</f>
        <v>5676.9848887954295</v>
      </c>
      <c r="G8" s="31">
        <v>4</v>
      </c>
      <c r="H8">
        <v>-47.400155406867697</v>
      </c>
    </row>
    <row r="9" spans="2:8">
      <c r="G9" s="31">
        <v>5</v>
      </c>
      <c r="H9" s="32">
        <v>-56.011313651595202</v>
      </c>
    </row>
    <row r="10" spans="2:8">
      <c r="B10" t="s">
        <v>5</v>
      </c>
      <c r="C10">
        <f>IF(C5 &lt; ASIN(C7/(C7+C4))*180/PI(), (360-2*ASIN((((1/COS(C5*PI()/180))^2)*(((C7/(C7+C4))^2-(SIN(C5*PI()/180))^2)))^0.5)*180/PI())/360*C8, C8)</f>
        <v>3532.9940709702587</v>
      </c>
      <c r="G10" s="31">
        <v>6</v>
      </c>
      <c r="H10" s="32">
        <v>-59.571099866250798</v>
      </c>
    </row>
    <row r="11" spans="2:8">
      <c r="B11" t="s">
        <v>6</v>
      </c>
      <c r="C11">
        <f>C8-C10</f>
        <v>2143.9908178251708</v>
      </c>
      <c r="G11" s="31">
        <v>7</v>
      </c>
      <c r="H11" s="32">
        <v>-56.426129695037702</v>
      </c>
    </row>
    <row r="12" spans="2:8">
      <c r="B12" t="s">
        <v>7</v>
      </c>
      <c r="C12">
        <f>90</f>
        <v>90</v>
      </c>
      <c r="G12" s="31">
        <v>8</v>
      </c>
      <c r="H12">
        <v>-48.062620260921399</v>
      </c>
    </row>
    <row r="13" spans="2:8">
      <c r="G13" s="31">
        <v>9</v>
      </c>
      <c r="H13">
        <v>-36.902155799572</v>
      </c>
    </row>
    <row r="14" spans="2:8">
      <c r="B14" t="s">
        <v>60</v>
      </c>
      <c r="C14">
        <v>0.2</v>
      </c>
      <c r="G14" s="31">
        <v>10</v>
      </c>
      <c r="H14">
        <v>-24.37277069061</v>
      </c>
    </row>
    <row r="15" spans="2:8">
      <c r="B15" t="s">
        <v>61</v>
      </c>
      <c r="C15">
        <v>0.9</v>
      </c>
      <c r="G15" s="31">
        <v>11</v>
      </c>
      <c r="H15">
        <v>-11.147552962117</v>
      </c>
    </row>
    <row r="16" spans="2:8">
      <c r="B16" t="s">
        <v>62</v>
      </c>
      <c r="C16">
        <v>0.4</v>
      </c>
      <c r="G16" s="31">
        <v>12</v>
      </c>
      <c r="H16">
        <v>2.4420052163108199</v>
      </c>
    </row>
    <row r="17" spans="7:8">
      <c r="G17" s="31">
        <v>13</v>
      </c>
      <c r="H17">
        <v>16.205456724665702</v>
      </c>
    </row>
    <row r="18" spans="7:8">
      <c r="G18" s="31">
        <v>14</v>
      </c>
      <c r="H18">
        <v>29.998122792946798</v>
      </c>
    </row>
    <row r="19" spans="7:8">
      <c r="G19" s="31">
        <v>15</v>
      </c>
      <c r="H19">
        <v>43.647692426302797</v>
      </c>
    </row>
    <row r="20" spans="7:8">
      <c r="G20" s="31">
        <v>16</v>
      </c>
      <c r="H20" s="32">
        <v>56.810926741248501</v>
      </c>
    </row>
    <row r="21" spans="7:8">
      <c r="G21" s="31">
        <v>17</v>
      </c>
      <c r="H21" s="32">
        <v>68.422001172795902</v>
      </c>
    </row>
    <row r="22" spans="7:8">
      <c r="G22" s="31">
        <v>18</v>
      </c>
      <c r="H22" s="32">
        <v>74.371379328089901</v>
      </c>
    </row>
    <row r="23" spans="7:8">
      <c r="G23" s="31">
        <v>19</v>
      </c>
      <c r="H23" s="32">
        <v>69.058097270869794</v>
      </c>
    </row>
    <row r="24" spans="7:8">
      <c r="G24" s="31">
        <v>20</v>
      </c>
      <c r="H24" s="32">
        <v>57.633973354615897</v>
      </c>
    </row>
    <row r="25" spans="7:8">
      <c r="G25" s="31">
        <v>21</v>
      </c>
      <c r="H25" s="32">
        <v>44.524976015620197</v>
      </c>
    </row>
    <row r="26" spans="7:8">
      <c r="G26" s="31">
        <v>22</v>
      </c>
      <c r="H26">
        <v>30.893332021598599</v>
      </c>
    </row>
    <row r="27" spans="7:8">
      <c r="G27" s="31">
        <v>23</v>
      </c>
      <c r="H27">
        <v>17.103944718787101</v>
      </c>
    </row>
    <row r="28" spans="7:8">
      <c r="G28" s="31">
        <v>24</v>
      </c>
      <c r="H28">
        <v>3.3342999503020398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42B07-71D3-4ED8-9756-DD557F1EF167}">
  <dimension ref="A2:Y52"/>
  <sheetViews>
    <sheetView tabSelected="1" zoomScaleNormal="100" workbookViewId="0">
      <pane xSplit="4" ySplit="3" topLeftCell="I4" activePane="bottomRight" state="frozen"/>
      <selection pane="topRight" activeCell="E1" sqref="E1"/>
      <selection pane="bottomLeft" activeCell="A4" sqref="A4"/>
      <selection pane="bottomRight" activeCell="S25" sqref="S25"/>
    </sheetView>
  </sheetViews>
  <sheetFormatPr defaultColWidth="9.125" defaultRowHeight="13.5"/>
  <cols>
    <col min="1" max="1" width="9.125" style="1"/>
    <col min="2" max="2" width="10.75" style="1" bestFit="1" customWidth="1"/>
    <col min="3" max="3" width="16.375" style="1" bestFit="1" customWidth="1"/>
    <col min="4" max="4" width="31" style="1" bestFit="1" customWidth="1"/>
    <col min="5" max="5" width="17" style="1" bestFit="1" customWidth="1"/>
    <col min="6" max="6" width="15.25" style="1" bestFit="1" customWidth="1"/>
    <col min="7" max="12" width="10.875" style="7" bestFit="1" customWidth="1"/>
    <col min="13" max="13" width="10.875" style="7" customWidth="1"/>
    <col min="14" max="14" width="13.375" style="7" bestFit="1" customWidth="1"/>
    <col min="15" max="17" width="15.75" style="7" customWidth="1"/>
    <col min="18" max="18" width="13.375" style="7" bestFit="1" customWidth="1"/>
    <col min="19" max="19" width="14.25" style="7" bestFit="1" customWidth="1"/>
    <col min="20" max="21" width="13.375" style="7" bestFit="1" customWidth="1"/>
    <col min="22" max="22" width="4" style="7" bestFit="1" customWidth="1"/>
    <col min="23" max="23" width="17.125" style="7" customWidth="1"/>
    <col min="24" max="24" width="25.75" style="7" bestFit="1" customWidth="1"/>
    <col min="25" max="25" width="10.625" style="1" bestFit="1" customWidth="1"/>
    <col min="26" max="26" width="24.625" style="1" bestFit="1" customWidth="1"/>
    <col min="27" max="27" width="13.125" style="1" bestFit="1" customWidth="1"/>
    <col min="28" max="16384" width="9.125" style="1"/>
  </cols>
  <sheetData>
    <row r="2" spans="1:25">
      <c r="A2" s="1" t="s">
        <v>113</v>
      </c>
      <c r="B2" s="2" t="s">
        <v>9</v>
      </c>
      <c r="C2" s="2" t="s">
        <v>105</v>
      </c>
      <c r="D2" s="2" t="s">
        <v>8</v>
      </c>
      <c r="E2" s="2" t="s">
        <v>37</v>
      </c>
      <c r="F2" s="2" t="s">
        <v>33</v>
      </c>
      <c r="G2" s="73" t="s">
        <v>41</v>
      </c>
      <c r="H2" s="73"/>
      <c r="I2" s="73"/>
      <c r="J2" s="73" t="s">
        <v>53</v>
      </c>
      <c r="K2" s="73"/>
      <c r="L2" s="73"/>
      <c r="M2" s="11"/>
      <c r="N2" s="73" t="s">
        <v>71</v>
      </c>
      <c r="O2" s="73"/>
      <c r="P2" s="73"/>
      <c r="Q2" s="73"/>
      <c r="R2" s="73" t="s">
        <v>59</v>
      </c>
      <c r="S2" s="73"/>
      <c r="T2" s="73"/>
      <c r="U2" s="73"/>
      <c r="V2" s="21"/>
      <c r="W2" s="33"/>
      <c r="X2" s="4" t="s">
        <v>55</v>
      </c>
      <c r="Y2" s="7"/>
    </row>
    <row r="3" spans="1:25">
      <c r="B3" s="2"/>
      <c r="C3" s="2"/>
      <c r="D3" s="4"/>
      <c r="E3" s="4"/>
      <c r="F3" s="2"/>
      <c r="G3" s="4" t="s">
        <v>57</v>
      </c>
      <c r="H3" s="4" t="s">
        <v>35</v>
      </c>
      <c r="I3" s="4" t="s">
        <v>36</v>
      </c>
      <c r="J3" s="4" t="s">
        <v>34</v>
      </c>
      <c r="K3" s="4" t="s">
        <v>35</v>
      </c>
      <c r="L3" s="4" t="s">
        <v>36</v>
      </c>
      <c r="M3" s="11" t="s">
        <v>37</v>
      </c>
      <c r="N3" s="46" t="s">
        <v>94</v>
      </c>
      <c r="O3" s="46" t="s">
        <v>50</v>
      </c>
      <c r="P3" s="46" t="s">
        <v>69</v>
      </c>
      <c r="Q3" s="46" t="s">
        <v>70</v>
      </c>
      <c r="R3" s="46" t="s">
        <v>94</v>
      </c>
      <c r="S3" s="46" t="s">
        <v>50</v>
      </c>
      <c r="T3" s="46" t="s">
        <v>69</v>
      </c>
      <c r="U3" s="46" t="s">
        <v>70</v>
      </c>
      <c r="V3" s="50"/>
      <c r="W3" s="1"/>
      <c r="X3" s="17" t="s">
        <v>51</v>
      </c>
      <c r="Y3" s="1">
        <v>5676.9848887954295</v>
      </c>
    </row>
    <row r="4" spans="1:25">
      <c r="B4" s="2"/>
      <c r="C4" s="2"/>
      <c r="D4" s="4"/>
      <c r="E4" s="4"/>
      <c r="F4" s="2"/>
      <c r="G4" s="10"/>
      <c r="H4" s="10"/>
      <c r="I4" s="10"/>
      <c r="J4" s="10"/>
      <c r="K4" s="10"/>
      <c r="L4" s="10"/>
      <c r="M4" s="30" t="s">
        <v>72</v>
      </c>
      <c r="N4" s="51">
        <f>Y3</f>
        <v>5676.9848887954295</v>
      </c>
      <c r="O4" s="10">
        <f>Y5</f>
        <v>3532.9940709702587</v>
      </c>
      <c r="P4" s="10">
        <f>Y4</f>
        <v>900</v>
      </c>
      <c r="Q4" s="10">
        <f>Y4</f>
        <v>900</v>
      </c>
      <c r="R4" s="10"/>
      <c r="S4" s="10"/>
      <c r="T4" s="10"/>
      <c r="U4" s="10"/>
      <c r="V4" s="50"/>
      <c r="W4" s="1"/>
      <c r="X4" s="17" t="s">
        <v>52</v>
      </c>
      <c r="Y4" s="1">
        <f>15*60</f>
        <v>900</v>
      </c>
    </row>
    <row r="5" spans="1:25">
      <c r="A5" s="81" t="s">
        <v>112</v>
      </c>
      <c r="B5" s="3" t="s">
        <v>11</v>
      </c>
      <c r="C5" s="3"/>
      <c r="D5" s="3"/>
      <c r="E5" s="3"/>
      <c r="F5" s="3">
        <v>5</v>
      </c>
      <c r="G5" s="36"/>
      <c r="H5" s="36">
        <f>K5/F5</f>
        <v>0.04</v>
      </c>
      <c r="I5" s="36"/>
      <c r="J5" s="36"/>
      <c r="K5" s="36">
        <v>0.2</v>
      </c>
      <c r="L5" s="36"/>
      <c r="M5" s="37"/>
      <c r="N5" s="38">
        <v>0</v>
      </c>
      <c r="O5" s="38">
        <v>0</v>
      </c>
      <c r="P5" s="38">
        <f>900/Y3</f>
        <v>0.158534859195471</v>
      </c>
      <c r="Q5" s="38">
        <v>0</v>
      </c>
      <c r="R5" s="52">
        <f>N5*K5</f>
        <v>0</v>
      </c>
      <c r="S5" s="36">
        <f t="shared" ref="S5:S21" si="0">O5*K5</f>
        <v>0</v>
      </c>
      <c r="T5" s="36">
        <f>P5*K5</f>
        <v>3.1706971839094204E-2</v>
      </c>
      <c r="U5" s="36">
        <f>Q5*K5</f>
        <v>0</v>
      </c>
      <c r="V5" s="50"/>
      <c r="W5" s="1"/>
      <c r="X5" s="17" t="s">
        <v>76</v>
      </c>
      <c r="Y5" s="1">
        <f>parameter!C10</f>
        <v>3532.9940709702587</v>
      </c>
    </row>
    <row r="6" spans="1:25">
      <c r="A6" s="7" t="s">
        <v>115</v>
      </c>
      <c r="B6" s="5" t="s">
        <v>10</v>
      </c>
      <c r="C6" s="5"/>
      <c r="D6" s="5"/>
      <c r="E6" s="5"/>
      <c r="F6" s="5">
        <v>5</v>
      </c>
      <c r="G6" s="39"/>
      <c r="H6" s="39">
        <f>K6/F6</f>
        <v>0.04</v>
      </c>
      <c r="I6" s="39">
        <f>L6/F6</f>
        <v>0.4</v>
      </c>
      <c r="J6" s="39"/>
      <c r="K6" s="39">
        <v>0.2</v>
      </c>
      <c r="L6" s="39">
        <v>2</v>
      </c>
      <c r="M6" s="40"/>
      <c r="N6" s="41">
        <v>0</v>
      </c>
      <c r="O6" s="41">
        <v>1</v>
      </c>
      <c r="P6" s="41">
        <v>0</v>
      </c>
      <c r="Q6" s="41">
        <v>0</v>
      </c>
      <c r="R6" s="56">
        <f t="shared" ref="R6:R24" si="1">N6*K6</f>
        <v>0</v>
      </c>
      <c r="S6" s="39">
        <f t="shared" si="0"/>
        <v>0.2</v>
      </c>
      <c r="T6" s="39">
        <f>P6*K6</f>
        <v>0</v>
      </c>
      <c r="U6" s="39">
        <f>Q6*K6</f>
        <v>0</v>
      </c>
      <c r="V6" s="50"/>
      <c r="W6" s="1"/>
      <c r="X6" s="17" t="s">
        <v>77</v>
      </c>
      <c r="Y6" s="1">
        <f>parameter!C11</f>
        <v>2143.9908178251708</v>
      </c>
    </row>
    <row r="7" spans="1:25">
      <c r="A7" s="79" t="s">
        <v>111</v>
      </c>
      <c r="B7" s="3" t="s">
        <v>12</v>
      </c>
      <c r="C7" s="3" t="s">
        <v>17</v>
      </c>
      <c r="D7" s="3" t="s">
        <v>28</v>
      </c>
      <c r="E7" s="3"/>
      <c r="F7" s="3">
        <v>3.3</v>
      </c>
      <c r="G7" s="36">
        <v>0.115</v>
      </c>
      <c r="H7" s="36">
        <v>0.24199999999999999</v>
      </c>
      <c r="I7" s="36">
        <v>0.39400000000000002</v>
      </c>
      <c r="J7" s="36">
        <f>F7*G7</f>
        <v>0.3795</v>
      </c>
      <c r="K7" s="36">
        <f>H7*F7</f>
        <v>0.79859999999999998</v>
      </c>
      <c r="L7" s="36">
        <f>I7*F7</f>
        <v>1.3002</v>
      </c>
      <c r="M7" s="37"/>
      <c r="N7" s="38">
        <v>0</v>
      </c>
      <c r="O7" s="38">
        <v>0</v>
      </c>
      <c r="P7" s="38">
        <f>900/Y3</f>
        <v>0.158534859195471</v>
      </c>
      <c r="Q7" s="38">
        <v>0</v>
      </c>
      <c r="R7" s="52">
        <f t="shared" si="1"/>
        <v>0</v>
      </c>
      <c r="S7" s="36">
        <f t="shared" si="0"/>
        <v>0</v>
      </c>
      <c r="T7" s="36">
        <f>P7*L7</f>
        <v>0.20612702392595139</v>
      </c>
      <c r="U7" s="36">
        <f>Q7*L7</f>
        <v>0</v>
      </c>
      <c r="V7" s="50"/>
      <c r="W7" s="1"/>
      <c r="X7" s="17"/>
    </row>
    <row r="8" spans="1:25">
      <c r="A8" s="78" t="s">
        <v>108</v>
      </c>
      <c r="B8" s="57" t="s">
        <v>13</v>
      </c>
      <c r="C8" s="57" t="s">
        <v>25</v>
      </c>
      <c r="D8" s="3" t="s">
        <v>43</v>
      </c>
      <c r="E8" s="3"/>
      <c r="F8" s="3">
        <v>3.3</v>
      </c>
      <c r="G8" s="36"/>
      <c r="H8" s="36">
        <f>0.12/F8</f>
        <v>3.6363636363636362E-2</v>
      </c>
      <c r="I8" s="36">
        <f>0.2/F8</f>
        <v>6.0606060606060615E-2</v>
      </c>
      <c r="J8" s="36"/>
      <c r="K8" s="36">
        <f t="shared" ref="K8:K16" si="2">H8*F8</f>
        <v>0.11999999999999998</v>
      </c>
      <c r="L8" s="36">
        <f>I8*F8</f>
        <v>0.2</v>
      </c>
      <c r="M8" s="37"/>
      <c r="N8" s="38">
        <v>1</v>
      </c>
      <c r="O8" s="38">
        <f>1</f>
        <v>1</v>
      </c>
      <c r="P8" s="38">
        <f>900/$Y$3</f>
        <v>0.158534859195471</v>
      </c>
      <c r="Q8" s="38">
        <v>0.16</v>
      </c>
      <c r="R8" s="52">
        <f>N8*K8</f>
        <v>0.11999999999999998</v>
      </c>
      <c r="S8" s="36">
        <f t="shared" si="0"/>
        <v>0.11999999999999998</v>
      </c>
      <c r="T8" s="36">
        <f>P8*$L$8+(1-P8)*K8</f>
        <v>0.13268278873563769</v>
      </c>
      <c r="U8" s="36">
        <f>Q8*$L$8+$K$8*(1-Q8)</f>
        <v>0.13279999999999997</v>
      </c>
      <c r="V8" s="50"/>
      <c r="W8" s="1"/>
      <c r="X8" s="17" t="s">
        <v>78</v>
      </c>
      <c r="Y8" s="1">
        <v>0.3</v>
      </c>
    </row>
    <row r="9" spans="1:25">
      <c r="A9" s="78" t="s">
        <v>108</v>
      </c>
      <c r="B9" s="60"/>
      <c r="C9" s="60"/>
      <c r="D9" s="3" t="s">
        <v>44</v>
      </c>
      <c r="E9" s="3"/>
      <c r="F9" s="3">
        <v>3.3</v>
      </c>
      <c r="G9" s="36"/>
      <c r="H9" s="36">
        <f>0.2/F9</f>
        <v>6.0606060606060615E-2</v>
      </c>
      <c r="I9" s="36">
        <f>0.4/F9</f>
        <v>0.12121212121212123</v>
      </c>
      <c r="J9" s="36"/>
      <c r="K9" s="36">
        <f t="shared" si="2"/>
        <v>0.2</v>
      </c>
      <c r="L9" s="36">
        <f>I9*F9</f>
        <v>0.4</v>
      </c>
      <c r="M9" s="37"/>
      <c r="N9" s="38">
        <v>1</v>
      </c>
      <c r="O9" s="38">
        <f>1</f>
        <v>1</v>
      </c>
      <c r="P9" s="38">
        <f>900/$Y$3</f>
        <v>0.158534859195471</v>
      </c>
      <c r="Q9" s="38">
        <v>0.16</v>
      </c>
      <c r="R9" s="52">
        <f>N9*K9</f>
        <v>0.2</v>
      </c>
      <c r="S9" s="36">
        <f t="shared" si="0"/>
        <v>0.2</v>
      </c>
      <c r="T9" s="36">
        <f>P9*$L$8+(1-P9)*K9</f>
        <v>0.20000000000000004</v>
      </c>
      <c r="U9" s="36">
        <f>Q9*$L$9+$K$9*(1-Q9)</f>
        <v>0.23200000000000001</v>
      </c>
      <c r="V9" s="50"/>
      <c r="W9" s="1"/>
      <c r="X9" s="1" t="s">
        <v>79</v>
      </c>
      <c r="Y9" s="1">
        <v>0.6</v>
      </c>
    </row>
    <row r="10" spans="1:25">
      <c r="A10" s="80" t="s">
        <v>109</v>
      </c>
      <c r="B10" s="59"/>
      <c r="C10" s="59"/>
      <c r="D10" s="5" t="s">
        <v>104</v>
      </c>
      <c r="E10" s="5"/>
      <c r="F10" s="5">
        <v>5</v>
      </c>
      <c r="G10" s="39"/>
      <c r="H10" s="39">
        <f>0.07*5/5</f>
        <v>7.0000000000000007E-2</v>
      </c>
      <c r="I10" s="39">
        <f>0.167*5/5</f>
        <v>0.16700000000000001</v>
      </c>
      <c r="J10" s="39"/>
      <c r="K10" s="39">
        <f>H10*F10</f>
        <v>0.35000000000000003</v>
      </c>
      <c r="L10" s="39">
        <f>I10*F10</f>
        <v>0.83500000000000008</v>
      </c>
      <c r="M10" s="40"/>
      <c r="N10" s="41">
        <v>1</v>
      </c>
      <c r="O10" s="41">
        <f>1</f>
        <v>1</v>
      </c>
      <c r="P10" s="41">
        <f>900/$Y$3</f>
        <v>0.158534859195471</v>
      </c>
      <c r="Q10" s="41">
        <v>0.16</v>
      </c>
      <c r="R10" s="56">
        <f t="shared" si="1"/>
        <v>0.35000000000000003</v>
      </c>
      <c r="S10" s="39">
        <f t="shared" si="0"/>
        <v>0.35000000000000003</v>
      </c>
      <c r="T10" s="39">
        <f>P10*$L$10+(1-P10)*K10</f>
        <v>0.42688940670980347</v>
      </c>
      <c r="U10" s="39">
        <f>Q10*$L$10+$K$10*(1-Q10)</f>
        <v>0.42760000000000009</v>
      </c>
      <c r="V10" s="50"/>
      <c r="W10" s="1"/>
      <c r="X10" s="1" t="s">
        <v>80</v>
      </c>
      <c r="Y10" s="1">
        <v>0.8</v>
      </c>
    </row>
    <row r="11" spans="1:25">
      <c r="A11" s="80" t="s">
        <v>109</v>
      </c>
      <c r="B11" s="59"/>
      <c r="C11" s="59"/>
      <c r="D11" s="5" t="s">
        <v>48</v>
      </c>
      <c r="E11" s="5"/>
      <c r="F11" s="5">
        <v>5</v>
      </c>
      <c r="G11" s="39"/>
      <c r="H11" s="39">
        <f>0.064/F11</f>
        <v>1.2800000000000001E-2</v>
      </c>
      <c r="I11" s="39"/>
      <c r="J11" s="39"/>
      <c r="K11" s="39">
        <f t="shared" si="2"/>
        <v>6.4000000000000001E-2</v>
      </c>
      <c r="L11" s="39"/>
      <c r="M11" s="40"/>
      <c r="N11" s="41">
        <v>1</v>
      </c>
      <c r="O11" s="41">
        <f>1</f>
        <v>1</v>
      </c>
      <c r="P11" s="41">
        <f>1</f>
        <v>1</v>
      </c>
      <c r="Q11" s="41">
        <v>1</v>
      </c>
      <c r="R11" s="56">
        <f t="shared" si="1"/>
        <v>6.4000000000000001E-2</v>
      </c>
      <c r="S11" s="39">
        <f t="shared" si="0"/>
        <v>6.4000000000000001E-2</v>
      </c>
      <c r="T11" s="39">
        <f>P11*$K$11</f>
        <v>6.4000000000000001E-2</v>
      </c>
      <c r="U11" s="39">
        <f>Q11*$K$11</f>
        <v>6.4000000000000001E-2</v>
      </c>
      <c r="V11" s="50"/>
      <c r="W11" s="1"/>
      <c r="X11" s="1" t="s">
        <v>81</v>
      </c>
      <c r="Y11" s="1">
        <v>0.8</v>
      </c>
    </row>
    <row r="12" spans="1:25">
      <c r="A12" s="78" t="s">
        <v>108</v>
      </c>
      <c r="B12" s="60"/>
      <c r="C12" s="60"/>
      <c r="D12" s="3" t="s">
        <v>45</v>
      </c>
      <c r="E12" s="3"/>
      <c r="F12" s="3">
        <v>3.3</v>
      </c>
      <c r="G12" s="36"/>
      <c r="H12" s="36">
        <f>0.2/F12</f>
        <v>6.0606060606060615E-2</v>
      </c>
      <c r="I12" s="36"/>
      <c r="J12" s="36"/>
      <c r="K12" s="36">
        <f t="shared" si="2"/>
        <v>0.2</v>
      </c>
      <c r="L12" s="36"/>
      <c r="M12" s="37"/>
      <c r="N12" s="38">
        <v>1</v>
      </c>
      <c r="O12" s="38">
        <f>1</f>
        <v>1</v>
      </c>
      <c r="P12" s="38">
        <v>1</v>
      </c>
      <c r="Q12" s="38">
        <v>1</v>
      </c>
      <c r="R12" s="52">
        <f t="shared" si="1"/>
        <v>0.2</v>
      </c>
      <c r="S12" s="36">
        <f t="shared" si="0"/>
        <v>0.2</v>
      </c>
      <c r="T12" s="36">
        <f>P12*$K$12</f>
        <v>0.2</v>
      </c>
      <c r="U12" s="36">
        <f>Q12*$K$12</f>
        <v>0.2</v>
      </c>
      <c r="V12" s="50"/>
      <c r="W12" s="1"/>
      <c r="X12" s="1"/>
    </row>
    <row r="13" spans="1:25">
      <c r="A13" s="78" t="s">
        <v>108</v>
      </c>
      <c r="B13" s="60"/>
      <c r="C13" s="60"/>
      <c r="D13" s="3" t="s">
        <v>46</v>
      </c>
      <c r="E13" s="3"/>
      <c r="F13" s="3">
        <v>3.3</v>
      </c>
      <c r="G13" s="36"/>
      <c r="H13" s="36">
        <f>0.035/F13</f>
        <v>1.0606060606060608E-2</v>
      </c>
      <c r="I13" s="36"/>
      <c r="J13" s="36"/>
      <c r="K13" s="36">
        <f t="shared" si="2"/>
        <v>3.5000000000000003E-2</v>
      </c>
      <c r="L13" s="36"/>
      <c r="M13" s="37"/>
      <c r="N13" s="38">
        <v>1</v>
      </c>
      <c r="O13" s="38">
        <f>1</f>
        <v>1</v>
      </c>
      <c r="P13" s="38">
        <v>1</v>
      </c>
      <c r="Q13" s="38">
        <v>1</v>
      </c>
      <c r="R13" s="52">
        <f t="shared" si="1"/>
        <v>3.5000000000000003E-2</v>
      </c>
      <c r="S13" s="36">
        <f t="shared" si="0"/>
        <v>3.5000000000000003E-2</v>
      </c>
      <c r="T13" s="36">
        <f>P13*$K$13</f>
        <v>3.5000000000000003E-2</v>
      </c>
      <c r="U13" s="36">
        <f>Q13*$K$13</f>
        <v>3.5000000000000003E-2</v>
      </c>
      <c r="V13" s="50"/>
      <c r="W13" s="1"/>
      <c r="X13" s="1"/>
    </row>
    <row r="14" spans="1:25">
      <c r="A14" s="82" t="s">
        <v>114</v>
      </c>
      <c r="B14" s="62"/>
      <c r="C14" s="63"/>
      <c r="D14" s="54" t="s">
        <v>47</v>
      </c>
      <c r="E14" s="54"/>
      <c r="F14" s="54">
        <v>8.26</v>
      </c>
      <c r="G14" s="18">
        <f>0.065*3/F14</f>
        <v>2.3607748184019371E-2</v>
      </c>
      <c r="H14" s="18">
        <f>0.19*3/F14</f>
        <v>6.9007263922518172E-2</v>
      </c>
      <c r="I14" s="18">
        <f>2.3*3/F14</f>
        <v>0.83535108958837767</v>
      </c>
      <c r="J14" s="18">
        <f>F14*G14</f>
        <v>0.19500000000000001</v>
      </c>
      <c r="K14" s="18">
        <f t="shared" si="2"/>
        <v>0.57000000000000006</v>
      </c>
      <c r="L14" s="18">
        <f>I14*F14</f>
        <v>6.8999999999999995</v>
      </c>
      <c r="M14" s="64"/>
      <c r="N14" s="65">
        <v>0</v>
      </c>
      <c r="O14" s="65">
        <f>1</f>
        <v>1</v>
      </c>
      <c r="P14" s="65">
        <f>900/$Y$3</f>
        <v>0.158534859195471</v>
      </c>
      <c r="Q14" s="65">
        <v>0.16</v>
      </c>
      <c r="R14" s="53">
        <f t="shared" si="1"/>
        <v>0</v>
      </c>
      <c r="S14" s="18">
        <f t="shared" si="0"/>
        <v>0.57000000000000006</v>
      </c>
      <c r="T14" s="18">
        <f>P14*$L$14+(1-P14)*K14</f>
        <v>1.5735256587073314</v>
      </c>
      <c r="U14" s="18">
        <f>Q14*$L$14+$K$14*(1-Q14)</f>
        <v>1.5828</v>
      </c>
      <c r="V14" s="50"/>
      <c r="W14" s="1"/>
      <c r="X14" s="17" t="s">
        <v>96</v>
      </c>
      <c r="Y14" s="1">
        <v>0.2</v>
      </c>
    </row>
    <row r="15" spans="1:25">
      <c r="A15" s="78" t="s">
        <v>108</v>
      </c>
      <c r="B15" s="60"/>
      <c r="C15" s="3" t="s">
        <v>26</v>
      </c>
      <c r="D15" s="3" t="s">
        <v>49</v>
      </c>
      <c r="E15" s="3"/>
      <c r="F15" s="3">
        <v>3.3</v>
      </c>
      <c r="G15" s="36"/>
      <c r="H15" s="36">
        <v>1.21E-2</v>
      </c>
      <c r="I15" s="36"/>
      <c r="J15" s="36"/>
      <c r="K15" s="36">
        <f t="shared" si="2"/>
        <v>3.9929999999999993E-2</v>
      </c>
      <c r="L15" s="36"/>
      <c r="M15" s="37"/>
      <c r="N15" s="38">
        <v>0</v>
      </c>
      <c r="O15" s="38">
        <f>1</f>
        <v>1</v>
      </c>
      <c r="P15" s="38">
        <v>1</v>
      </c>
      <c r="Q15" s="38">
        <v>1</v>
      </c>
      <c r="R15" s="52">
        <f t="shared" si="1"/>
        <v>0</v>
      </c>
      <c r="S15" s="36">
        <f t="shared" si="0"/>
        <v>3.9929999999999993E-2</v>
      </c>
      <c r="T15" s="36">
        <f>P15*K15</f>
        <v>3.9929999999999993E-2</v>
      </c>
      <c r="U15" s="36">
        <f>Q15*K15</f>
        <v>3.9929999999999993E-2</v>
      </c>
      <c r="V15" s="50"/>
      <c r="W15" s="1"/>
      <c r="X15" s="17" t="s">
        <v>61</v>
      </c>
      <c r="Y15" s="1">
        <v>0.9</v>
      </c>
    </row>
    <row r="16" spans="1:25">
      <c r="A16" s="77" t="s">
        <v>110</v>
      </c>
      <c r="B16" s="61"/>
      <c r="C16" s="3" t="s">
        <v>27</v>
      </c>
      <c r="D16" s="3" t="s">
        <v>29</v>
      </c>
      <c r="E16" s="3"/>
      <c r="F16" s="3">
        <v>3.3</v>
      </c>
      <c r="G16" s="36"/>
      <c r="H16" s="36">
        <v>1.2E-2</v>
      </c>
      <c r="I16" s="36"/>
      <c r="J16" s="36"/>
      <c r="K16" s="36">
        <f t="shared" si="2"/>
        <v>3.9599999999999996E-2</v>
      </c>
      <c r="L16" s="36"/>
      <c r="M16" s="37"/>
      <c r="N16" s="38">
        <v>0</v>
      </c>
      <c r="O16" s="38">
        <f>1</f>
        <v>1</v>
      </c>
      <c r="P16" s="38">
        <v>1</v>
      </c>
      <c r="Q16" s="38">
        <v>1</v>
      </c>
      <c r="R16" s="52">
        <f t="shared" si="1"/>
        <v>0</v>
      </c>
      <c r="S16" s="36">
        <f t="shared" si="0"/>
        <v>3.9599999999999996E-2</v>
      </c>
      <c r="T16" s="36">
        <f>P16*K16</f>
        <v>3.9599999999999996E-2</v>
      </c>
      <c r="U16" s="36">
        <f>Q16*K16</f>
        <v>3.9599999999999996E-2</v>
      </c>
      <c r="V16" s="50"/>
      <c r="W16" s="1"/>
      <c r="X16" s="17" t="s">
        <v>62</v>
      </c>
      <c r="Y16" s="1">
        <v>0.4</v>
      </c>
    </row>
    <row r="17" spans="1:24">
      <c r="B17" s="8" t="s">
        <v>16</v>
      </c>
      <c r="C17" s="2" t="s">
        <v>18</v>
      </c>
      <c r="D17" s="4" t="s">
        <v>30</v>
      </c>
      <c r="E17" s="4"/>
      <c r="F17" s="6"/>
      <c r="G17" s="43"/>
      <c r="H17" s="43"/>
      <c r="I17" s="43"/>
      <c r="J17" s="43"/>
      <c r="K17" s="43">
        <v>0.1</v>
      </c>
      <c r="L17" s="43"/>
      <c r="M17" s="44"/>
      <c r="N17" s="45">
        <v>1</v>
      </c>
      <c r="O17" s="45">
        <f>1</f>
        <v>1</v>
      </c>
      <c r="P17" s="45">
        <v>1</v>
      </c>
      <c r="Q17" s="45">
        <v>1</v>
      </c>
      <c r="R17" s="55">
        <f t="shared" si="1"/>
        <v>0.1</v>
      </c>
      <c r="S17" s="43">
        <f t="shared" si="0"/>
        <v>0.1</v>
      </c>
      <c r="T17" s="43">
        <f>P17*K17</f>
        <v>0.1</v>
      </c>
      <c r="U17" s="43">
        <f>Q17*K17</f>
        <v>0.1</v>
      </c>
      <c r="V17" s="50"/>
      <c r="W17" s="1"/>
      <c r="X17" s="1"/>
    </row>
    <row r="18" spans="1:24">
      <c r="B18" s="9"/>
      <c r="C18" s="2" t="s">
        <v>19</v>
      </c>
      <c r="D18" s="4" t="s">
        <v>31</v>
      </c>
      <c r="E18" s="4"/>
      <c r="F18" s="6"/>
      <c r="G18" s="43"/>
      <c r="H18" s="43"/>
      <c r="I18" s="43"/>
      <c r="J18" s="43"/>
      <c r="K18" s="43">
        <v>0.2</v>
      </c>
      <c r="L18" s="43"/>
      <c r="M18" s="44"/>
      <c r="N18" s="45">
        <v>1</v>
      </c>
      <c r="O18" s="45">
        <f>1</f>
        <v>1</v>
      </c>
      <c r="P18" s="45">
        <v>1</v>
      </c>
      <c r="Q18" s="45">
        <v>1</v>
      </c>
      <c r="R18" s="55">
        <f t="shared" si="1"/>
        <v>0.2</v>
      </c>
      <c r="S18" s="43">
        <f t="shared" si="0"/>
        <v>0.2</v>
      </c>
      <c r="T18" s="43">
        <f>P18*K18</f>
        <v>0.2</v>
      </c>
      <c r="U18" s="43">
        <f>Q18*K18</f>
        <v>0.2</v>
      </c>
      <c r="V18" s="50"/>
      <c r="W18" s="1"/>
      <c r="X18" s="1"/>
    </row>
    <row r="19" spans="1:24">
      <c r="B19" s="66"/>
      <c r="C19" s="67" t="s">
        <v>20</v>
      </c>
      <c r="D19" s="67" t="s">
        <v>56</v>
      </c>
      <c r="E19" s="67"/>
      <c r="F19" s="67"/>
      <c r="G19" s="68"/>
      <c r="H19" s="68">
        <v>0</v>
      </c>
      <c r="I19" s="68"/>
      <c r="J19" s="68"/>
      <c r="K19" s="68">
        <f>H19*F19</f>
        <v>0</v>
      </c>
      <c r="L19" s="68"/>
      <c r="M19" s="69"/>
      <c r="N19" s="70">
        <v>1</v>
      </c>
      <c r="O19" s="70">
        <f>1</f>
        <v>1</v>
      </c>
      <c r="P19" s="70">
        <v>1</v>
      </c>
      <c r="Q19" s="70">
        <v>1</v>
      </c>
      <c r="R19" s="71">
        <f t="shared" si="1"/>
        <v>0</v>
      </c>
      <c r="S19" s="68">
        <f t="shared" si="0"/>
        <v>0</v>
      </c>
      <c r="T19" s="68">
        <f>P19*K19</f>
        <v>0</v>
      </c>
      <c r="U19" s="68">
        <f>Q19*K19</f>
        <v>0</v>
      </c>
      <c r="V19" s="50"/>
      <c r="W19" s="1"/>
      <c r="X19" s="1"/>
    </row>
    <row r="20" spans="1:24">
      <c r="A20" s="1" t="s">
        <v>115</v>
      </c>
      <c r="B20" s="3" t="s">
        <v>14</v>
      </c>
      <c r="C20" s="3" t="s">
        <v>21</v>
      </c>
      <c r="D20" s="3" t="s">
        <v>106</v>
      </c>
      <c r="E20" s="3"/>
      <c r="F20" s="3">
        <v>3.3</v>
      </c>
      <c r="G20" s="36"/>
      <c r="H20" s="36">
        <f>0.4/F20</f>
        <v>0.12121212121212123</v>
      </c>
      <c r="I20" s="36">
        <f>1/F20</f>
        <v>0.30303030303030304</v>
      </c>
      <c r="J20" s="36"/>
      <c r="K20" s="36">
        <f>H20*F20</f>
        <v>0.4</v>
      </c>
      <c r="L20" s="36">
        <f>I20*F20</f>
        <v>1</v>
      </c>
      <c r="M20" s="37"/>
      <c r="N20" s="38">
        <v>1</v>
      </c>
      <c r="O20" s="38">
        <f>1</f>
        <v>1</v>
      </c>
      <c r="P20" s="38">
        <v>1</v>
      </c>
      <c r="Q20" s="38">
        <v>1</v>
      </c>
      <c r="R20" s="52">
        <f t="shared" si="1"/>
        <v>0.4</v>
      </c>
      <c r="S20" s="36">
        <f t="shared" si="0"/>
        <v>0.4</v>
      </c>
      <c r="T20" s="36">
        <f>P20*L20</f>
        <v>1</v>
      </c>
      <c r="U20" s="36">
        <f>Q20*L20</f>
        <v>1</v>
      </c>
      <c r="V20" s="50"/>
      <c r="W20" s="1"/>
      <c r="X20" s="1"/>
    </row>
    <row r="21" spans="1:24">
      <c r="A21" s="78" t="s">
        <v>108</v>
      </c>
      <c r="B21" s="58" t="s">
        <v>15</v>
      </c>
      <c r="C21" s="5" t="s">
        <v>22</v>
      </c>
      <c r="D21" s="5" t="s">
        <v>40</v>
      </c>
      <c r="E21" s="5"/>
      <c r="F21" s="5">
        <v>3.3</v>
      </c>
      <c r="G21" s="39"/>
      <c r="H21" s="39">
        <f>0.04/F21</f>
        <v>1.2121212121212123E-2</v>
      </c>
      <c r="I21" s="39">
        <f>2/F21</f>
        <v>0.60606060606060608</v>
      </c>
      <c r="J21" s="39"/>
      <c r="K21" s="39">
        <f>H21*F21</f>
        <v>0.04</v>
      </c>
      <c r="L21" s="39">
        <f>I21*F21</f>
        <v>2</v>
      </c>
      <c r="M21" s="40"/>
      <c r="N21" s="41">
        <v>1</v>
      </c>
      <c r="O21" s="41">
        <f>1</f>
        <v>1</v>
      </c>
      <c r="P21" s="41">
        <v>1</v>
      </c>
      <c r="Q21" s="41">
        <v>0</v>
      </c>
      <c r="R21" s="56">
        <f t="shared" si="1"/>
        <v>0.04</v>
      </c>
      <c r="S21" s="39">
        <f t="shared" si="0"/>
        <v>0.04</v>
      </c>
      <c r="T21" s="39">
        <f>P21*K21</f>
        <v>0.04</v>
      </c>
      <c r="U21" s="39">
        <f>Q21*L21</f>
        <v>0</v>
      </c>
      <c r="V21" s="50"/>
      <c r="W21" s="1"/>
      <c r="X21" s="1"/>
    </row>
    <row r="22" spans="1:24">
      <c r="A22" s="78" t="s">
        <v>107</v>
      </c>
      <c r="B22" s="60"/>
      <c r="C22" s="57" t="s">
        <v>24</v>
      </c>
      <c r="D22" s="57" t="s">
        <v>32</v>
      </c>
      <c r="E22" s="3" t="s">
        <v>38</v>
      </c>
      <c r="F22" s="3">
        <v>3.3</v>
      </c>
      <c r="G22" s="36">
        <v>4.4999999999999998E-2</v>
      </c>
      <c r="H22" s="36">
        <v>5.5E-2</v>
      </c>
      <c r="I22" s="36">
        <v>0.12</v>
      </c>
      <c r="J22" s="36">
        <f>F22*G22</f>
        <v>0.14849999999999999</v>
      </c>
      <c r="K22" s="36">
        <f>H22*F22</f>
        <v>0.18149999999999999</v>
      </c>
      <c r="L22" s="36">
        <f>I22*F22</f>
        <v>0.39599999999999996</v>
      </c>
      <c r="M22" s="37"/>
      <c r="N22" s="38">
        <v>0</v>
      </c>
      <c r="O22" s="38">
        <v>1</v>
      </c>
      <c r="P22" s="38">
        <v>0</v>
      </c>
      <c r="Q22" s="38">
        <v>0</v>
      </c>
      <c r="R22" s="52">
        <f t="shared" si="1"/>
        <v>0</v>
      </c>
      <c r="S22" s="36">
        <f>O22*L22</f>
        <v>0.39599999999999996</v>
      </c>
      <c r="T22" s="36">
        <f>P22*L22</f>
        <v>0</v>
      </c>
      <c r="U22" s="36">
        <f>Q22*L22</f>
        <v>0</v>
      </c>
      <c r="V22" s="50"/>
      <c r="W22" s="1"/>
      <c r="X22" s="1"/>
    </row>
    <row r="23" spans="1:24">
      <c r="A23" s="78" t="s">
        <v>107</v>
      </c>
      <c r="B23" s="60"/>
      <c r="C23" s="61"/>
      <c r="D23" s="61"/>
      <c r="E23" s="3" t="s">
        <v>39</v>
      </c>
      <c r="F23" s="3">
        <v>3.3</v>
      </c>
      <c r="G23" s="36">
        <v>0.6</v>
      </c>
      <c r="H23" s="36"/>
      <c r="I23" s="36">
        <v>1</v>
      </c>
      <c r="J23" s="36">
        <f>F23*G23</f>
        <v>1.9799999999999998</v>
      </c>
      <c r="K23" s="36"/>
      <c r="L23" s="36">
        <f>I23*F23</f>
        <v>3.3</v>
      </c>
      <c r="M23" s="37"/>
      <c r="N23" s="38">
        <v>0.1</v>
      </c>
      <c r="O23" s="38">
        <v>0</v>
      </c>
      <c r="P23" s="38">
        <v>0.16</v>
      </c>
      <c r="Q23" s="38">
        <v>0.16</v>
      </c>
      <c r="R23" s="52">
        <f t="shared" si="1"/>
        <v>0</v>
      </c>
      <c r="S23" s="36">
        <f>O23*K23</f>
        <v>0</v>
      </c>
      <c r="T23" s="36">
        <f>P23*L23</f>
        <v>0.52800000000000002</v>
      </c>
      <c r="U23" s="36">
        <f>Q23*L23</f>
        <v>0.52800000000000002</v>
      </c>
      <c r="V23" s="50"/>
      <c r="W23" s="1"/>
      <c r="X23" s="1"/>
    </row>
    <row r="24" spans="1:24" ht="15" customHeight="1">
      <c r="A24" s="80" t="s">
        <v>109</v>
      </c>
      <c r="B24" s="59"/>
      <c r="C24" s="58" t="s">
        <v>23</v>
      </c>
      <c r="D24" s="58" t="s">
        <v>73</v>
      </c>
      <c r="E24" s="5" t="s">
        <v>39</v>
      </c>
      <c r="F24" s="5">
        <v>5</v>
      </c>
      <c r="G24" s="42">
        <f>J24/5</f>
        <v>0.122</v>
      </c>
      <c r="H24" s="39">
        <f>K24/5</f>
        <v>0.54</v>
      </c>
      <c r="I24" s="39">
        <f>L24/5</f>
        <v>1</v>
      </c>
      <c r="J24" s="39">
        <v>0.61</v>
      </c>
      <c r="K24" s="39">
        <v>2.7</v>
      </c>
      <c r="L24" s="39">
        <v>5</v>
      </c>
      <c r="M24" s="40"/>
      <c r="N24" s="41">
        <v>0</v>
      </c>
      <c r="O24" s="41">
        <v>0</v>
      </c>
      <c r="P24" s="41">
        <v>0</v>
      </c>
      <c r="Q24" s="41">
        <v>0.16</v>
      </c>
      <c r="R24" s="56">
        <f t="shared" si="1"/>
        <v>0</v>
      </c>
      <c r="S24" s="39">
        <f>O24*K24</f>
        <v>0</v>
      </c>
      <c r="T24" s="39">
        <f>P24*K24</f>
        <v>0</v>
      </c>
      <c r="U24" s="39">
        <f>Q24*K24</f>
        <v>0.43200000000000005</v>
      </c>
      <c r="V24" s="50"/>
      <c r="W24" s="1"/>
      <c r="X24" s="1"/>
    </row>
    <row r="25" spans="1:24">
      <c r="B25" s="12"/>
      <c r="C25" s="12"/>
      <c r="D25" s="12"/>
      <c r="E25" s="12"/>
      <c r="F25" s="12"/>
      <c r="G25" s="13"/>
      <c r="H25" s="13"/>
      <c r="I25" s="13"/>
      <c r="J25" s="13"/>
      <c r="K25" s="13"/>
      <c r="L25" s="1"/>
      <c r="M25" s="22"/>
      <c r="N25" s="72" t="s">
        <v>58</v>
      </c>
      <c r="O25" s="72"/>
      <c r="P25" s="72"/>
      <c r="Q25" s="72"/>
      <c r="R25" s="53">
        <f>SUM(R5:R24)</f>
        <v>1.7090000000000001</v>
      </c>
      <c r="S25" s="18">
        <f>SUM(S5:S24)/Y15</f>
        <v>3.2828111111111111</v>
      </c>
      <c r="T25" s="18">
        <f>SUM(T5:T24)/Y15</f>
        <v>5.3527353887975755</v>
      </c>
      <c r="U25" s="18">
        <f>SUM(U5:U24)/Y15</f>
        <v>5.5708111111111114</v>
      </c>
      <c r="V25" s="19" t="s">
        <v>63</v>
      </c>
      <c r="W25" s="1" t="s">
        <v>92</v>
      </c>
      <c r="X25" s="1"/>
    </row>
    <row r="26" spans="1:24">
      <c r="B26" s="14"/>
      <c r="C26" s="14"/>
      <c r="D26" s="14"/>
      <c r="E26" s="14"/>
      <c r="F26" s="14"/>
      <c r="G26" s="15"/>
      <c r="H26" s="15"/>
      <c r="I26" s="15"/>
      <c r="J26" s="15"/>
      <c r="K26" s="15"/>
      <c r="L26" s="1"/>
      <c r="M26" s="16"/>
      <c r="N26" s="72" t="s">
        <v>83</v>
      </c>
      <c r="O26" s="72"/>
      <c r="P26" s="72"/>
      <c r="Q26" s="72"/>
      <c r="R26" s="19">
        <f>1.135*(6*3+6*3+4*3+4*3)/(3+3+3+3+1+1)*Y5/3600</f>
        <v>4.7737479411324326</v>
      </c>
      <c r="S26" s="35">
        <f>1.135*20*$Y$5/3600</f>
        <v>22.277490391951353</v>
      </c>
      <c r="T26" s="35"/>
      <c r="U26" s="35"/>
      <c r="V26" s="19" t="s">
        <v>54</v>
      </c>
      <c r="W26" s="17"/>
      <c r="X26" s="1"/>
    </row>
    <row r="27" spans="1:24">
      <c r="L27" s="1"/>
      <c r="M27" s="16"/>
      <c r="N27" s="72" t="s">
        <v>95</v>
      </c>
      <c r="O27" s="72"/>
      <c r="P27" s="72"/>
      <c r="Q27" s="72"/>
      <c r="R27" s="20">
        <f>R25*Y3/3600</f>
        <v>2.6949908819309414</v>
      </c>
      <c r="S27" s="20">
        <f>S25*$Y$3/3600</f>
        <v>5.1767969640409754</v>
      </c>
      <c r="T27" s="20">
        <f>T25*$Y$3/3600</f>
        <v>8.4409438655345461</v>
      </c>
      <c r="U27" s="20">
        <f>U25*$Y$3/3600</f>
        <v>8.7848362489198486</v>
      </c>
      <c r="V27" s="19" t="s">
        <v>54</v>
      </c>
      <c r="W27" s="17"/>
      <c r="X27" s="1"/>
    </row>
    <row r="28" spans="1:24">
      <c r="L28" s="1"/>
      <c r="M28" s="16"/>
      <c r="N28" s="72" t="s">
        <v>98</v>
      </c>
      <c r="O28" s="72"/>
      <c r="P28" s="72"/>
      <c r="Q28" s="72"/>
      <c r="R28" s="19">
        <f>R26-R27</f>
        <v>2.0787570592014912</v>
      </c>
      <c r="S28" s="20">
        <f>$S$26-S27</f>
        <v>17.100693427910379</v>
      </c>
      <c r="T28" s="20">
        <f>$S$26-T27</f>
        <v>13.836546526416807</v>
      </c>
      <c r="U28" s="20">
        <f>$S$26-U27</f>
        <v>13.492654143031505</v>
      </c>
      <c r="V28" s="19" t="s">
        <v>54</v>
      </c>
      <c r="X28" s="1"/>
    </row>
    <row r="29" spans="1:24">
      <c r="L29" s="1"/>
      <c r="M29" s="16"/>
      <c r="N29" s="72" t="s">
        <v>99</v>
      </c>
      <c r="O29" s="72"/>
      <c r="P29" s="72"/>
      <c r="Q29" s="72"/>
      <c r="R29" s="20">
        <f>100*($R$26/R27-1)</f>
        <v>77.134103611960157</v>
      </c>
      <c r="S29" s="20">
        <f>100*($S$26/S27-1)</f>
        <v>330.33347737404182</v>
      </c>
      <c r="T29" s="20"/>
      <c r="U29" s="20"/>
      <c r="V29" s="19" t="s">
        <v>90</v>
      </c>
      <c r="X29" s="1"/>
    </row>
    <row r="30" spans="1:24">
      <c r="L30" s="1"/>
      <c r="M30" s="16"/>
      <c r="N30" s="72" t="s">
        <v>97</v>
      </c>
      <c r="O30" s="72"/>
      <c r="P30" s="72"/>
      <c r="Q30" s="72"/>
      <c r="R30" s="20">
        <f>R28/$R$26*100</f>
        <v>43.545597397175662</v>
      </c>
      <c r="S30" s="20">
        <f>S28/$S$26*100</f>
        <v>76.762207623210102</v>
      </c>
      <c r="T30" s="20">
        <f>T28/$S$26*100</f>
        <v>62.10998762865956</v>
      </c>
      <c r="U30" s="20">
        <f>U28/$S$26*100</f>
        <v>60.566311131285566</v>
      </c>
      <c r="V30" s="19" t="s">
        <v>90</v>
      </c>
      <c r="W30" s="49" t="s">
        <v>100</v>
      </c>
      <c r="X30" s="1"/>
    </row>
    <row r="31" spans="1:24">
      <c r="L31" s="1"/>
      <c r="M31" s="16"/>
      <c r="N31" s="72" t="s">
        <v>102</v>
      </c>
      <c r="O31" s="72"/>
      <c r="P31" s="72"/>
      <c r="Q31" s="72"/>
      <c r="R31" s="19">
        <f>R27/40*100</f>
        <v>6.7374772048273535</v>
      </c>
      <c r="S31" s="20">
        <f>S27/40*100</f>
        <v>12.941992410102438</v>
      </c>
      <c r="T31" s="20">
        <f>T27/40*100</f>
        <v>21.102359663836364</v>
      </c>
      <c r="U31" s="20">
        <f>U27/40*100</f>
        <v>21.96209062229962</v>
      </c>
      <c r="V31" s="19" t="s">
        <v>90</v>
      </c>
      <c r="X31" s="1"/>
    </row>
    <row r="32" spans="1:24">
      <c r="L32" s="1"/>
      <c r="M32" s="16"/>
      <c r="N32" s="72" t="s">
        <v>101</v>
      </c>
      <c r="O32" s="72"/>
      <c r="P32" s="72"/>
      <c r="Q32" s="72"/>
      <c r="R32" s="20">
        <f>(40-R27)/40*100</f>
        <v>93.262522795172643</v>
      </c>
      <c r="S32" s="20">
        <f>(40-S27)/40*100</f>
        <v>87.058007589897571</v>
      </c>
      <c r="T32" s="20">
        <f t="shared" ref="T32:U32" si="3">(40-T27)/40*100</f>
        <v>78.897640336163633</v>
      </c>
      <c r="U32" s="20">
        <f t="shared" si="3"/>
        <v>78.037909377700373</v>
      </c>
      <c r="V32" s="19" t="s">
        <v>90</v>
      </c>
      <c r="X32" s="1"/>
    </row>
    <row r="33" spans="12:24">
      <c r="L33" s="1"/>
      <c r="M33" s="16"/>
      <c r="N33" s="72" t="s">
        <v>103</v>
      </c>
      <c r="O33" s="72"/>
      <c r="P33" s="72"/>
      <c r="Q33" s="72"/>
      <c r="R33" s="19">
        <f>(R26-R27)/40*100</f>
        <v>5.1968926480037281</v>
      </c>
      <c r="S33" s="19">
        <f t="shared" ref="S33" si="4">(S26-S27)/40*100</f>
        <v>42.751733569775944</v>
      </c>
      <c r="T33" s="19"/>
      <c r="U33" s="19"/>
      <c r="V33" s="19"/>
      <c r="X33" s="1"/>
    </row>
    <row r="34" spans="12:24">
      <c r="L34" s="1"/>
      <c r="M34" s="16"/>
      <c r="N34" s="16"/>
      <c r="X34" s="1"/>
    </row>
    <row r="43" spans="12:24">
      <c r="O43" s="22"/>
      <c r="P43" s="22"/>
      <c r="Q43" s="22"/>
      <c r="R43" s="22"/>
      <c r="S43" s="22"/>
    </row>
    <row r="44" spans="12:24">
      <c r="O44" s="22"/>
      <c r="P44" s="22"/>
      <c r="Q44" s="22"/>
      <c r="R44" s="22"/>
      <c r="S44" s="22"/>
    </row>
    <row r="45" spans="12:24">
      <c r="O45" s="22"/>
      <c r="P45" s="22"/>
      <c r="Q45" s="22"/>
      <c r="R45" s="22"/>
      <c r="S45" s="22"/>
    </row>
    <row r="46" spans="12:24">
      <c r="O46" s="22"/>
      <c r="P46" s="22"/>
      <c r="Q46" s="22"/>
      <c r="R46" s="22"/>
      <c r="S46" s="22"/>
    </row>
    <row r="47" spans="12:24">
      <c r="O47" s="22"/>
      <c r="P47" s="22"/>
      <c r="Q47" s="22"/>
      <c r="R47" s="22"/>
      <c r="S47" s="22"/>
    </row>
    <row r="48" spans="12:24">
      <c r="O48" s="22"/>
      <c r="P48" s="22"/>
      <c r="Q48" s="22"/>
      <c r="R48" s="22"/>
      <c r="S48" s="22"/>
    </row>
    <row r="49" spans="15:19">
      <c r="O49" s="22"/>
      <c r="P49" s="22"/>
      <c r="Q49" s="22"/>
      <c r="R49" s="22"/>
      <c r="S49" s="22"/>
    </row>
    <row r="50" spans="15:19">
      <c r="O50" s="22"/>
      <c r="P50" s="22"/>
      <c r="Q50" s="22"/>
      <c r="R50" s="22"/>
      <c r="S50" s="22"/>
    </row>
    <row r="51" spans="15:19">
      <c r="O51" s="22"/>
      <c r="P51" s="22"/>
      <c r="Q51" s="22"/>
      <c r="R51" s="22"/>
      <c r="S51" s="22"/>
    </row>
    <row r="52" spans="15:19">
      <c r="O52" s="22"/>
      <c r="P52" s="22"/>
      <c r="Q52" s="22"/>
      <c r="R52" s="22"/>
      <c r="S52" s="22"/>
    </row>
  </sheetData>
  <mergeCells count="13">
    <mergeCell ref="R2:U2"/>
    <mergeCell ref="N25:Q25"/>
    <mergeCell ref="N26:Q26"/>
    <mergeCell ref="N27:Q27"/>
    <mergeCell ref="N28:Q28"/>
    <mergeCell ref="N31:Q31"/>
    <mergeCell ref="N32:Q32"/>
    <mergeCell ref="N33:Q33"/>
    <mergeCell ref="G2:I2"/>
    <mergeCell ref="J2:L2"/>
    <mergeCell ref="N2:Q2"/>
    <mergeCell ref="N29:Q29"/>
    <mergeCell ref="N30:Q30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D81B3-5ABD-42F5-AA63-8697DAC4BAF0}">
  <dimension ref="A1:I10"/>
  <sheetViews>
    <sheetView zoomScale="145" zoomScaleNormal="145" workbookViewId="0">
      <selection activeCell="A6" sqref="A6:C6"/>
    </sheetView>
  </sheetViews>
  <sheetFormatPr defaultRowHeight="13.5"/>
  <cols>
    <col min="3" max="3" width="33.375" customWidth="1"/>
  </cols>
  <sheetData>
    <row r="1" spans="1:9">
      <c r="A1" s="74" t="s">
        <v>89</v>
      </c>
      <c r="B1" s="75"/>
      <c r="C1" s="76"/>
      <c r="D1" s="48"/>
      <c r="E1" s="20">
        <f>'Power analysis'!S26-'Power analysis'!S27</f>
        <v>17.100693427910379</v>
      </c>
      <c r="F1" s="20"/>
      <c r="G1" s="20"/>
      <c r="H1" s="19" t="s">
        <v>54</v>
      </c>
      <c r="I1" s="7"/>
    </row>
    <row r="2" spans="1:9">
      <c r="A2" s="74" t="s">
        <v>84</v>
      </c>
      <c r="B2" s="75"/>
      <c r="C2" s="76"/>
      <c r="D2" s="48"/>
      <c r="E2" s="20">
        <f>E1/40*100</f>
        <v>42.751733569775944</v>
      </c>
      <c r="F2" s="20"/>
      <c r="G2" s="20"/>
      <c r="H2" s="19" t="s">
        <v>90</v>
      </c>
      <c r="I2" s="7"/>
    </row>
    <row r="3" spans="1:9">
      <c r="A3" s="74" t="s">
        <v>82</v>
      </c>
      <c r="B3" s="75"/>
      <c r="C3" s="76"/>
      <c r="D3" s="48"/>
      <c r="E3" s="20">
        <f>100/E2</f>
        <v>2.3390864334609507</v>
      </c>
      <c r="F3" s="20"/>
      <c r="G3" s="20"/>
      <c r="H3" s="19" t="s">
        <v>91</v>
      </c>
      <c r="I3" s="7"/>
    </row>
    <row r="4" spans="1:9">
      <c r="A4" s="74" t="s">
        <v>85</v>
      </c>
      <c r="B4" s="75"/>
      <c r="C4" s="76"/>
      <c r="D4" s="48"/>
      <c r="E4" s="20">
        <f>IF(E2*6&gt;100, 100, E2*6)</f>
        <v>100</v>
      </c>
      <c r="F4" s="20"/>
      <c r="G4" s="20"/>
      <c r="H4" s="19" t="s">
        <v>90</v>
      </c>
      <c r="I4" s="7"/>
    </row>
    <row r="5" spans="1:9">
      <c r="A5" s="74" t="s">
        <v>88</v>
      </c>
      <c r="B5" s="75"/>
      <c r="C5" s="76"/>
      <c r="D5" s="48"/>
      <c r="E5" s="20"/>
      <c r="F5" s="20">
        <f>40*$E$4/100-'Power analysis'!T27</f>
        <v>31.559056134465454</v>
      </c>
      <c r="G5" s="20">
        <f>40*$E$4/100-'Power analysis'!U27</f>
        <v>31.215163751080151</v>
      </c>
      <c r="H5" s="19" t="s">
        <v>54</v>
      </c>
      <c r="I5" s="7"/>
    </row>
    <row r="6" spans="1:9">
      <c r="A6" s="74" t="s">
        <v>86</v>
      </c>
      <c r="B6" s="75"/>
      <c r="C6" s="76"/>
      <c r="D6" s="48"/>
      <c r="E6" s="20"/>
      <c r="F6" s="20">
        <f>F5/40*100</f>
        <v>78.897640336163633</v>
      </c>
      <c r="G6" s="20">
        <f>G5/40*100</f>
        <v>78.037909377700373</v>
      </c>
      <c r="H6" s="19" t="s">
        <v>90</v>
      </c>
      <c r="I6" s="34" t="s">
        <v>87</v>
      </c>
    </row>
    <row r="7" spans="1:9">
      <c r="A7" s="74" t="s">
        <v>93</v>
      </c>
      <c r="B7" s="75"/>
      <c r="C7" s="76"/>
      <c r="D7" s="48"/>
      <c r="E7" s="20"/>
      <c r="F7" s="20">
        <f>F5/40*100 - 40</f>
        <v>38.897640336163633</v>
      </c>
      <c r="G7" s="20">
        <f>G5/40*100 - 40</f>
        <v>38.037909377700373</v>
      </c>
      <c r="H7" s="19" t="s">
        <v>90</v>
      </c>
      <c r="I7" s="34" t="s">
        <v>87</v>
      </c>
    </row>
    <row r="8" spans="1:9">
      <c r="A8" s="28" t="s">
        <v>64</v>
      </c>
      <c r="B8" s="24"/>
      <c r="C8" s="23" t="s">
        <v>65</v>
      </c>
      <c r="D8" s="47"/>
      <c r="E8" s="18">
        <f>('Power analysis'!S5+'Power analysis'!S8+'Power analysis'!S9+'Power analysis'!S7+'Power analysis'!S12+'Power analysis'!S13+'Power analysis'!S15+'Power analysis'!S16+'Power analysis'!S19+'Power analysis'!S20+'Power analysis'!S22+'Power analysis'!S23)/3.3</f>
        <v>0.43349393939393943</v>
      </c>
      <c r="F8" s="18">
        <f>('Power analysis'!T5+'Power analysis'!T8+'Power analysis'!T9+'Power analysis'!T7+'Power analysis'!T12+'Power analysis'!T13+'Power analysis'!T15+'Power analysis'!T16+'Power analysis'!T19+'Power analysis'!T20+'Power analysis'!T22+'Power analysis'!T23)/3.3</f>
        <v>0.73122629833354047</v>
      </c>
      <c r="G8" s="18">
        <f>('Power analysis'!U5+'Power analysis'!U8+'Power analysis'!U9+'Power analysis'!U7+'Power analysis'!U12+'Power analysis'!U13+'Power analysis'!U15+'Power analysis'!U16+'Power analysis'!U19+'Power analysis'!U20+'Power analysis'!U22+'Power analysis'!U23)/3.3</f>
        <v>0.66888787878787881</v>
      </c>
      <c r="H8" s="19"/>
      <c r="I8" s="17" t="s">
        <v>67</v>
      </c>
    </row>
    <row r="9" spans="1:9">
      <c r="A9" s="26"/>
      <c r="B9" s="25"/>
      <c r="C9" s="23" t="s">
        <v>66</v>
      </c>
      <c r="D9" s="47"/>
      <c r="E9" s="18">
        <f>('Power analysis'!S6+'Power analysis'!S10+'Power analysis'!S11+'Power analysis'!S21+'Power analysis'!S24)/5</f>
        <v>0.13080000000000003</v>
      </c>
      <c r="F9" s="18">
        <f>('Power analysis'!T6+'Power analysis'!T10+'Power analysis'!T11+'Power analysis'!T21+'Power analysis'!T24)/5</f>
        <v>0.10617788134196068</v>
      </c>
      <c r="G9" s="18">
        <f>('Power analysis'!U6+'Power analysis'!U10+'Power analysis'!U11+'Power analysis'!U21+'Power analysis'!U24)/5</f>
        <v>0.18472000000000005</v>
      </c>
      <c r="H9" s="19"/>
      <c r="I9" s="17" t="s">
        <v>67</v>
      </c>
    </row>
    <row r="10" spans="1:9">
      <c r="A10" s="27"/>
      <c r="B10" s="29"/>
      <c r="C10" s="23" t="s">
        <v>42</v>
      </c>
      <c r="D10" s="47"/>
      <c r="E10" s="18">
        <f>('Power analysis'!S14+'Power analysis'!S18+'Power analysis'!S17)/8.26</f>
        <v>0.10532687651331719</v>
      </c>
      <c r="F10" s="18">
        <f>('Power analysis'!T14+'Power analysis'!T18+'Power analysis'!T17)/8.26</f>
        <v>0.22681908701057282</v>
      </c>
      <c r="G10" s="18">
        <f>('Power analysis'!U14+'Power analysis'!U18+'Power analysis'!U17)/8.26</f>
        <v>0.22794188861985473</v>
      </c>
      <c r="H10" s="19"/>
      <c r="I10" s="17" t="s">
        <v>68</v>
      </c>
    </row>
  </sheetData>
  <mergeCells count="7">
    <mergeCell ref="A5:C5"/>
    <mergeCell ref="A7:C7"/>
    <mergeCell ref="A1:C1"/>
    <mergeCell ref="A2:C2"/>
    <mergeCell ref="A3:C3"/>
    <mergeCell ref="A4:C4"/>
    <mergeCell ref="A6:C6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parameter</vt:lpstr>
      <vt:lpstr>Power analysis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 SO YOUNG</dc:creator>
  <cp:lastModifiedBy>이진진</cp:lastModifiedBy>
  <dcterms:created xsi:type="dcterms:W3CDTF">2022-05-05T15:04:23Z</dcterms:created>
  <dcterms:modified xsi:type="dcterms:W3CDTF">2022-07-07T10:29:00Z</dcterms:modified>
</cp:coreProperties>
</file>