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95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CL2022_13\Desktop\"/>
    </mc:Choice>
  </mc:AlternateContent>
  <x:bookViews>
    <x:workbookView xWindow="0" yWindow="0" windowWidth="28545" windowHeight="11865" activeTab="4"/>
  </x:bookViews>
  <x:sheets>
    <x:sheet name="Detumbling" sheetId="1" r:id="rId4"/>
    <x:sheet name="① 2주기(Mission&amp;UHF)" sheetId="2" r:id="rId5"/>
    <x:sheet name="② 8주기(S-band)" sheetId="3" r:id="rId6"/>
    <x:sheet name="③ 2주기(S-band)" sheetId="4" r:id="rId7"/>
    <x:sheet name="④ 그 외" sheetId="5" r:id="rId8"/>
    <x:sheet name="parameter" sheetId="6" r:id="rId9"/>
    <x:sheet name="Sheet1" sheetId="7" r:id="rId10"/>
    <x:sheet name="Sheet2" sheetId="8" r:id="rId11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<x:sst xmlns:r="http://schemas.openxmlformats.org/officeDocument/2006/relationships" xmlns:c="http://schemas.openxmlformats.org/drawingml/2006/chart" xmlns:x="http://schemas.openxmlformats.org/spreadsheetml/2006/main" count="666" uniqueCount="218">
  <x:si>
    <x:t>Earth Gravitational Standard Cosntant (km3/sec2)</x:t>
  </x:si>
  <x:si>
    <x:r>
      <x:t xml:space="preserve">1279 </x:t>
    </x:r>
    <x:r>
      <x:rPr>
        <x:rFont val="맑은 고딕"/>
        <x:sz val="11"/>
        <x:color rgb="ffff0000"/>
      </x:rPr>
      <x:t>(12713s)</x:t>
    </x:r>
  </x:si>
  <x:si>
    <x:r>
      <x:t xml:space="preserve">3556 </x:t>
    </x:r>
    <x:r>
      <x:rPr>
        <x:rFont val="맑은 고딕"/>
        <x:sz val="11"/>
        <x:color rgb="ffff0000"/>
      </x:rPr>
      <x:t>(35403s)</x:t>
    </x:r>
  </x:si>
  <x:si>
    <x:r>
      <x:t xml:space="preserve">6404 </x:t>
    </x:r>
    <x:r>
      <x:rPr>
        <x:rFont val="맑은 고딕"/>
        <x:sz val="11"/>
        <x:color rgb="ffff0000"/>
      </x:rPr>
      <x:t>(63766s)</x:t>
    </x:r>
  </x:si>
  <x:si>
    <x:r>
      <x:t xml:space="preserve">4696 </x:t>
    </x:r>
    <x:r>
      <x:rPr>
        <x:rFont val="맑은 고딕"/>
        <x:sz val="11"/>
        <x:color rgb="ffff0000"/>
      </x:rPr>
      <x:t>(46750s)</x:t>
    </x:r>
  </x:si>
  <x:si>
    <x:r>
      <x:t xml:space="preserve">5834 </x:t>
    </x:r>
    <x:r>
      <x:rPr>
        <x:rFont val="맑은 고딕"/>
        <x:sz val="11"/>
        <x:color rgb="ffff0000"/>
      </x:rPr>
      <x:t>(58093s)</x:t>
    </x:r>
  </x:si>
  <x:si>
    <x:r>
      <x:t xml:space="preserve">2985 </x:t>
    </x:r>
    <x:r>
      <x:rPr>
        <x:rFont val="맑은 고딕"/>
        <x:sz val="11"/>
        <x:color rgb="ffff0000"/>
      </x:rPr>
      <x:t>(29728s)</x:t>
    </x:r>
  </x:si>
  <x:si>
    <x:r>
      <x:t>4126</x:t>
    </x:r>
    <x:r>
      <x:rPr>
        <x:rFont val="맑은 고딕"/>
        <x:sz val="11"/>
        <x:color rgb="ffff0000"/>
      </x:rPr>
      <x:t xml:space="preserve"> (41077s)</x:t>
    </x:r>
  </x:si>
  <x:si>
    <x:r>
      <x:t xml:space="preserve">6972 </x:t>
    </x:r>
    <x:r>
      <x:rPr>
        <x:rFont val="맑은 고딕"/>
        <x:sz val="11"/>
        <x:color rgb="ffff0000"/>
      </x:rPr>
      <x:t>(69435s)</x:t>
    </x:r>
  </x:si>
  <x:si>
    <x:r>
      <x:t xml:space="preserve">8114 </x:t>
    </x:r>
    <x:r>
      <x:rPr>
        <x:rFont val="맑은 고딕"/>
        <x:sz val="11"/>
        <x:color rgb="ffff0000"/>
      </x:rPr>
      <x:t>(80782s)</x:t>
    </x:r>
  </x:si>
  <x:si>
    <x:r>
      <x:t xml:space="preserve">2416 </x:t>
    </x:r>
    <x:r>
      <x:rPr>
        <x:rFont val="맑은 고딕"/>
        <x:sz val="11"/>
        <x:color rgb="ffff0000"/>
      </x:rPr>
      <x:t>(24055s)</x:t>
    </x:r>
  </x:si>
  <x:si>
    <x:r>
      <x:t xml:space="preserve">5265 </x:t>
    </x:r>
    <x:r>
      <x:rPr>
        <x:rFont val="맑은 고딕"/>
        <x:sz val="11"/>
        <x:color rgb="ffff0000"/>
      </x:rPr>
      <x:t>(52422s)</x:t>
    </x:r>
  </x:si>
  <x:si>
    <x:r>
      <x:t xml:space="preserve">1849 </x:t>
    </x:r>
    <x:r>
      <x:rPr>
        <x:rFont val="맑은 고딕"/>
        <x:sz val="11"/>
        <x:color rgb="ffff0000"/>
      </x:rPr>
      <x:t>(18388s)</x:t>
    </x:r>
  </x:si>
  <x:si>
    <x:r>
      <x:t xml:space="preserve">7543 </x:t>
    </x:r>
    <x:r>
      <x:rPr>
        <x:rFont val="맑은 고딕"/>
        <x:sz val="11"/>
        <x:color rgb="ffff0000"/>
      </x:rPr>
      <x:t>(75108s)</x:t>
    </x:r>
  </x:si>
  <x:si>
    <x:r>
      <x:t xml:space="preserve">7340 </x:t>
    </x:r>
    <x:r>
      <x:rPr>
        <x:rFont val="맑은 고딕"/>
        <x:sz val="11"/>
        <x:color rgb="ffff0000"/>
      </x:rPr>
      <x:t>(73088s)</x:t>
    </x:r>
  </x:si>
  <x:si>
    <x:r>
      <x:t xml:space="preserve">2214 </x:t>
    </x:r>
    <x:r>
      <x:rPr>
        <x:rFont val="맑은 고딕"/>
        <x:sz val="11"/>
        <x:color rgb="ffff0000"/>
      </x:rPr>
      <x:t>(22036s)</x:t>
    </x:r>
  </x:si>
  <x:si>
    <x:r>
      <x:t xml:space="preserve">2782 </x:t>
    </x:r>
    <x:r>
      <x:rPr>
        <x:rFont val="맑은 고딕"/>
        <x:sz val="11"/>
        <x:color rgb="ffff0000"/>
      </x:rPr>
      <x:t>(27707s)</x:t>
    </x:r>
  </x:si>
  <x:si>
    <x:r>
      <x:t xml:space="preserve">6201 </x:t>
    </x:r>
    <x:r>
      <x:rPr>
        <x:rFont val="맑은 고딕"/>
        <x:sz val="11"/>
        <x:color rgb="ffff0000"/>
      </x:rPr>
      <x:t>(61743s)</x:t>
    </x:r>
  </x:si>
  <x:si>
    <x:r>
      <x:t xml:space="preserve">7911 </x:t>
    </x:r>
    <x:r>
      <x:rPr>
        <x:rFont val="맑은 고딕"/>
        <x:sz val="11"/>
        <x:color rgb="ffff0000"/>
      </x:rPr>
      <x:t>(78759s)</x:t>
    </x:r>
  </x:si>
  <x:si>
    <x:r>
      <x:t xml:space="preserve">4493 </x:t>
    </x:r>
    <x:r>
      <x:rPr>
        <x:rFont val="맑은 고딕"/>
        <x:sz val="11"/>
        <x:color rgb="ffff0000"/>
      </x:rPr>
      <x:t>(44726s)</x:t>
    </x:r>
  </x:si>
  <x:si>
    <x:r>
      <x:t xml:space="preserve">1646 </x:t>
    </x:r>
    <x:r>
      <x:rPr>
        <x:rFont val="맑은 고딕"/>
        <x:sz val="11"/>
        <x:color rgb="ffff0000"/>
      </x:rPr>
      <x:t>(16364s)</x:t>
    </x:r>
  </x:si>
  <x:si>
    <x:r>
      <x:t>5631</x:t>
    </x:r>
    <x:r>
      <x:rPr>
        <x:rFont val="맑은 고딕"/>
        <x:sz val="11"/>
        <x:color rgb="ffff0000"/>
      </x:rPr>
      <x:t xml:space="preserve"> (56071s)</x:t>
    </x:r>
  </x:si>
  <x:si>
    <x:r>
      <x:t xml:space="preserve">5061 </x:t>
    </x:r>
    <x:r>
      <x:rPr>
        <x:rFont val="맑은 고딕"/>
        <x:sz val="11"/>
        <x:color rgb="ffff0000"/>
      </x:rPr>
      <x:t>(50395s)</x:t>
    </x:r>
  </x:si>
  <x:si>
    <x:r>
      <x:t xml:space="preserve">3922 </x:t>
    </x:r>
    <x:r>
      <x:rPr>
        <x:rFont val="맑은 고딕"/>
        <x:sz val="11"/>
        <x:color rgb="ffff0000"/>
      </x:rPr>
      <x:t>(39051s)</x:t>
    </x:r>
  </x:si>
  <x:si>
    <x:r>
      <x:t xml:space="preserve">6769 </x:t>
    </x:r>
    <x:r>
      <x:rPr>
        <x:rFont val="맑은 고딕"/>
        <x:sz val="11"/>
        <x:color rgb="ffff0000"/>
      </x:rPr>
      <x:t>(67414s)</x:t>
    </x:r>
  </x:si>
  <x:si>
    <x:r>
      <x:t xml:space="preserve">8482 </x:t>
    </x:r>
    <x:r>
      <x:rPr>
        <x:rFont val="맑은 고딕"/>
        <x:sz val="11"/>
        <x:color rgb="ffff0000"/>
      </x:rPr>
      <x:t>(84431s)</x:t>
    </x:r>
  </x:si>
  <x:si>
    <x:r>
      <x:t xml:space="preserve">3353 </x:t>
    </x:r>
    <x:r>
      <x:rPr>
        <x:rFont val="맑은 고딕"/>
        <x:sz val="11"/>
        <x:color rgb="ffff0000"/>
      </x:rPr>
      <x:t>(33381s)</x:t>
    </x:r>
  </x:si>
  <x:si>
    <x:r>
      <x:t xml:space="preserve">8680 </x:t>
    </x:r>
    <x:r>
      <x:rPr>
        <x:rFont val="맑은 고딕"/>
        <x:sz val="11"/>
        <x:color rgb="ffff0000"/>
      </x:rPr>
      <x:t>(86400s)</x:t>
    </x:r>
  </x:si>
  <x:si>
    <x:r>
      <x:t xml:space="preserve">4653 </x:t>
    </x:r>
    <x:r>
      <x:rPr>
        <x:rFont val="맑은 고딕"/>
        <x:sz val="11"/>
        <x:color rgb="ffff0000"/>
      </x:rPr>
      <x:t>(46320s)</x:t>
    </x:r>
  </x:si>
  <x:si>
    <x:r>
      <x:t xml:space="preserve">4587 </x:t>
    </x:r>
    <x:r>
      <x:rPr>
        <x:rFont val="맑은 고딕"/>
        <x:sz val="11"/>
        <x:color rgb="ffff0000"/>
      </x:rPr>
      <x:t>(45660s)</x:t>
    </x:r>
  </x:si>
  <x:si>
    <x:r>
      <x:t xml:space="preserve">7542 </x:t>
    </x:r>
    <x:r>
      <x:rPr>
        <x:rFont val="맑은 고딕"/>
        <x:sz val="11"/>
        <x:color rgb="ffff0000"/>
      </x:rPr>
      <x:t>(75101s)</x:t>
    </x:r>
  </x:si>
  <x:si>
    <x:r>
      <x:t xml:space="preserve">8113 </x:t>
    </x:r>
    <x:r>
      <x:rPr>
        <x:rFont val="맑은 고딕"/>
        <x:sz val="11"/>
        <x:color rgb="ffff0000"/>
      </x:rPr>
      <x:t>(80773s)</x:t>
    </x:r>
  </x:si>
  <x:si>
    <x:r>
      <x:t xml:space="preserve">2984 </x:t>
    </x:r>
    <x:r>
      <x:rPr>
        <x:rFont val="맑은 고딕"/>
        <x:sz val="11"/>
        <x:color rgb="ffff0000"/>
      </x:rPr>
      <x:t>(29721s)</x:t>
    </x:r>
  </x:si>
  <x:si>
    <x:r>
      <x:t xml:space="preserve">4695 </x:t>
    </x:r>
    <x:r>
      <x:rPr>
        <x:rFont val="맑은 고딕"/>
        <x:sz val="11"/>
        <x:color rgb="ffff0000"/>
      </x:rPr>
      <x:t>(46740s)</x:t>
    </x:r>
  </x:si>
  <x:si>
    <x:r>
      <x:t xml:space="preserve">6971 </x:t>
    </x:r>
    <x:r>
      <x:rPr>
        <x:rFont val="맑은 고딕"/>
        <x:sz val="11"/>
        <x:color rgb="ffff0000"/>
      </x:rPr>
      <x:t>(69429s)</x:t>
    </x:r>
  </x:si>
  <x:si>
    <x:r>
      <x:t xml:space="preserve">1848 </x:t>
    </x:r>
    <x:r>
      <x:rPr>
        <x:rFont val="맑은 고딕"/>
        <x:sz val="11"/>
        <x:color rgb="ffff0000"/>
      </x:rPr>
      <x:t>(18378s)</x:t>
    </x:r>
  </x:si>
  <x:si>
    <x:r>
      <x:t xml:space="preserve">4125 </x:t>
    </x:r>
    <x:r>
      <x:rPr>
        <x:rFont val="맑은 고딕"/>
        <x:sz val="11"/>
        <x:color rgb="ffff0000"/>
      </x:rPr>
      <x:t>(41068s)</x:t>
    </x:r>
  </x:si>
  <x:si>
    <x:r>
      <x:t xml:space="preserve">6403 </x:t>
    </x:r>
    <x:r>
      <x:rPr>
        <x:rFont val="맑은 고딕"/>
        <x:sz val="11"/>
        <x:color rgb="ffff0000"/>
      </x:rPr>
      <x:t>(63766s)</x:t>
    </x:r>
  </x:si>
  <x:si>
    <x:r>
      <x:t xml:space="preserve">5264 </x:t>
    </x:r>
    <x:r>
      <x:rPr>
        <x:rFont val="맑은 고딕"/>
        <x:sz val="11"/>
        <x:color rgb="ffff0000"/>
      </x:rPr>
      <x:t>(52412s)</x:t>
    </x:r>
  </x:si>
  <x:si>
    <x:r>
      <x:t xml:space="preserve">2415 </x:t>
    </x:r>
    <x:r>
      <x:rPr>
        <x:rFont val="맑은 고딕"/>
        <x:sz val="11"/>
        <x:color rgb="ffff0000"/>
      </x:rPr>
      <x:t>(24045s)</x:t>
    </x:r>
  </x:si>
  <x:si>
    <x:r>
      <x:t>5833</x:t>
    </x:r>
    <x:r>
      <x:rPr>
        <x:rFont val="맑은 고딕"/>
        <x:sz val="11"/>
        <x:color rgb="ffff0000"/>
      </x:rPr>
      <x:t xml:space="preserve"> (58084s)</x:t>
    </x:r>
  </x:si>
  <x:si>
    <x:r>
      <x:t xml:space="preserve">3555 </x:t>
    </x:r>
    <x:r>
      <x:rPr>
        <x:rFont val="맑은 고딕"/>
        <x:sz val="11"/>
        <x:color rgb="ffff0000"/>
      </x:rPr>
      <x:t>(35394s)</x:t>
    </x:r>
  </x:si>
  <x:si>
    <x:t>3.3V</x:t>
  </x:si>
  <x:si>
    <x:t>3653s</x:t>
  </x:si>
  <x:si>
    <x:t>Etmp</x:t>
  </x:si>
  <x:si>
    <x:t>681s</x:t>
  </x:si>
  <x:si>
    <x:t>PAYR</x:t>
  </x:si>
  <x:si>
    <x:t>Vbat</x:t>
  </x:si>
  <x:si>
    <x:t>2458s</x:t>
  </x:si>
  <x:si>
    <x:t>3652s</x:t>
  </x:si>
  <x:si>
    <x:t>3.3V(3)</x:t>
  </x:si>
  <x:si>
    <x:t>2014s</x:t>
  </x:si>
  <x:si>
    <x:t>5V(1)</x:t>
  </x:si>
  <x:si>
    <x:t>510s</x:t>
  </x:si>
  <x:si>
    <x:t>3.3V(1)</x:t>
  </x:si>
  <x:si>
    <x:t>Idel</x:t>
  </x:si>
  <x:si>
    <x:t>ACDS</x:t>
  </x:si>
  <x:si>
    <x:t>Mode</x:t>
  </x:si>
  <x:si>
    <x:t>TW1829</x:t>
  </x:si>
  <x:si>
    <x:t>PCDU</x:t>
  </x:si>
  <x:si>
    <x:t>Idle</x:t>
  </x:si>
  <x:si>
    <x:t>CNDH</x:t>
  </x:si>
  <x:si>
    <x:t>CubeMag</x:t>
  </x:si>
  <x:si>
    <x:t>COMS</x:t>
  </x:si>
  <x:si>
    <x:t>Total</x:t>
  </x:si>
  <x:si>
    <x:t>2025s</x:t>
  </x:si>
  <x:si>
    <x:t>PAYC</x:t>
  </x:si>
  <x:si>
    <x:t>2010s</x:t>
  </x:si>
  <x:si>
    <x:t>&lt; 4.7 A</x:t>
  </x:si>
  <x:si>
    <x:t>5.0V</x:t>
  </x:si>
  <x:si>
    <x:t>3650s</x:t>
  </x:si>
  <x:si>
    <x:t>&lt; 4.5 A</x:t>
  </x:si>
  <x:si>
    <x:t>Time</x:t>
  </x:si>
  <x:si>
    <x:t>Duty(%)</x:t>
  </x:si>
  <x:si>
    <x:t>2018s</x:t>
  </x:si>
  <x:si>
    <x:t>VBAT</x:t>
  </x:si>
  <x:si>
    <x:t>&gt;40%</x:t>
  </x:si>
  <x:si>
    <x:t>GPS Rx</x:t>
  </x:si>
  <x:si>
    <x:t>1367s</x:t>
  </x:si>
  <x:si>
    <x:t>Emppt</x:t>
  </x:si>
  <x:si>
    <x:t>13주기</x:t>
  </x:si>
  <x:si>
    <x:t>PAYS</x:t>
  </x:si>
  <x:si>
    <x:t>Nominal</x:t>
  </x:si>
  <x:si>
    <x:t>channel</x:t>
  </x:si>
  <x:si>
    <x:t>421s</x:t>
  </x:si>
  <x:si>
    <x:t>Product</x:t>
  </x:si>
  <x:si>
    <x:t>14주기</x:t>
  </x:si>
  <x:si>
    <x:t>3.3V(2)</x:t>
  </x:si>
  <x:si>
    <x:t>Note</x:t>
  </x:si>
  <x:si>
    <x:t>Power</x:t>
  </x:si>
  <x:si>
    <x:t>ISIS</x:t>
  </x:si>
  <x:si>
    <x:t>Peak</x:t>
  </x:si>
  <x:si>
    <x:t>11주기</x:t>
  </x:si>
  <x:si>
    <x:t>3646s</x:t>
  </x:si>
  <x:si>
    <x:t>10주기</x:t>
  </x:si>
  <x:si>
    <x:t>OEM719</x:t>
  </x:si>
  <x:si>
    <x:t>Eman</x:t>
  </x:si>
  <x:si>
    <x:t>LTAN</x:t>
  </x:si>
  <x:si>
    <x:t>Battery</x:t>
  </x:si>
  <x:si>
    <x:t>3649s</x:t>
  </x:si>
  <x:si>
    <x:t>2015s</x:t>
  </x:si>
  <x:si>
    <x:t xml:space="preserve">End </x:t>
  </x:si>
  <x:si>
    <x:t>1970s</x:t>
  </x:si>
  <x:si>
    <x:t>2024s</x:t>
  </x:si>
  <x:si>
    <x:t>UHF TRx</x:t>
  </x:si>
  <x:si>
    <x:t>15주기</x:t>
  </x:si>
  <x:si>
    <x:t>5V(2)</x:t>
  </x:si>
  <x:si>
    <x:t>661s</x:t>
  </x:si>
  <x:si>
    <x:r>
      <x:t xml:space="preserve">0 </x:t>
    </x:r>
    <x:r>
      <x:rPr>
        <x:rFont val="맑은 고딕"/>
        <x:sz val="11"/>
        <x:color rgb="ffff0000"/>
      </x:rPr>
      <x:t>(0s)</x:t>
    </x:r>
  </x:si>
  <x:si>
    <x:t>3651s</x:t>
  </x:si>
  <x:si>
    <x:t>3654s</x:t>
  </x:si>
  <x:si>
    <x:t>2016s</x:t>
  </x:si>
  <x:si>
    <x:t>935s</x:t>
  </x:si>
  <x:si>
    <x:t>Eclipse</x:t>
  </x:si>
  <x:si>
    <x:t>12주기</x:t>
  </x:si>
  <x:si>
    <x:t>&gt; 40 %</x:t>
  </x:si>
  <x:si>
    <x:t>CubeTorquers coil</x:t>
  </x:si>
  <x:si>
    <x:t>Starbuck-Nano-Plus</x:t>
  </x:si>
  <x:si>
    <x:t>Residual/Generation</x:t>
  </x:si>
  <x:si>
    <x:t xml:space="preserve">End Mission &amp; ComD </x:t>
  </x:si>
  <x:si>
    <x:t>Mission &amp; UHF COM</x:t>
  </x:si>
  <x:si>
    <x:t>CubeTorquers rod</x:t>
  </x:si>
  <x:si>
    <x:t>Power Margin Value</x:t>
  </x:si>
  <x:si>
    <x:t>Cubesense V3 x 2</x:t>
  </x:si>
  <x:si>
    <x:t>Start Index(Time)</x:t>
  </x:si>
  <x:si>
    <x:t>Depth of Discharge</x:t>
  </x:si>
  <x:si>
    <x:t>charging rate</x:t>
  </x:si>
  <x:si>
    <x:t>DoD reference</x:t>
  </x:si>
  <x:si>
    <x:t>S-band period</x:t>
  </x:si>
  <x:si>
    <x:t>Gen-Cons(Wh)</x:t>
  </x:si>
  <x:si>
    <x:t>Eclipse (sec)</x:t>
  </x:si>
  <x:si>
    <x:t>attitdue (km)</x:t>
  </x:si>
  <x:si>
    <x:r>
      <x:rPr>
        <x:rFont val="맑은 고딕"/>
        <x:sz val="11"/>
        <x:color rgb="ff000000"/>
      </x:rPr>
      <x:t>1075</x:t>
    </x:r>
    <x:r>
      <x:rPr>
        <x:rFont val="맑은 고딕"/>
        <x:sz val="11"/>
        <x:color rgb="ffff0000"/>
      </x:rPr>
      <x:t xml:space="preserve"> (10689s)</x:t>
    </x:r>
  </x:si>
  <x:si>
    <x:t>NanoCam - 70 mm</x:t>
  </x:si>
  <x:si>
    <x:t>Total Time(sec)</x:t>
  </x:si>
  <x:si>
    <x:t>Cubecomputer</x:t>
  </x:si>
  <x:si>
    <x:t>sunlight (sec)</x:t>
  </x:si>
  <x:si>
    <x:t>Voltage Input</x:t>
  </x:si>
  <x:si>
    <x:t>Missiond period</x:t>
  </x:si>
  <x:si>
    <x:t>NanoCom AX100</x:t>
  </x:si>
  <x:si>
    <x:t>Power Margin</x:t>
  </x:si>
  <x:si>
    <x:t>Orbit period</x:t>
  </x:si>
  <x:si>
    <x:t>Beta angle(deg)</x:t>
  </x:si>
  <x:si>
    <x:r>
      <x:rPr>
        <x:rFont val="맑은 고딕"/>
        <x:sz val="11"/>
        <x:color rgb="ff000000"/>
      </x:rPr>
      <x:t>1278</x:t>
    </x:r>
    <x:r>
      <x:rPr>
        <x:rFont val="맑은 고딕"/>
        <x:sz val="11"/>
        <x:color rgb="ffff0000"/>
      </x:rPr>
      <x:t xml:space="preserve"> (12713s)</x:t>
    </x:r>
  </x:si>
  <x:si>
    <x:t>required margin</x:t>
  </x:si>
  <x:si>
    <x:t>SoC after mission or S-band COM except margin</x:t>
  </x:si>
  <x:si>
    <x:t>After mission or S-band COM,charging magnitude</x:t>
  </x:si>
  <x:si>
    <x:t>After sun-pointing, charging  magnitude</x:t>
  </x:si>
  <x:si>
    <x:t>Need battery capacity (orbit average)</x:t>
  </x:si>
  <x:si>
    <x:t xml:space="preserve">Need Orbit number for Full charge </x:t>
  </x:si>
  <x:si>
    <x:t>Power generation (orbit average)</x:t>
  </x:si>
  <x:si>
    <x:t>Power Margin Value (orbit average)</x:t>
  </x:si>
  <x:si>
    <x:t>SoC after sun-pointing 6 orbit</x:t>
  </x:si>
  <x:si>
    <x:t>SoC after mission or S-band COM</x:t>
  </x:si>
  <x:si>
    <x:t>Power Margin (orbit average)</x:t>
  </x:si>
  <x:si>
    <x:t>parameter</x:t>
  </x:si>
  <x:si>
    <x:t>PULSAR-STX</x:t>
  </x:si>
  <x:si>
    <x:t>Cubecontrol</x:t>
  </x:si>
  <x:si>
    <x:t>Wheel x 3</x:t>
  </x:si>
  <x:si>
    <x:t>worst case</x:t>
  </x:si>
  <x:si>
    <x:t>Start ComN</x:t>
  </x:si>
  <x:si>
    <x:t>Peak load</x:t>
  </x:si>
  <x:si>
    <x:t>Solar cell</x:t>
  </x:si>
  <x:si>
    <x:t>Optimus-40</x:t>
  </x:si>
  <x:si>
    <x:t>Subsystem</x:t>
  </x:si>
  <x:si>
    <x:t xml:space="preserve">Eclipse </x:t>
  </x:si>
  <x:si>
    <x:t>Current(A)</x:t>
  </x:si>
  <x:si>
    <x:t>End ComN</x:t>
  </x:si>
  <x:si>
    <x:r>
      <x:rPr>
        <x:rFont val="맑은 고딕"/>
        <x:sz val="11"/>
        <x:color rgb="ff000000"/>
      </x:rPr>
      <x:t>507</x:t>
    </x:r>
    <x:r>
      <x:rPr>
        <x:rFont val="맑은 고딕"/>
        <x:sz val="11"/>
        <x:color rgb="ffff0000"/>
      </x:rPr>
      <x:t xml:space="preserve"> (5019s)</x:t>
    </x:r>
  </x:si>
  <x:si>
    <x:t>Stand-by(D)</x:t>
  </x:si>
  <x:si>
    <x:r>
      <x:rPr>
        <x:rFont val="맑은 고딕"/>
        <x:sz val="11"/>
        <x:color rgb="ff000000"/>
      </x:rPr>
      <x:t>710</x:t>
    </x:r>
    <x:r>
      <x:rPr>
        <x:rFont val="맑은 고딕"/>
        <x:sz val="11"/>
        <x:color rgb="ffff0000"/>
      </x:rPr>
      <x:t xml:space="preserve"> (7043s)</x:t>
    </x:r>
  </x:si>
  <x:si>
    <x:r>
      <x:rPr>
        <x:rFont val="맑은 고딕"/>
        <x:sz val="11"/>
        <x:color rgb="ff000000"/>
      </x:rPr>
      <x:t>829</x:t>
    </x:r>
    <x:r>
      <x:rPr>
        <x:rFont val="맑은 고딕"/>
        <x:sz val="11"/>
        <x:color rgb="ffff0000"/>
      </x:rPr>
      <x:t xml:space="preserve"> (8232s)</x:t>
    </x:r>
  </x:si>
  <x:si>
    <x:t>Component</x:t>
  </x:si>
  <x:si>
    <x:r>
      <x:rPr>
        <x:rFont val="맑은 고딕"/>
        <x:sz val="11"/>
        <x:color rgb="ff000000"/>
      </x:rPr>
      <x:t>761</x:t>
    </x:r>
    <x:r>
      <x:rPr>
        <x:rFont val="맑은 고딕"/>
        <x:sz val="11"/>
        <x:color rgb="ffff0000"/>
      </x:rPr>
      <x:t xml:space="preserve"> (7552s)</x:t>
    </x:r>
  </x:si>
  <x:si>
    <x:r>
      <x:rPr>
        <x:rFont val="맑은 고딕"/>
        <x:sz val="11"/>
        <x:color rgb="ff000000"/>
      </x:rPr>
      <x:t>709</x:t>
    </x:r>
    <x:r>
      <x:rPr>
        <x:rFont val="맑은 고딕"/>
        <x:sz val="11"/>
        <x:color rgb="ffff0000"/>
      </x:rPr>
      <x:t xml:space="preserve"> (7033s)</x:t>
    </x:r>
  </x:si>
  <x:si>
    <x:t>sunlight</x:t>
  </x:si>
  <x:si>
    <x:t>Detumbling</x:t>
  </x:si>
  <x:si>
    <x:t>Stand-by(N)</x:t>
  </x:si>
  <x:si>
    <x:t>UHF antenna</x:t>
  </x:si>
  <x:si>
    <x:t>1367+5668</x:t>
  </x:si>
  <x:si>
    <x:t>GPS antenna</x:t>
  </x:si>
  <x:si>
    <x:t>S-band Tx</x:t>
  </x:si>
  <x:si>
    <x:t>GOMspace</x:t>
  </x:si>
  <x:si>
    <x:t>S-band COM</x:t>
  </x:si>
  <x:si>
    <x:t>ADCS module</x:t>
  </x:si>
  <x:si>
    <x:t>N</x:t>
  </x:si>
  <x:si>
    <x:t>5V</x:t>
  </x:si>
  <x:si>
    <x:t>OBC</x:t>
  </x:si>
  <x:si>
    <x:t>Wh</x:t>
  </x:si>
  <x:si>
    <x:t>%</x:t>
  </x:si>
  <x:si>
    <x:t>6주기</x:t>
  </x:si>
  <x:si>
    <x:t>8주기</x:t>
  </x:si>
  <x:si>
    <x:t>9주기</x:t>
  </x:si>
  <x:si>
    <x:t>Cam</x:t>
  </x:si>
  <x:si>
    <x:t>3주기</x:t>
  </x:si>
  <x:si>
    <x:t>4주기</x:t>
  </x:si>
  <x:si>
    <x:t>Rx</x:t>
  </x:si>
  <x:si>
    <x:t>2주기</x:t>
  </x:si>
  <x:si>
    <x:t>7주기</x:t>
  </x:si>
  <x:si>
    <x:t>Tx</x:t>
  </x:si>
  <x:si>
    <x:t>1주기</x:t>
  </x:si>
  <x:si>
    <x:t>5주기</x:t>
  </x:si>
  <x:si>
    <x:t>EPS</x:t>
  </x:si>
  <x:si>
    <x:t>W</x:t>
  </x:si>
  <x:si>
    <x:t>NST</x:t>
  </x:si>
  <x:si>
    <x:r>
      <x:t xml:space="preserve">139 </x:t>
    </x:r>
    <x:r>
      <x:rPr>
        <x:rFont val="맑은 고딕"/>
        <x:sz val="11"/>
        <x:color rgb="ffff0000"/>
      </x:rPr>
      <x:t>(1367s)</x:t>
    </x:r>
  </x:si>
  <x:si>
    <x:t>Earth Effective Radius (km)</x:t>
  </x:si>
  <x:si>
    <x:t>conversion efficiency (%)</x:t>
  </x:si>
  <x:si>
    <x:t>Conversion Efficiency</x:t>
  </x:si>
  <x:si>
    <x:t>total power consumption</x:t>
  </x:si>
  <x:si>
    <x:t>Power Generation(Wh)</x:t>
  </x:si>
  <x:si>
    <x:t>Consumption Power (W)</x:t>
  </x:si>
  <x:si>
    <x:t>solar panel efficiency</x:t>
  </x:si>
  <x:si>
    <x:t xml:space="preserve">Start Mission &amp; ComD </x:t>
  </x:si>
  <x:si>
    <x:t>SoC after sun-pointing</x:t>
  </x:si>
  <x:si>
    <x:t>orbital period (sec)</x:t>
  </x:si>
  <x:si>
    <x:t>Power Consumption(Wh)</x:t>
  </x:si>
  <x:si>
    <x:t>Need battery capacity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</x:si>
</x:sst>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0.00000_);[Red]\(0.00000\)"/>
    <x:numFmt numFmtId="165" formatCode="0_);[Red]\(0\)"/>
    <x:numFmt numFmtId="166" formatCode="0.0000_ "/>
    <x:numFmt numFmtId="167" formatCode="0.00000_ "/>
  </x:numFmts>
  <x:fonts count="13">
    <x:font>
      <x:name val="D2Coding"/>
      <x:sz val="11"/>
      <x:color rgb="ff000000"/>
    </x:font>
    <x:font>
      <x:name val="D2Coding"/>
      <x:sz val="11"/>
      <x:color rgb="ff000000"/>
    </x:font>
    <x:font>
      <x:name val="D2Coding"/>
      <x:sz val="11"/>
      <x:color rgb="ff000000"/>
    </x:font>
    <x:font>
      <x:name val="D2Coding"/>
      <x:sz val="11"/>
      <x:color rgb="ff000000"/>
    </x:font>
    <x:font>
      <x:name val="D2Coding"/>
      <x:sz val="11"/>
      <x:color rgb="ff000000"/>
    </x:font>
    <x:font>
      <x:name val="D2Coding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ff0000"/>
    </x:font>
    <x:font>
      <x:name val="맑은 고딕"/>
      <x:sz val="11"/>
      <x:color rgb="ff4472c4"/>
    </x:font>
    <x:font>
      <x:name val="맑은 고딕"/>
      <x:sz val="11"/>
      <x:color rgb="ff0070c0"/>
    </x:font>
    <mc:AlternateContent xmlns:mc="http://schemas.openxmlformats.org/markup-compatibility/2006">
      <mc:Choice xmlns:hs="http://schemas.haansoft.com/office/spreadsheet/8.0" Requires="hs">
        <x:font hs:extension="1">
          <x:name val="D2Coding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D2Coding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2Coding"/>
          <x:sz val="11"/>
          <x:color rgb="ff4472c4"/>
          <hs:size val="100"/>
          <hs:ratio val="100"/>
          <hs:spacing val="0"/>
          <hs:offset val="0"/>
        </x:font>
      </mc:Choice>
      <mc:Fallback>
        <x:font>
          <x:name val="D2Coding"/>
          <x:sz val="11"/>
          <x:color rgb="ff4472c4"/>
        </x:font>
      </mc:Fallback>
    </mc:AlternateContent>
  </x:fonts>
  <x:fills count="12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rgb="ffcae3ba"/>
        <x:bgColor indexed="64"/>
      </x:patternFill>
    </x:fill>
    <x:fill>
      <x:patternFill patternType="solid">
        <x:fgColor rgb="ffb4d79c"/>
        <x:bgColor indexed="64"/>
      </x:patternFill>
    </x:fill>
    <x:fill>
      <x:patternFill patternType="solid">
        <x:fgColor rgb="ffffe69e"/>
        <x:bgColor indexed="64"/>
      </x:patternFill>
    </x:fill>
    <x:fill>
      <x:patternFill patternType="solid">
        <x:fgColor rgb="ff93c570"/>
        <x:bgColor indexed="64"/>
      </x:patternFill>
    </x:fill>
    <x:fill>
      <x:patternFill patternType="solid">
        <x:fgColor rgb="ffffdc78"/>
        <x:bgColor indexed="64"/>
      </x:patternFill>
    </x:fill>
  </x:fills>
  <x:borders count="6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79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ill="1" applyBorder="1" applyAlignment="1">
          <x:alignment horizontal="center" vertical="center"/>
        </x:xf>
      </mc:Fallback>
    </mc:AlternateContent>
    <x:xf numFmtId="0" fontId="0" fillId="0" borderId="0" xfId="0" applyNumberFormat="1" applyFill="1" applyBorder="1" applyAlignment="1">
      <x:alignment horizontal="general" vertical="center"/>
    </x:xf>
    <x:xf numFmtId="0" fontId="0" fillId="0" borderId="0" xfId="0" applyNumberForma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right" vertical="center"/>
        </x:xf>
      </mc:Fallback>
    </mc:AlternateContent>
    <x:xf numFmtId="164" fontId="0" fillId="0" borderId="0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NumberFormat="1" applyFill="1" applyBorder="1" applyAlignment="1">
          <x:alignment horizontal="center" vertical="center"/>
        </x:xf>
      </mc:Fallback>
    </mc:AlternateContent>
    <x:xf numFmtId="0" fontId="0" fillId="2" borderId="7" xfId="0" applyNumberForma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NumberFormat="1" applyFill="1" applyBorder="1" applyAlignment="1">
          <x:alignment horizontal="center" vertical="center"/>
        </x:xf>
      </mc:Fallback>
    </mc:AlternateContent>
    <x:xf numFmtId="165" fontId="0" fillId="0" borderId="0" xfId="0" applyNumberFormat="1">
      <x:alignment horizontal="general" vertical="center"/>
    </x:xf>
    <x:xf numFmtId="0" fontId="0" fillId="0" borderId="0" xfId="0" applyNumberFormat="1" applyFill="1">
      <x:alignment horizontal="general" vertical="center"/>
    </x:xf>
    <x:xf numFmtId="0" fontId="0" fillId="0" borderId="0" xfId="0" applyNumberForma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3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3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5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5" borderId="1" xfId="0" applyNumberFormat="1" applyFill="1" applyBorder="1" applyAlignment="1">
          <x:alignment horizontal="right" vertical="center"/>
        </x:xf>
      </mc:Fallback>
    </mc:AlternateContent>
    <x:xf numFmtId="0" fontId="0" fillId="0" borderId="1" xfId="0" applyNumberFormat="1" applyBorder="1">
      <x:alignment horizontal="general" vertical="center"/>
    </x:xf>
    <x:xf numFmtId="0" fontId="6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x:xf numFmtId="0" fontId="7" fillId="2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x:xf numFmtId="0" fontId="0" fillId="5" borderId="1" xfId="0" applyNumberFormat="1" applyFill="1" applyBorder="1">
      <x:alignment horizontal="general" vertical="center"/>
    </x:xf>
    <x:xf numFmtId="0" fontId="7" fillId="6" borderId="1" xfId="0" applyNumberFormat="1" applyFont="1" applyFill="1" applyBorder="1">
      <x:alignment horizontal="general" vertical="center"/>
    </x:xf>
    <x:xf numFmtId="0" fontId="7" fillId="6" borderId="2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5" xfId="0" applyNumberFormat="1" applyFont="1" applyFill="1" applyBorder="1" applyAlignment="1">
          <x:alignment horizontal="center" vertical="center"/>
        </x:xf>
      </mc:Fallback>
    </mc:AlternateContent>
    <x:xf numFmtId="0" fontId="7" fillId="0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1" fillId="3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3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4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4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2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2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7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7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7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7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8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8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8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8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3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3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3" borderId="23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3" borderId="23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25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25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2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2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4" borderId="27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4" borderId="27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4" borderId="25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4" borderId="25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4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4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8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8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8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8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3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3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3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3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7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7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7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7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5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5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5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5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5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5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6" xfId="0" applyNumberFormat="1" applyFill="1" applyBorder="1" applyAlignment="1">
          <x:alignment horizontal="right" vertical="center"/>
        </x:xf>
      </mc:Fallback>
    </mc:AlternateContent>
    <x:xf numFmtId="0" fontId="0" fillId="0" borderId="4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6" xfId="0" applyNumberFormat="1" applyFill="1" applyBorder="1" applyAlignment="1">
          <x:alignment horizontal="center" vertical="center"/>
        </x:xf>
      </mc:Fallback>
    </mc:AlternateContent>
    <x:xf numFmtId="0" fontId="0" fillId="0" borderId="29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x:xf numFmtId="0" fontId="0" fillId="0" borderId="24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8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8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3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3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4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4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2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2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7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7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5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5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3" borderId="1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3" borderId="1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3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3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0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0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1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1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1" borderId="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1" borderId="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1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1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1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1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1" borderId="2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1" borderId="2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3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3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4" borderId="2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4" borderId="2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2" borderId="1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2" borderId="1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0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0" borderId="2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1" borderId="2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1" borderId="2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8" borderId="3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8" borderId="3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45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45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4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4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4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4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1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1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0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0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1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1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1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1" borderId="2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0" borderId="1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0" borderId="1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0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0" borderId="2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8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8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3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3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4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4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2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2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7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7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5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5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4" borderId="2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4" borderId="2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11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11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1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1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10" borderId="28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10" borderId="28" xfId="0" applyNumberFormat="1" applyFont="1" applyFill="1" applyBorder="1" applyAlignment="1" applyProtection="1">
          <x:alignment horizontal="right" vertical="center"/>
        </x:xf>
      </mc:Fallback>
    </mc:AlternateContent>
    <x:xf numFmtId="0" fontId="0" fillId="0" borderId="17" xfId="0" applyNumberFormat="1" applyBorder="1" applyAlignment="1">
      <x:alignment horizontal="general" vertical="center"/>
    </x:xf>
    <x:xf numFmtId="164" fontId="0" fillId="0" borderId="48" xfId="0" applyNumberFormat="1" applyFill="1" applyBorder="1" applyAlignment="1">
      <x:alignment horizontal="general" vertical="center"/>
    </x:xf>
    <x:xf numFmtId="164" fontId="0" fillId="0" borderId="46" xfId="0" applyNumberFormat="1" applyFill="1" applyBorder="1" applyAlignment="1">
      <x:alignment horizontal="general" vertical="center"/>
    </x:xf>
    <x:xf numFmtId="164" fontId="0" fillId="0" borderId="47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2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4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4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1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1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1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1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1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1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0" borderId="1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0" borderId="1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8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8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8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8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3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3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3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3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4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4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2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2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7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7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7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7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5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5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5" borderId="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5" borderId="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4" borderId="49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4" borderId="49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10" borderId="44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10" borderId="44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11" borderId="2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11" borderId="2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1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1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4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4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5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5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6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3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3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1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1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44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44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5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5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1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1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9" borderId="3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9" borderId="33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9" borderId="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9" borderId="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9" borderId="4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9" borderId="4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7" fillId="0" borderId="1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Font="1" applyFill="1" applyBorder="1" applyAlignment="1" applyProtection="1">
          <x:alignment horizontal="center" vertical="center"/>
        </x:xf>
      </mc:Fallback>
    </mc:AlternateContent>
    <x:xf numFmtId="164" fontId="0" fillId="2" borderId="1" xfId="0" applyNumberFormat="1" applyFill="1" applyBorder="1" applyAlignment="1">
      <x:alignment horizontal="general" vertical="center"/>
    </x:xf>
    <x:xf numFmtId="0" fontId="0" fillId="2" borderId="1" xfId="0" applyNumberFormat="1" applyFill="1" applyBorder="1" applyAlignment="1">
      <x:alignment horizontal="general" vertical="center"/>
    </x:xf>
    <x:xf numFmtId="0" fontId="0" fillId="2" borderId="1" xfId="0" applyNumberFormat="1" applyFont="1" applyFill="1" applyBorder="1" applyAlignment="1">
      <x:alignment horizontal="general" vertical="center"/>
    </x:xf>
    <x:xf numFmtId="0" fontId="0" fillId="2" borderId="25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Font="1" applyFill="1" applyBorder="1" applyAlignment="1" applyProtection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Font="1" applyFill="1" applyBorder="1" applyAlignment="1" applyProtection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Font="1" applyFill="1" applyBorder="1" applyAlignment="1" applyProtection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Font="1" applyFill="1" applyBorder="1" applyAlignment="1" applyProtection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9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9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1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1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2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0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0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10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10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8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8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7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7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2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28" xfId="0" applyNumberFormat="1" applyFill="1" applyBorder="1" applyAlignment="1">
          <x:alignment horizontal="right" vertical="center"/>
        </x:xf>
      </mc:Fallback>
    </mc:AlternateContent>
    <x:xf numFmtId="164" fontId="0" fillId="2" borderId="17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8" xfId="0" applyNumberFormat="1" applyFill="1" applyBorder="1" applyAlignment="1">
          <x:alignment horizontal="center" vertical="center"/>
        </x:xf>
      </mc:Fallback>
    </mc:AlternateContent>
    <x:xf numFmtId="164" fontId="0" fillId="2" borderId="21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5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7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7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9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9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9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9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1" borderId="5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1" borderId="5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1" borderId="22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1" borderId="22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2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10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10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8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8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3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3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2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2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7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7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5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5" borderId="58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2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2" xfId="0" applyNumberForma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NumberFormat="1" applyFill="1" applyBorder="1" applyAlignment="1">
          <x:alignment horizontal="right" vertical="center"/>
        </x:xf>
      </mc:Fallback>
    </mc:AlternateContent>
    <x:xf numFmtId="164" fontId="0" fillId="2" borderId="22" xfId="0" applyNumberFormat="1" applyFill="1" applyBorder="1" applyAlignment="1">
      <x:alignment horizontal="general" vertical="center"/>
    </x:xf>
    <x:xf numFmtId="0" fontId="0" fillId="2" borderId="22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5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9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2" borderId="27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6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6" xfId="0" applyNumberFormat="1" applyFill="1" applyBorder="1" applyAlignment="1">
          <x:alignment horizontal="right" vertical="center"/>
        </x:xf>
      </mc:Fallback>
    </mc:AlternateContent>
    <x:xf numFmtId="166" fontId="0" fillId="2" borderId="22" xfId="0" applyNumberFormat="1" applyFill="1" applyBorder="1" applyAlignment="1">
      <x:alignment horizontal="general" vertical="center"/>
    </x:xf>
    <x:xf numFmtId="164" fontId="0" fillId="2" borderId="23" xfId="0" applyNumberFormat="1" applyFill="1" applyBorder="1" applyAlignment="1">
      <x:alignment horizontal="general" vertical="center"/>
    </x:xf>
    <x:xf numFmtId="0" fontId="0" fillId="2" borderId="23" xfId="0" applyNumberFormat="1" applyFont="1" applyFill="1" applyBorder="1" applyAlignment="1">
      <x:alignment horizontal="general" vertical="center"/>
    </x:xf>
    <x:xf numFmtId="0" fontId="0" fillId="2" borderId="23" xfId="0" applyNumberFormat="1" applyFill="1" applyBorder="1" applyAlignment="1">
      <x:alignment horizontal="general" vertical="center"/>
    </x:xf>
    <x:xf numFmtId="0" fontId="0" fillId="2" borderId="26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11" borderId="28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11" borderId="28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8" xfId="0" applyNumberForma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8" xfId="0" applyNumberFormat="1" applyFill="1" applyBorder="1" applyAlignment="1">
          <x:alignment horizontal="right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X52"/>
  <x:sheetViews>
    <x:sheetView topLeftCell="A1" zoomScaleNormal="100" zoomScaleSheetLayoutView="75" workbookViewId="0">
      <x:pane xSplit="4" ySplit="3" topLeftCell="L4" activePane="bottomRight" state="frozen"/>
      <x:selection pane="bottomRight" activeCell="M42" activeCellId="0" sqref="M42:M42"/>
    </x:sheetView>
  </x:sheetViews>
  <x:sheetFormatPr defaultColWidth="9.15234375" defaultRowHeight="13.550000000000001"/>
  <x:cols>
    <x:col min="1" max="1" width="9.15234375" style="2"/>
    <x:col min="2" max="2" width="10.765625" style="2" bestFit="1" customWidth="1"/>
    <x:col min="3" max="3" width="16.3828125" style="2" bestFit="1" customWidth="1"/>
    <x:col min="4" max="4" width="31" style="2" bestFit="1" customWidth="1"/>
    <x:col min="5" max="5" width="17" style="2" bestFit="1" customWidth="1"/>
    <x:col min="6" max="6" width="15.23046875" style="2" bestFit="1" customWidth="1"/>
    <x:col min="7" max="7" width="10.84375" style="3" bestFit="1" customWidth="1"/>
    <x:col min="8" max="8" width="10.75" style="3" customWidth="1"/>
    <x:col min="9" max="12" width="10.84375" style="3" bestFit="1" customWidth="1"/>
    <x:col min="13" max="13" width="10.84375" style="3" customWidth="1"/>
    <x:col min="14" max="14" width="38.23046875" style="3" customWidth="1"/>
    <x:col min="15" max="15" width="34.15234375" style="3" customWidth="1"/>
    <x:col min="16" max="16" width="12.61328125" style="3" customWidth="1"/>
    <x:col min="17" max="17" width="8" style="3" customWidth="1"/>
    <x:col min="18" max="18" width="16" style="3" customWidth="1"/>
    <x:col min="19" max="19" width="20.3125" style="3" bestFit="1" customWidth="1"/>
    <x:col min="20" max="20" width="19.23046875" style="3" customWidth="1"/>
    <x:col min="21" max="21" width="13.3828125" style="3" bestFit="1" customWidth="1"/>
    <x:col min="22" max="22" width="4" style="3" bestFit="1" customWidth="1"/>
    <x:col min="23" max="23" width="17.15234375" style="3" customWidth="1"/>
    <x:col min="24" max="24" width="25.765625" style="3" bestFit="1" customWidth="1"/>
    <x:col min="25" max="25" width="12.84375" style="2" bestFit="1" customWidth="1"/>
    <x:col min="26" max="26" width="24.61328125" style="2" bestFit="1" customWidth="1"/>
    <x:col min="27" max="27" width="13.15234375" style="2" bestFit="1" customWidth="1"/>
    <x:col min="28" max="16384" width="9.15234375" style="2"/>
  </x:cols>
  <x:sheetData>
    <x:row r="1" spans="13:13">
      <x:c r="M1" s="6"/>
    </x:row>
    <x:row r="2" spans="1:20" ht="13.949999999999999" customHeight="1">
      <x:c r="A2" s="147" t="s">
        <x:v>83</x:v>
      </x:c>
      <x:c r="B2" s="147" t="s">
        <x:v>164</x:v>
      </x:c>
      <x:c r="C2" s="147" t="s">
        <x:v>172</x:v>
      </x:c>
      <x:c r="D2" s="147" t="s">
        <x:v>85</x:v>
      </x:c>
      <x:c r="E2" s="147" t="s">
        <x:v>57</x:v>
      </x:c>
      <x:c r="F2" s="147" t="s">
        <x:v>137</x:v>
      </x:c>
      <x:c r="G2" s="290" t="s">
        <x:v>166</x:v>
      </x:c>
      <x:c r="H2" s="291"/>
      <x:c r="I2" s="292"/>
      <x:c r="J2" s="290" t="s">
        <x:v>89</x:v>
      </x:c>
      <x:c r="K2" s="291"/>
      <x:c r="L2" s="292"/>
      <x:c r="M2" s="151"/>
      <x:c r="N2" s="170" t="s">
        <x:v>73</x:v>
      </x:c>
      <x:c r="O2" s="293" t="s">
        <x:v>211</x:v>
      </x:c>
      <x:c r="P2" s="303"/>
      <x:c r="Q2" s="295"/>
      <x:c r="R2" s="135"/>
      <x:c r="S2" s="275" t="s">
        <x:v>88</x:v>
      </x:c>
      <x:c r="T2" s="193"/>
    </x:row>
    <x:row r="3" spans="1:20" ht="14.300000000000001">
      <x:c r="A3" s="178"/>
      <x:c r="B3" s="179"/>
      <x:c r="C3" s="179"/>
      <x:c r="D3" s="149"/>
      <x:c r="E3" s="149"/>
      <x:c r="F3" s="179"/>
      <x:c r="G3" s="189" t="s">
        <x:v>60</x:v>
      </x:c>
      <x:c r="H3" s="190" t="s">
        <x:v>82</x:v>
      </x:c>
      <x:c r="I3" s="191" t="s">
        <x:v>91</x:v>
      </x:c>
      <x:c r="J3" s="189" t="s">
        <x:v>55</x:v>
      </x:c>
      <x:c r="K3" s="190" t="s">
        <x:v>82</x:v>
      </x:c>
      <x:c r="L3" s="191" t="s">
        <x:v>91</x:v>
      </x:c>
      <x:c r="M3" s="151" t="s">
        <x:v>57</x:v>
      </x:c>
      <x:c r="N3" s="254" t="s">
        <x:v>176</x:v>
      </x:c>
      <x:c r="O3" s="255"/>
      <x:c r="P3" s="173" t="s">
        <x:v>176</x:v>
      </x:c>
      <x:c r="Q3" s="256"/>
      <x:c r="R3" s="2"/>
      <x:c r="S3" s="142" t="s">
        <x:v>141</x:v>
      </x:c>
      <x:c r="T3" s="143">
        <x:f>parameter!C8</x:f>
        <x:v>5676.9848887954295</x:v>
      </x:c>
    </x:row>
    <x:row r="4" spans="1:20" ht="14.300000000000001">
      <x:c r="A4" s="66"/>
      <x:c r="B4" s="75"/>
      <x:c r="C4" s="75"/>
      <x:c r="D4" s="68"/>
      <x:c r="E4" s="68"/>
      <x:c r="F4" s="224"/>
      <x:c r="G4" s="225"/>
      <x:c r="H4" s="226"/>
      <x:c r="I4" s="227"/>
      <x:c r="J4" s="225"/>
      <x:c r="K4" s="226"/>
      <x:c r="L4" s="227"/>
      <x:c r="M4" s="152" t="s">
        <x:v>72</x:v>
      </x:c>
      <x:c r="N4" s="277">
        <x:f>T3</x:f>
        <x:v>5676.9848887954295</x:v>
      </x:c>
      <x:c r="O4" s="278"/>
      <x:c r="P4" s="267"/>
      <x:c r="Q4" s="256"/>
      <x:c r="R4" s="2"/>
      <x:c r="S4" s="142" t="s">
        <x:v>138</x:v>
      </x:c>
      <x:c r="T4" s="143">
        <x:v>681</x:v>
      </x:c>
    </x:row>
    <x:row r="5" spans="1:20">
      <x:c r="A5" s="67" t="s">
        <x:v>52</x:v>
      </x:c>
      <x:c r="B5" s="197" t="s">
        <x:v>81</x:v>
      </x:c>
      <x:c r="C5" s="67"/>
      <x:c r="D5" s="67"/>
      <x:c r="E5" s="67"/>
      <x:c r="F5" s="67">
        <x:v>5</x:v>
      </x:c>
      <x:c r="G5" s="87"/>
      <x:c r="H5" s="65">
        <x:f>K5/F5</x:f>
        <x:v>0.040000000000000002</x:v>
      </x:c>
      <x:c r="I5" s="88"/>
      <x:c r="J5" s="87"/>
      <x:c r="K5" s="65">
        <x:v>0.20000000000000001</x:v>
      </x:c>
      <x:c r="L5" s="88"/>
      <x:c r="M5" s="153"/>
      <x:c r="N5" s="279">
        <x:v>0</x:v>
      </x:c>
      <x:c r="O5" s="280"/>
      <x:c r="P5" s="281">
        <x:f>N5*K5</x:f>
        <x:v>0</x:v>
      </x:c>
      <x:c r="Q5" s="282"/>
      <x:c r="R5" s="2"/>
      <x:c r="S5" s="142" t="s">
        <x:v>128</x:v>
      </x:c>
      <x:c r="T5" s="143">
        <x:v>661</x:v>
      </x:c>
    </x:row>
    <x:row r="6" spans="1:20">
      <x:c r="A6" s="200" t="s">
        <x:v>106</x:v>
      </x:c>
      <x:c r="B6" s="200" t="s">
        <x:v>46</x:v>
      </x:c>
      <x:c r="C6" s="200"/>
      <x:c r="D6" s="183"/>
      <x:c r="E6" s="183"/>
      <x:c r="F6" s="183">
        <x:v>5</x:v>
      </x:c>
      <x:c r="G6" s="184"/>
      <x:c r="H6" s="185">
        <x:f>K6/F6</x:f>
        <x:v>0.040000000000000002</x:v>
      </x:c>
      <x:c r="I6" s="186">
        <x:f>L6/F6</x:f>
        <x:v>0.40000000000000002</x:v>
      </x:c>
      <x:c r="J6" s="184"/>
      <x:c r="K6" s="185">
        <x:v>0.20000000000000001</x:v>
      </x:c>
      <x:c r="L6" s="186">
        <x:v>2</x:v>
      </x:c>
      <x:c r="M6" s="187"/>
      <x:c r="N6" s="230">
        <x:v>0</x:v>
      </x:c>
      <x:c r="O6" s="231"/>
      <x:c r="P6" s="232">
        <x:f>N6*K6</x:f>
        <x:v>0</x:v>
      </x:c>
      <x:c r="Q6" s="188"/>
      <x:c r="S6" s="142" t="s">
        <x:v>175</x:v>
      </x:c>
      <x:c r="T6" s="143">
        <x:f>parameter!C10</x:f>
        <x:v>3654.1161779686181</x:v>
      </x:c>
    </x:row>
    <x:row r="7" spans="1:20">
      <x:c r="A7" s="198" t="s">
        <x:v>50</x:v>
      </x:c>
      <x:c r="B7" s="198"/>
      <x:c r="C7" s="198"/>
      <x:c r="D7" s="181"/>
      <x:c r="E7" s="180"/>
      <x:c r="F7" s="180">
        <x:v>3.2999999999999998</x:v>
      </x:c>
      <x:c r="G7" s="228"/>
      <x:c r="H7" s="222">
        <x:f>K7/F7</x:f>
        <x:v>0.060606060606060615</x:v>
      </x:c>
      <x:c r="I7" s="223">
        <x:f>L7/F7</x:f>
        <x:v>0.060606060606060615</x:v>
      </x:c>
      <x:c r="J7" s="228"/>
      <x:c r="K7" s="182">
        <x:v>0.20000000000000001</x:v>
      </x:c>
      <x:c r="L7" s="201">
        <x:v>0.20000000000000001</x:v>
      </x:c>
      <x:c r="M7" s="181"/>
      <x:c r="N7" s="233">
        <x:v>0</x:v>
      </x:c>
      <x:c r="O7" s="234"/>
      <x:c r="P7" s="235">
        <x:f>N7*K7</x:f>
        <x:v>0</x:v>
      </x:c>
      <x:c r="Q7" s="192"/>
      <x:c r="R7" s="2"/>
      <x:c r="S7" s="142" t="s">
        <x:v>113</x:v>
      </x:c>
      <x:c r="T7" s="143">
        <x:f>parameter!C11</x:f>
        <x:v>2022.8687108268114</x:v>
      </x:c>
    </x:row>
    <x:row r="8" spans="1:20">
      <x:c r="A8" s="199" t="s">
        <x:v>87</x:v>
      </x:c>
      <x:c r="B8" s="69" t="s">
        <x:v>66</x:v>
      </x:c>
      <x:c r="C8" s="199" t="s">
        <x:v>193</x:v>
      </x:c>
      <x:c r="D8" s="69" t="s">
        <x:v>133</x:v>
      </x:c>
      <x:c r="E8" s="69"/>
      <x:c r="F8" s="69">
        <x:v>3.2999999999999998</x:v>
      </x:c>
      <x:c r="G8" s="89">
        <x:v>0.115</x:v>
      </x:c>
      <x:c r="H8" s="61">
        <x:f>K8/F8</x:f>
        <x:v>0.24242424242424246</x:v>
      </x:c>
      <x:c r="I8" s="90">
        <x:v>0.39400000000000002</x:v>
      </x:c>
      <x:c r="J8" s="89">
        <x:f>F8*G8</x:f>
        <x:v>0.3795</x:v>
      </x:c>
      <x:c r="K8" s="62">
        <x:v>0.80000000000000004</x:v>
      </x:c>
      <x:c r="L8" s="90">
        <x:f>I8*F8</x:f>
        <x:v>1.3002</x:v>
      </x:c>
      <x:c r="M8" s="155"/>
      <x:c r="N8" s="236">
        <x:v>0</x:v>
      </x:c>
      <x:c r="O8" s="214"/>
      <x:c r="P8" s="237">
        <x:f t="shared" ref="P8:P25" si="0">N8*K8</x:f>
        <x:v>0</x:v>
      </x:c>
      <x:c r="Q8" s="162"/>
      <x:c r="R8" s="2"/>
      <x:c r="S8" s="142" t="s">
        <x:v>212</x:v>
      </x:c>
      <x:c r="T8" s="143">
        <x:v>0.29999999999999999</x:v>
      </x:c>
    </x:row>
    <x:row r="9" spans="1:20">
      <x:c r="A9" s="296" t="s">
        <x:v>42</x:v>
      </x:c>
      <x:c r="B9" s="76" t="s">
        <x:v>56</x:v>
      </x:c>
      <x:c r="C9" s="78" t="s">
        <x:v>184</x:v>
      </x:c>
      <x:c r="D9" s="73" t="s">
        <x:v>135</x:v>
      </x:c>
      <x:c r="E9" s="73"/>
      <x:c r="F9" s="73">
        <x:v>3.2999999999999998</x:v>
      </x:c>
      <x:c r="G9" s="91"/>
      <x:c r="H9" s="24">
        <x:f>0.12/F9</x:f>
        <x:v>0.036363636363636362</x:v>
      </x:c>
      <x:c r="I9" s="92">
        <x:f>0.2/F9</x:f>
        <x:v>0.060606060606060615</x:v>
      </x:c>
      <x:c r="J9" s="91"/>
      <x:c r="K9" s="55">
        <x:f t="shared" ref="K9:K16" si="1">H9*F9</x:f>
        <x:v>0.11999999999999998</x:v>
      </x:c>
      <x:c r="L9" s="92">
        <x:f>I9*F9</x:f>
        <x:v>0.20000000000000001</x:v>
      </x:c>
      <x:c r="M9" s="156"/>
      <x:c r="N9" s="238">
        <x:v>1</x:v>
      </x:c>
      <x:c r="O9" s="215"/>
      <x:c r="P9" s="239">
        <x:f>N9*K9</x:f>
        <x:v>0.11999999999999998</x:v>
      </x:c>
      <x:c r="Q9" s="163"/>
      <x:c r="R9" s="2"/>
      <x:c r="S9" s="142" t="s">
        <x:v>79</x:v>
      </x:c>
      <x:c r="T9" s="143">
        <x:v>0.59999999999999998</x:v>
      </x:c>
    </x:row>
    <x:row r="10" spans="1:20">
      <x:c r="A10" s="298"/>
      <x:c r="B10" s="71"/>
      <x:c r="C10" s="71"/>
      <x:c r="D10" s="73" t="s">
        <x:v>123</x:v>
      </x:c>
      <x:c r="E10" s="73"/>
      <x:c r="F10" s="73">
        <x:v>3.2999999999999998</x:v>
      </x:c>
      <x:c r="G10" s="91"/>
      <x:c r="H10" s="24">
        <x:f>0.2/F10</x:f>
        <x:v>0.060606060606060615</x:v>
      </x:c>
      <x:c r="I10" s="92">
        <x:f>0.4/F10</x:f>
        <x:v>0.12121212121212123</x:v>
      </x:c>
      <x:c r="J10" s="91"/>
      <x:c r="K10" s="55">
        <x:f t="shared" si="1"/>
        <x:v>0.20000000000000001</x:v>
      </x:c>
      <x:c r="L10" s="92">
        <x:f>I10*F10</x:f>
        <x:v>0.40000000000000002</x:v>
      </x:c>
      <x:c r="M10" s="156"/>
      <x:c r="N10" s="238">
        <x:v>0</x:v>
      </x:c>
      <x:c r="O10" s="215"/>
      <x:c r="P10" s="239">
        <x:f>N10*K10</x:f>
        <x:v>0</x:v>
      </x:c>
      <x:c r="Q10" s="163"/>
      <x:c r="R10" s="2"/>
      <x:c r="S10" s="142" t="s">
        <x:v>44</x:v>
      </x:c>
      <x:c r="T10" s="143">
        <x:v>0.80000000000000004</x:v>
      </x:c>
    </x:row>
    <x:row r="11" spans="1:20">
      <x:c r="A11" s="299" t="s">
        <x:v>186</x:v>
      </x:c>
      <x:c r="B11" s="77"/>
      <x:c r="C11" s="77"/>
      <x:c r="D11" s="83" t="s">
        <x:v>121</x:v>
      </x:c>
      <x:c r="E11" s="83"/>
      <x:c r="F11" s="83">
        <x:v>5</x:v>
      </x:c>
      <x:c r="G11" s="93"/>
      <x:c r="H11" s="56">
        <x:f>0.07*5/5</x:f>
        <x:v>0.070000000000000007</x:v>
      </x:c>
      <x:c r="I11" s="94">
        <x:f>0.167*5/5</x:f>
        <x:v>0.16700000000000001</x:v>
      </x:c>
      <x:c r="J11" s="93"/>
      <x:c r="K11" s="26">
        <x:f>H11*F11</x:f>
        <x:v>0.35000000000000003</x:v>
      </x:c>
      <x:c r="L11" s="94">
        <x:f>I11*F11</x:f>
        <x:v>0.83500000000000008</x:v>
      </x:c>
      <x:c r="M11" s="157"/>
      <x:c r="N11" s="240">
        <x:v>1</x:v>
      </x:c>
      <x:c r="O11" s="216"/>
      <x:c r="P11" s="241">
        <x:f t="shared" si="0"/>
        <x:v>0.35000000000000003</x:v>
      </x:c>
      <x:c r="Q11" s="164"/>
      <x:c r="R11" s="2"/>
      <x:c r="S11" s="142" t="s">
        <x:v>96</x:v>
      </x:c>
      <x:c r="T11" s="143">
        <x:v>0.80000000000000004</x:v>
      </x:c>
    </x:row>
    <x:row r="12" spans="1:20">
      <x:c r="A12" s="299"/>
      <x:c r="B12" s="77"/>
      <x:c r="C12" s="77"/>
      <x:c r="D12" s="83" t="s">
        <x:v>116</x:v>
      </x:c>
      <x:c r="E12" s="83"/>
      <x:c r="F12" s="83">
        <x:v>5</x:v>
      </x:c>
      <x:c r="G12" s="93"/>
      <x:c r="H12" s="26">
        <x:f>0.064/F12</x:f>
        <x:v>0.0128</x:v>
      </x:c>
      <x:c r="I12" s="94"/>
      <x:c r="J12" s="93"/>
      <x:c r="K12" s="56">
        <x:f t="shared" si="1"/>
        <x:v>0.064000000000000001</x:v>
      </x:c>
      <x:c r="L12" s="94"/>
      <x:c r="M12" s="157"/>
      <x:c r="N12" s="240">
        <x:v>1</x:v>
      </x:c>
      <x:c r="O12" s="216"/>
      <x:c r="P12" s="241">
        <x:f t="shared" si="0"/>
        <x:v>0.064000000000000001</x:v>
      </x:c>
      <x:c r="Q12" s="164"/>
      <x:c r="R12" s="2"/>
      <x:c r="S12" s="144"/>
      <x:c r="T12" s="143"/>
    </x:row>
    <x:row r="13" spans="1:20">
      <x:c r="A13" s="298" t="s">
        <x:v>42</x:v>
      </x:c>
      <x:c r="B13" s="71"/>
      <x:c r="C13" s="71"/>
      <x:c r="D13" s="73" t="s">
        <x:v>157</x:v>
      </x:c>
      <x:c r="E13" s="73"/>
      <x:c r="F13" s="73">
        <x:v>3.2999999999999998</x:v>
      </x:c>
      <x:c r="G13" s="91"/>
      <x:c r="H13" s="24">
        <x:f>0.2/F13</x:f>
        <x:v>0.060606060606060615</x:v>
      </x:c>
      <x:c r="I13" s="92"/>
      <x:c r="J13" s="91"/>
      <x:c r="K13" s="55">
        <x:f t="shared" si="1"/>
        <x:v>0.20000000000000001</x:v>
      </x:c>
      <x:c r="L13" s="92"/>
      <x:c r="M13" s="156"/>
      <x:c r="N13" s="238">
        <x:v>1</x:v>
      </x:c>
      <x:c r="O13" s="215"/>
      <x:c r="P13" s="239">
        <x:f t="shared" si="0"/>
        <x:v>0.20000000000000001</x:v>
      </x:c>
      <x:c r="Q13" s="163"/>
      <x:c r="R13" s="2"/>
      <x:c r="S13" s="144"/>
      <x:c r="T13" s="143"/>
    </x:row>
    <x:row r="14" spans="1:20">
      <x:c r="A14" s="298"/>
      <x:c r="B14" s="71"/>
      <x:c r="C14" s="71"/>
      <x:c r="D14" s="73" t="s">
        <x:v>62</x:v>
      </x:c>
      <x:c r="E14" s="73"/>
      <x:c r="F14" s="73">
        <x:v>3.2999999999999998</x:v>
      </x:c>
      <x:c r="G14" s="91"/>
      <x:c r="H14" s="24">
        <x:f>0.035/F14</x:f>
        <x:v>0.010606060606060608</x:v>
      </x:c>
      <x:c r="I14" s="92"/>
      <x:c r="J14" s="91"/>
      <x:c r="K14" s="55">
        <x:f t="shared" si="1"/>
        <x:v>0.035000000000000003</x:v>
      </x:c>
      <x:c r="L14" s="92"/>
      <x:c r="M14" s="156"/>
      <x:c r="N14" s="238">
        <x:v>1</x:v>
      </x:c>
      <x:c r="O14" s="215"/>
      <x:c r="P14" s="239">
        <x:f t="shared" si="0"/>
        <x:v>0.035000000000000003</x:v>
      </x:c>
      <x:c r="Q14" s="163"/>
      <x:c r="R14" s="2"/>
      <x:c r="S14" s="142" t="s">
        <x:v>125</x:v>
      </x:c>
      <x:c r="T14" s="143">
        <x:v>0.20000000000000001</x:v>
      </x:c>
    </x:row>
    <x:row r="15" spans="1:20">
      <x:c r="A15" s="70" t="s">
        <x:v>75</x:v>
      </x:c>
      <x:c r="B15" s="70"/>
      <x:c r="C15" s="79"/>
      <x:c r="D15" s="84" t="s">
        <x:v>158</x:v>
      </x:c>
      <x:c r="E15" s="84"/>
      <x:c r="F15" s="84">
        <x:v>8.2599999999999998</x:v>
      </x:c>
      <x:c r="G15" s="95">
        <x:f>0.065*3/F15</x:f>
        <x:v>0.023607748184019371</x:v>
      </x:c>
      <x:c r="H15" s="9">
        <x:f>0.19*3/F15</x:f>
        <x:v>0.069007263922518172</x:v>
      </x:c>
      <x:c r="I15" s="96">
        <x:f>2.3*3/F15</x:f>
        <x:v>0.83535108958837767</x:v>
      </x:c>
      <x:c r="J15" s="95">
        <x:f>F15*G15</x:f>
        <x:v>0.19500000000000001</x:v>
      </x:c>
      <x:c r="K15" s="57">
        <x:f t="shared" si="1"/>
        <x:v>0.57000000000000006</x:v>
      </x:c>
      <x:c r="L15" s="96">
        <x:f>I15*F15</x:f>
        <x:v>6.8999999999999995</x:v>
      </x:c>
      <x:c r="M15" s="158"/>
      <x:c r="N15" s="242">
        <x:v>0</x:v>
      </x:c>
      <x:c r="O15" s="217"/>
      <x:c r="P15" s="243">
        <x:f t="shared" si="0"/>
        <x:v>0</x:v>
      </x:c>
      <x:c r="Q15" s="165"/>
      <x:c r="R15" s="2"/>
      <x:c r="S15" s="142" t="s">
        <x:v>208</x:v>
      </x:c>
      <x:c r="T15" s="143">
        <x:v>0.90000000000000002</x:v>
      </x:c>
    </x:row>
    <x:row r="16" spans="1:20" ht="13.949999999999999">
      <x:c r="A16" s="71" t="s">
        <x:v>42</x:v>
      </x:c>
      <x:c r="B16" s="71"/>
      <x:c r="C16" s="73" t="s">
        <x:v>180</x:v>
      </x:c>
      <x:c r="D16" s="73" t="s">
        <x:v>58</x:v>
      </x:c>
      <x:c r="E16" s="73"/>
      <x:c r="F16" s="73">
        <x:v>3.2999999999999998</x:v>
      </x:c>
      <x:c r="G16" s="91"/>
      <x:c r="H16" s="55">
        <x:v>0</x:v>
      </x:c>
      <x:c r="I16" s="92"/>
      <x:c r="J16" s="91"/>
      <x:c r="K16" s="24">
        <x:f t="shared" si="1"/>
        <x:v>0</x:v>
      </x:c>
      <x:c r="L16" s="92"/>
      <x:c r="M16" s="156"/>
      <x:c r="N16" s="238">
        <x:v>0</x:v>
      </x:c>
      <x:c r="O16" s="215"/>
      <x:c r="P16" s="239">
        <x:f t="shared" si="0"/>
        <x:v>0</x:v>
      </x:c>
      <x:c r="Q16" s="163"/>
      <x:c r="R16" s="2"/>
      <x:c r="S16" s="145" t="s">
        <x:v>144</x:v>
      </x:c>
      <x:c r="T16" s="146">
        <x:v>0.40000000000000002</x:v>
      </x:c>
    </x:row>
    <x:row r="17" spans="1:19">
      <x:c r="A17" s="72" t="s">
        <x:v>54</x:v>
      </x:c>
      <x:c r="B17" s="72"/>
      <x:c r="C17" s="80" t="s">
        <x:v>77</x:v>
      </x:c>
      <x:c r="D17" s="80" t="s">
        <x:v>95</x:v>
      </x:c>
      <x:c r="E17" s="80"/>
      <x:c r="F17" s="80">
        <x:v>3.2999999999999998</x:v>
      </x:c>
      <x:c r="G17" s="97"/>
      <x:c r="H17" s="58">
        <x:v>0.39400000000000002</x:v>
      </x:c>
      <x:c r="I17" s="98"/>
      <x:c r="J17" s="97"/>
      <x:c r="K17" s="59">
        <x:v>1.3</x:v>
      </x:c>
      <x:c r="L17" s="98"/>
      <x:c r="M17" s="159"/>
      <x:c r="N17" s="244">
        <x:v>0</x:v>
      </x:c>
      <x:c r="O17" s="218"/>
      <x:c r="P17" s="245">
        <x:f t="shared" si="0"/>
        <x:v>0</x:v>
      </x:c>
      <x:c r="Q17" s="166"/>
      <x:c r="R17" s="2"/>
      <x:c r="S17" s="2"/>
    </x:row>
    <x:row r="18" spans="1:19">
      <x:c r="A18" s="66"/>
      <x:c r="B18" s="300" t="s">
        <x:v>202</x:v>
      </x:c>
      <x:c r="C18" s="75" t="s">
        <x:v>98</x:v>
      </x:c>
      <x:c r="D18" s="68" t="s">
        <x:v>163</x:v>
      </x:c>
      <x:c r="E18" s="68"/>
      <x:c r="F18" s="81"/>
      <x:c r="G18" s="99"/>
      <x:c r="H18" s="32"/>
      <x:c r="I18" s="100"/>
      <x:c r="J18" s="99"/>
      <x:c r="K18" s="32">
        <x:v>0.10000000000000001</x:v>
      </x:c>
      <x:c r="L18" s="100"/>
      <x:c r="M18" s="154"/>
      <x:c r="N18" s="246">
        <x:v>1</x:v>
      </x:c>
      <x:c r="O18" s="213"/>
      <x:c r="P18" s="247">
        <x:f t="shared" si="0"/>
        <x:v>0.10000000000000001</x:v>
      </x:c>
      <x:c r="Q18" s="161"/>
      <x:c r="R18" s="2"/>
      <x:c r="S18" s="2"/>
    </x:row>
    <x:row r="19" spans="1:19">
      <x:c r="A19" s="66"/>
      <x:c r="B19" s="301"/>
      <x:c r="C19" s="75" t="s">
        <x:v>59</x:v>
      </x:c>
      <x:c r="D19" s="68" t="s">
        <x:v>117</x:v>
      </x:c>
      <x:c r="E19" s="68"/>
      <x:c r="F19" s="81"/>
      <x:c r="G19" s="99"/>
      <x:c r="H19" s="32"/>
      <x:c r="I19" s="100"/>
      <x:c r="J19" s="99"/>
      <x:c r="K19" s="32">
        <x:v>0.20000000000000001</x:v>
      </x:c>
      <x:c r="L19" s="100"/>
      <x:c r="M19" s="154"/>
      <x:c r="N19" s="246">
        <x:v>1</x:v>
      </x:c>
      <x:c r="O19" s="213"/>
      <x:c r="P19" s="247">
        <x:f t="shared" si="0"/>
        <x:v>0.20000000000000001</x:v>
      </x:c>
      <x:c r="Q19" s="161"/>
      <x:c r="R19" s="2"/>
      <x:c r="S19" s="2"/>
    </x:row>
    <x:row r="20" spans="1:19">
      <x:c r="A20" s="66"/>
      <x:c r="B20" s="302"/>
      <x:c r="C20" s="81" t="s">
        <x:v>162</x:v>
      </x:c>
      <x:c r="D20" s="81" t="s">
        <x:v>182</x:v>
      </x:c>
      <x:c r="E20" s="81"/>
      <x:c r="F20" s="81"/>
      <x:c r="G20" s="99"/>
      <x:c r="H20" s="32"/>
      <x:c r="I20" s="100"/>
      <x:c r="J20" s="99"/>
      <x:c r="K20" s="32">
        <x:f>H20*F20</x:f>
        <x:v>0</x:v>
      </x:c>
      <x:c r="L20" s="100"/>
      <x:c r="M20" s="160"/>
      <x:c r="N20" s="248">
        <x:v>1</x:v>
      </x:c>
      <x:c r="O20" s="219"/>
      <x:c r="P20" s="249">
        <x:f t="shared" si="0"/>
        <x:v>0</x:v>
      </x:c>
      <x:c r="Q20" s="167"/>
      <x:c r="R20" s="2"/>
      <x:c r="S20" s="2"/>
    </x:row>
    <x:row r="21" spans="1:19">
      <x:c r="A21" s="73" t="s">
        <x:v>42</x:v>
      </x:c>
      <x:c r="B21" s="73" t="s">
        <x:v>61</x:v>
      </x:c>
      <x:c r="C21" s="73" t="s">
        <x:v>187</x:v>
      </x:c>
      <x:c r="D21" s="73" t="s">
        <x:v>204</x:v>
      </x:c>
      <x:c r="E21" s="73"/>
      <x:c r="F21" s="73">
        <x:v>3.2999999999999998</x:v>
      </x:c>
      <x:c r="G21" s="91"/>
      <x:c r="H21" s="55">
        <x:f>0.13</x:f>
        <x:v>0.13</x:v>
      </x:c>
      <x:c r="I21" s="92">
        <x:f>1/F21</x:f>
        <x:v>0.30303030303030304</x:v>
      </x:c>
      <x:c r="J21" s="91"/>
      <x:c r="K21" s="24">
        <x:f>H21*F21</x:f>
        <x:v>0.42899999999999999</x:v>
      </x:c>
      <x:c r="L21" s="92">
        <x:f>I21*F21</x:f>
        <x:v>1</x:v>
      </x:c>
      <x:c r="M21" s="156"/>
      <x:c r="N21" s="238">
        <x:v>1</x:v>
      </x:c>
      <x:c r="O21" s="215"/>
      <x:c r="P21" s="239">
        <x:f t="shared" si="0"/>
        <x:v>0.42899999999999999</x:v>
      </x:c>
      <x:c r="Q21" s="163"/>
      <x:c r="R21" s="2"/>
      <x:c r="S21" s="2"/>
    </x:row>
    <x:row r="22" spans="1:19">
      <x:c r="A22" s="296" t="s">
        <x:v>42</x:v>
      </x:c>
      <x:c r="B22" s="76" t="s">
        <x:v>63</x:v>
      </x:c>
      <x:c r="C22" s="73" t="s">
        <x:v>178</x:v>
      </x:c>
      <x:c r="D22" s="73" t="s">
        <x:v>90</x:v>
      </x:c>
      <x:c r="E22" s="73"/>
      <x:c r="F22" s="73">
        <x:v>3.2999999999999998</x:v>
      </x:c>
      <x:c r="G22" s="91"/>
      <x:c r="H22" s="24">
        <x:f>0.04/F22</x:f>
        <x:v>0.012121212121212123</x:v>
      </x:c>
      <x:c r="I22" s="92">
        <x:f>2/F22</x:f>
        <x:v>0.60606060606060608</x:v>
      </x:c>
      <x:c r="J22" s="91"/>
      <x:c r="K22" s="55">
        <x:f>H22*F22</x:f>
        <x:v>0.040000000000000002</x:v>
      </x:c>
      <x:c r="L22" s="92">
        <x:f>I22*F22</x:f>
        <x:v>2</x:v>
      </x:c>
      <x:c r="M22" s="171"/>
      <x:c r="N22" s="238">
        <x:v>0</x:v>
      </x:c>
      <x:c r="O22" s="215"/>
      <x:c r="P22" s="239">
        <x:f t="shared" si="0"/>
        <x:v>0</x:v>
      </x:c>
      <x:c r="Q22" s="163"/>
      <x:c r="R22" s="2"/>
      <x:c r="S22" s="2"/>
    </x:row>
    <x:row r="23" spans="1:19">
      <x:c r="A23" s="298"/>
      <x:c r="B23" s="71"/>
      <x:c r="C23" s="296" t="s">
        <x:v>104</x:v>
      </x:c>
      <x:c r="D23" s="296" t="s">
        <x:v>139</x:v>
      </x:c>
      <x:c r="E23" s="73" t="s">
        <x:v>196</x:v>
      </x:c>
      <x:c r="F23" s="73">
        <x:v>3.2999999999999998</x:v>
      </x:c>
      <x:c r="G23" s="101">
        <x:v>0.044999999999999996</x:v>
      </x:c>
      <x:c r="H23" s="55">
        <x:v>0.055000000000000004</x:v>
      </x:c>
      <x:c r="I23" s="102">
        <x:v>0.12</x:v>
      </x:c>
      <x:c r="J23" s="91">
        <x:f>F23*G23</x:f>
        <x:v>0.14849999999999999</x:v>
      </x:c>
      <x:c r="K23" s="24">
        <x:f>H23*F23</x:f>
        <x:v>0.18150000000000002</x:v>
      </x:c>
      <x:c r="L23" s="92">
        <x:f>I23*F23</x:f>
        <x:v>0.39599999999999996</x:v>
      </x:c>
      <x:c r="M23" s="156"/>
      <x:c r="N23" s="238">
        <x:v>0</x:v>
      </x:c>
      <x:c r="O23" s="215"/>
      <x:c r="P23" s="239">
        <x:f t="shared" si="0"/>
        <x:v>0</x:v>
      </x:c>
      <x:c r="Q23" s="163"/>
      <x:c r="R23" s="2"/>
      <x:c r="S23" s="2"/>
    </x:row>
    <x:row r="24" spans="1:19" ht="15" customHeight="1">
      <x:c r="A24" s="298"/>
      <x:c r="B24" s="71"/>
      <x:c r="C24" s="297"/>
      <x:c r="D24" s="297"/>
      <x:c r="E24" s="73" t="s">
        <x:v>199</x:v>
      </x:c>
      <x:c r="F24" s="73">
        <x:v>3.2999999999999998</x:v>
      </x:c>
      <x:c r="G24" s="101">
        <x:v>0.59999999999999998</x:v>
      </x:c>
      <x:c r="H24" s="24"/>
      <x:c r="I24" s="92">
        <x:v>1</x:v>
      </x:c>
      <x:c r="J24" s="91">
        <x:f>F24*G24</x:f>
        <x:v>1.9799999999999998</x:v>
      </x:c>
      <x:c r="K24" s="24"/>
      <x:c r="L24" s="92">
        <x:f>I24*F24</x:f>
        <x:v>3.2999999999999998</x:v>
      </x:c>
      <x:c r="M24" s="156"/>
      <x:c r="N24" s="238">
        <x:v>1</x:v>
      </x:c>
      <x:c r="O24" s="215"/>
      <x:c r="P24" s="239">
        <x:f t="shared" si="0"/>
        <x:v>0</x:v>
      </x:c>
      <x:c r="Q24" s="163"/>
      <x:c r="R24" s="2"/>
      <x:c r="S24" s="2"/>
    </x:row>
    <x:row r="25" spans="1:19" ht="13.949999999999999">
      <x:c r="A25" s="74" t="s">
        <x:v>186</x:v>
      </x:c>
      <x:c r="B25" s="74"/>
      <x:c r="C25" s="82" t="s">
        <x:v>181</x:v>
      </x:c>
      <x:c r="D25" s="82" t="s">
        <x:v>156</x:v>
      </x:c>
      <x:c r="E25" s="82" t="s">
        <x:v>199</x:v>
      </x:c>
      <x:c r="F25" s="82">
        <x:v>5</x:v>
      </x:c>
      <x:c r="G25" s="229">
        <x:f>J25/5</x:f>
        <x:v>0.122</x:v>
      </x:c>
      <x:c r="H25" s="104">
        <x:f>K25/5</x:f>
        <x:v>0.54000000000000004</x:v>
      </x:c>
      <x:c r="I25" s="105">
        <x:f>L25/5</x:f>
        <x:v>1</x:v>
      </x:c>
      <x:c r="J25" s="107">
        <x:v>0.60999999999999999</x:v>
      </x:c>
      <x:c r="K25" s="108">
        <x:v>2.7000000000000002</x:v>
      </x:c>
      <x:c r="L25" s="109">
        <x:v>5</x:v>
      </x:c>
      <x:c r="M25" s="157"/>
      <x:c r="N25" s="250">
        <x:v>0</x:v>
      </x:c>
      <x:c r="O25" s="220"/>
      <x:c r="P25" s="251">
        <x:f t="shared" si="0"/>
        <x:v>0</x:v>
      </x:c>
      <x:c r="Q25" s="194"/>
      <x:c r="R25" s="2"/>
      <x:c r="S25" s="2"/>
    </x:row>
    <x:row r="26" spans="2:19">
      <x:c r="B26" s="5"/>
      <x:c r="C26" s="5"/>
      <x:c r="D26" s="5"/>
      <x:c r="E26" s="5"/>
      <x:c r="F26" s="5"/>
      <x:c r="G26" s="106"/>
      <x:c r="H26" s="106"/>
      <x:c r="I26" s="106"/>
      <x:c r="J26" s="106"/>
      <x:c r="K26" s="106"/>
      <x:c r="L26" s="2"/>
      <x:c r="M26" s="12"/>
      <x:c r="O26" s="168" t="s">
        <x:v>209</x:v>
      </x:c>
      <x:c r="P26" s="195">
        <x:f>SUM(P5:P25)</x:f>
        <x:v>1.498</x:v>
      </x:c>
      <x:c r="Q26" s="196" t="s">
        <x:v>203</x:v>
      </x:c>
      <x:c r="R26" s="2" t="s">
        <x:v>159</x:v>
      </x:c>
      <x:c r="S26" s="2"/>
    </x:row>
    <x:row r="27" spans="2:19">
      <x:c r="B27" s="5"/>
      <x:c r="C27" s="5"/>
      <x:c r="D27" s="5"/>
      <x:c r="E27" s="5"/>
      <x:c r="F27" s="5"/>
      <x:c r="G27" s="6"/>
      <x:c r="H27" s="6"/>
      <x:c r="I27" s="6"/>
      <x:c r="J27" s="6"/>
      <x:c r="K27" s="6"/>
      <x:c r="L27" s="2"/>
      <x:c r="M27" s="7"/>
      <x:c r="O27" s="137" t="s">
        <x:v>150</x:v>
      </x:c>
      <x:c r="P27" s="11">
        <x:f>1.135*(6*3+6*3+4*3+4*3)/(3+3+3+3+1+1)*T6/3600</x:f>
        <x:v>4.9374069785647396</x:v>
      </x:c>
      <x:c r="Q27" s="138" t="s">
        <x:v>188</x:v>
      </x:c>
      <x:c r="R27" s="8"/>
      <x:c r="S27" s="2"/>
    </x:row>
    <x:row r="28" spans="12:19">
      <x:c r="L28" s="2"/>
      <x:c r="M28" s="7"/>
      <x:c r="O28" s="137" t="s">
        <x:v>148</x:v>
      </x:c>
      <x:c r="P28" s="11">
        <x:f>P26*T3/3600</x:f>
        <x:v>2.3622564898376539</x:v>
      </x:c>
      <x:c r="Q28" s="138" t="s">
        <x:v>188</x:v>
      </x:c>
      <x:c r="R28" s="8"/>
      <x:c r="S28" s="2"/>
    </x:row>
    <x:row r="29" spans="12:19">
      <x:c r="L29" s="2"/>
      <x:c r="M29" s="7"/>
      <x:c r="O29" s="137" t="s">
        <x:v>122</x:v>
      </x:c>
      <x:c r="P29" s="11">
        <x:f>P27-P28</x:f>
        <x:v>2.5751504887270857</x:v>
      </x:c>
      <x:c r="Q29" s="138" t="s">
        <x:v>188</x:v>
      </x:c>
      <x:c r="S29" s="2"/>
    </x:row>
    <x:row r="30" spans="12:19">
      <x:c r="L30" s="2"/>
      <x:c r="M30" s="7"/>
      <x:c r="O30" s="137" t="s">
        <x:v>140</x:v>
      </x:c>
      <x:c r="P30" s="11">
        <x:f>100*($P$27/P28-1)</x:f>
        <x:v>109.01231512349713</x:v>
      </x:c>
      <x:c r="Q30" s="138" t="s">
        <x:v>189</x:v>
      </x:c>
      <x:c r="S30" s="2"/>
    </x:row>
    <x:row r="31" spans="12:19">
      <x:c r="L31" s="2"/>
      <x:c r="M31" s="7"/>
      <x:c r="O31" s="137" t="s">
        <x:v>118</x:v>
      </x:c>
      <x:c r="P31" s="11">
        <x:f>P29/$P$27*100</x:f>
        <x:v>52.155929213590149</x:v>
      </x:c>
      <x:c r="Q31" s="138" t="s">
        <x:v>189</x:v>
      </x:c>
      <x:c r="R31" s="30" t="s">
        <x:v>76</x:v>
      </x:c>
      <x:c r="S31" s="2"/>
    </x:row>
    <x:row r="32" spans="12:19" ht="13.949999999999999">
      <x:c r="L32" s="2"/>
      <x:c r="M32" s="7"/>
      <x:c r="O32" s="139" t="s">
        <x:v>126</x:v>
      </x:c>
      <x:c r="P32" s="169">
        <x:f>(P27-P28)/40*100</x:f>
        <x:v>6.4378762218177146</x:v>
      </x:c>
      <x:c r="Q32" s="141" t="s">
        <x:v>189</x:v>
      </x:c>
      <x:c r="S32" s="2"/>
    </x:row>
    <x:row r="33" spans="12:19">
      <x:c r="L33" s="2"/>
      <x:c r="M33" s="7"/>
      <x:c r="S33" s="2"/>
    </x:row>
    <x:row r="34" spans="12:24">
      <x:c r="L34" s="2"/>
      <x:c r="M34" s="7"/>
      <x:c r="X34" s="2"/>
    </x:row>
    <x:row r="41" spans="15:17">
      <x:c r="O41" s="12"/>
      <x:c r="P41" s="12"/>
      <x:c r="Q41" s="12"/>
    </x:row>
    <x:row r="42" spans="15:17">
      <x:c r="O42" s="12"/>
      <x:c r="P42" s="12"/>
      <x:c r="Q42" s="12"/>
    </x:row>
    <x:row r="43" spans="15:19">
      <x:c r="O43" s="12"/>
      <x:c r="P43" s="12"/>
      <x:c r="Q43" s="12"/>
      <x:c r="R43" s="12"/>
      <x:c r="S43" s="12"/>
    </x:row>
    <x:row r="44" spans="15:19">
      <x:c r="O44" s="12"/>
      <x:c r="P44" s="12"/>
      <x:c r="Q44" s="12"/>
      <x:c r="R44" s="12"/>
      <x:c r="S44" s="12"/>
    </x:row>
    <x:row r="45" spans="15:19">
      <x:c r="O45" s="12"/>
      <x:c r="P45" s="12"/>
      <x:c r="Q45" s="12"/>
      <x:c r="R45" s="12"/>
      <x:c r="S45" s="12"/>
    </x:row>
    <x:row r="46" spans="15:19">
      <x:c r="O46" s="12"/>
      <x:c r="P46" s="12"/>
      <x:c r="Q46" s="12"/>
      <x:c r="R46" s="12"/>
      <x:c r="S46" s="12"/>
    </x:row>
    <x:row r="47" spans="15:19">
      <x:c r="O47" s="12"/>
      <x:c r="P47" s="12"/>
      <x:c r="Q47" s="12"/>
      <x:c r="R47" s="12"/>
      <x:c r="S47" s="12"/>
    </x:row>
    <x:row r="48" spans="15:19">
      <x:c r="O48" s="12"/>
      <x:c r="P48" s="12"/>
      <x:c r="Q48" s="12"/>
      <x:c r="R48" s="12"/>
      <x:c r="S48" s="12"/>
    </x:row>
    <x:row r="49" spans="15:19">
      <x:c r="O49" s="12"/>
      <x:c r="P49" s="12"/>
      <x:c r="Q49" s="12"/>
      <x:c r="R49" s="12"/>
      <x:c r="S49" s="12"/>
    </x:row>
    <x:row r="50" spans="15:19">
      <x:c r="O50" s="12"/>
      <x:c r="P50" s="12"/>
      <x:c r="Q50" s="12"/>
      <x:c r="R50" s="12"/>
      <x:c r="S50" s="12"/>
    </x:row>
    <x:row r="51" spans="18:19">
      <x:c r="R51" s="12"/>
      <x:c r="S51" s="12"/>
    </x:row>
    <x:row r="52" spans="18:19">
      <x:c r="R52" s="12"/>
      <x:c r="S52" s="12"/>
    </x:row>
  </x:sheetData>
  <x:mergeCells count="10">
    <x:mergeCell ref="G2:I2"/>
    <x:mergeCell ref="J2:L2"/>
    <x:mergeCell ref="O2:Q2"/>
    <x:mergeCell ref="C23:C24"/>
    <x:mergeCell ref="D23:D24"/>
    <x:mergeCell ref="A9:A10"/>
    <x:mergeCell ref="A11:A12"/>
    <x:mergeCell ref="A13:A14"/>
    <x:mergeCell ref="A22:A24"/>
    <x:mergeCell ref="B18:B20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2:Y52"/>
  <x:sheetViews>
    <x:sheetView topLeftCell="A1" zoomScaleNormal="100" zoomScaleSheetLayoutView="75" workbookViewId="0">
      <x:pane xSplit="4" ySplit="3" topLeftCell="P4" activePane="bottomRight" state="frozen"/>
      <x:selection pane="bottomRight" activeCell="D42" activeCellId="0" sqref="D42:D42"/>
    </x:sheetView>
  </x:sheetViews>
  <x:sheetFormatPr defaultColWidth="9.15234375" defaultRowHeight="13.550000000000001"/>
  <x:cols>
    <x:col min="1" max="1" width="9.15234375" style="2"/>
    <x:col min="2" max="2" width="10.765625" style="2" bestFit="1" customWidth="1"/>
    <x:col min="3" max="3" width="16.3828125" style="2" bestFit="1" customWidth="1"/>
    <x:col min="4" max="4" width="31" style="2" bestFit="1" customWidth="1"/>
    <x:col min="5" max="5" width="17" style="2" bestFit="1" customWidth="1"/>
    <x:col min="6" max="6" width="15.23046875" style="2" bestFit="1" customWidth="1"/>
    <x:col min="7" max="12" width="10.84375" style="3" bestFit="1" customWidth="1"/>
    <x:col min="13" max="13" width="10.84375" style="3" customWidth="1"/>
    <x:col min="14" max="15" width="15.765625" style="3" customWidth="1"/>
    <x:col min="16" max="16" width="22" style="3" customWidth="1"/>
    <x:col min="17" max="17" width="35" style="3" customWidth="1"/>
    <x:col min="18" max="18" width="13.3828125" style="3" bestFit="1" customWidth="1"/>
    <x:col min="19" max="19" width="14.23046875" style="3" bestFit="1" customWidth="1"/>
    <x:col min="20" max="20" width="19.23046875" style="3" customWidth="1"/>
    <x:col min="21" max="21" width="11.75" style="3" customWidth="1"/>
    <x:col min="22" max="22" width="8" style="3" customWidth="1"/>
    <x:col min="23" max="23" width="11.75" style="3" customWidth="1"/>
    <x:col min="24" max="24" width="25.765625" style="3" bestFit="1" customWidth="1"/>
    <x:col min="25" max="25" width="12.97265625" style="2" bestFit="1" customWidth="1"/>
    <x:col min="26" max="26" width="24.61328125" style="2" bestFit="1" customWidth="1"/>
    <x:col min="27" max="27" width="13.15234375" style="2" bestFit="1" customWidth="1"/>
    <x:col min="28" max="16384" width="9.15234375" style="2"/>
  </x:cols>
  <x:sheetData>
    <x:row r="2" spans="1:25" ht="13.949999999999999" customHeight="1">
      <x:c r="A2" s="147" t="s">
        <x:v>83</x:v>
      </x:c>
      <x:c r="B2" s="147" t="s">
        <x:v>164</x:v>
      </x:c>
      <x:c r="C2" s="147" t="s">
        <x:v>172</x:v>
      </x:c>
      <x:c r="D2" s="147" t="s">
        <x:v>85</x:v>
      </x:c>
      <x:c r="E2" s="147" t="s">
        <x:v>57</x:v>
      </x:c>
      <x:c r="F2" s="147" t="s">
        <x:v>137</x:v>
      </x:c>
      <x:c r="G2" s="290" t="s">
        <x:v>166</x:v>
      </x:c>
      <x:c r="H2" s="291"/>
      <x:c r="I2" s="292"/>
      <x:c r="J2" s="290" t="s">
        <x:v>89</x:v>
      </x:c>
      <x:c r="K2" s="291"/>
      <x:c r="L2" s="292"/>
      <x:c r="M2" s="6"/>
      <x:c r="N2" s="293" t="s">
        <x:v>73</x:v>
      </x:c>
      <x:c r="O2" s="294"/>
      <x:c r="P2" s="295"/>
      <x:c r="Q2" s="293" t="s">
        <x:v>211</x:v>
      </x:c>
      <x:c r="R2" s="303"/>
      <x:c r="S2" s="303"/>
      <x:c r="T2" s="303"/>
      <x:c r="U2" s="303"/>
      <x:c r="V2" s="295"/>
      <x:c r="W2" s="135"/>
      <x:c r="X2" s="275" t="s">
        <x:v>88</x:v>
      </x:c>
      <x:c r="Y2" s="193"/>
    </x:row>
    <x:row r="3" spans="1:25" ht="14.300000000000001" customHeight="1">
      <x:c r="A3" s="66"/>
      <x:c r="B3" s="148"/>
      <x:c r="C3" s="148"/>
      <x:c r="D3" s="149"/>
      <x:c r="E3" s="149"/>
      <x:c r="F3" s="148"/>
      <x:c r="G3" s="172" t="s">
        <x:v>60</x:v>
      </x:c>
      <x:c r="H3" s="173" t="s">
        <x:v>82</x:v>
      </x:c>
      <x:c r="I3" s="174" t="s">
        <x:v>91</x:v>
      </x:c>
      <x:c r="J3" s="172" t="s">
        <x:v>55</x:v>
      </x:c>
      <x:c r="K3" s="173" t="s">
        <x:v>82</x:v>
      </x:c>
      <x:c r="L3" s="174" t="s">
        <x:v>91</x:v>
      </x:c>
      <x:c r="M3" s="6" t="s">
        <x:v>57</x:v>
      </x:c>
      <x:c r="N3" s="255" t="s">
        <x:v>169</x:v>
      </x:c>
      <x:c r="O3" s="263" t="s">
        <x:v>177</x:v>
      </x:c>
      <x:c r="P3" s="175" t="s">
        <x:v>120</x:v>
      </x:c>
      <x:c r="Q3" s="285"/>
      <x:c r="R3" s="172" t="s">
        <x:v>169</x:v>
      </x:c>
      <x:c r="S3" s="173" t="s">
        <x:v>177</x:v>
      </x:c>
      <x:c r="T3" s="174" t="s">
        <x:v>120</x:v>
      </x:c>
      <x:c r="U3" s="170" t="s">
        <x:v>64</x:v>
      </x:c>
      <x:c r="V3" s="175"/>
      <x:c r="W3" s="2"/>
      <x:c r="X3" s="142" t="s">
        <x:v>141</x:v>
      </x:c>
      <x:c r="Y3" s="143">
        <x:f>parameter!C8</x:f>
        <x:v>5676.9848887954295</x:v>
      </x:c>
    </x:row>
    <x:row r="4" spans="1:25">
      <x:c r="A4" s="66"/>
      <x:c r="B4" s="75"/>
      <x:c r="C4" s="75"/>
      <x:c r="D4" s="68"/>
      <x:c r="E4" s="68"/>
      <x:c r="F4" s="75"/>
      <x:c r="G4" s="262"/>
      <x:c r="H4" s="257"/>
      <x:c r="I4" s="265"/>
      <x:c r="J4" s="262"/>
      <x:c r="K4" s="257"/>
      <x:c r="L4" s="265"/>
      <x:c r="M4" s="110" t="s">
        <x:v>72</x:v>
      </x:c>
      <x:c r="N4" s="264">
        <x:f>Y6-Y4</x:f>
        <x:v>2973.1161779686181</x:v>
      </x:c>
      <x:c r="O4" s="259">
        <x:f>Y7</x:f>
        <x:v>2022.8687108268114</x:v>
      </x:c>
      <x:c r="P4" s="260">
        <x:f>Y4</x:f>
        <x:v>681</x:v>
      </x:c>
      <x:c r="Q4" s="344"/>
      <x:c r="R4" s="262"/>
      <x:c r="S4" s="257"/>
      <x:c r="T4" s="265"/>
      <x:c r="U4" s="320"/>
      <x:c r="V4" s="150"/>
      <x:c r="W4" s="2"/>
      <x:c r="X4" s="142" t="s">
        <x:v>138</x:v>
      </x:c>
      <x:c r="Y4" s="143">
        <x:v>681</x:v>
      </x:c>
    </x:row>
    <x:row r="5" spans="1:25" ht="13.949999999999999">
      <x:c r="A5" s="67" t="s">
        <x:v>52</x:v>
      </x:c>
      <x:c r="B5" s="67" t="s">
        <x:v>81</x:v>
      </x:c>
      <x:c r="C5" s="67"/>
      <x:c r="D5" s="67"/>
      <x:c r="E5" s="67"/>
      <x:c r="F5" s="67">
        <x:v>5</x:v>
      </x:c>
      <x:c r="G5" s="87"/>
      <x:c r="H5" s="65">
        <x:f>K5/F5</x:f>
        <x:v>0.040000000000000002</x:v>
      </x:c>
      <x:c r="I5" s="88"/>
      <x:c r="J5" s="87"/>
      <x:c r="K5" s="65">
        <x:v>0.20000000000000001</x:v>
      </x:c>
      <x:c r="L5" s="88"/>
      <x:c r="M5" s="111"/>
      <x:c r="N5" s="204">
        <x:v>0</x:v>
      </x:c>
      <x:c r="O5" s="205">
        <x:v>0</x:v>
      </x:c>
      <x:c r="P5" s="206">
        <x:v>1</x:v>
      </x:c>
      <x:c r="Q5" s="345"/>
      <x:c r="R5" s="346">
        <x:f>N5*K5</x:f>
        <x:v>0</x:v>
      </x:c>
      <x:c r="S5" s="65">
        <x:f>O5*K5</x:f>
        <x:v>0</x:v>
      </x:c>
      <x:c r="T5" s="88">
        <x:f>P5*K5</x:f>
        <x:v>0.20000000000000001</x:v>
      </x:c>
      <x:c r="U5" s="321">
        <x:f>SUM(R5+S5+T5)</x:f>
        <x:v>0.20000000000000001</x:v>
      </x:c>
      <x:c r="V5" s="322"/>
      <x:c r="W5" s="2"/>
      <x:c r="X5" s="142" t="s">
        <x:v>128</x:v>
      </x:c>
      <x:c r="Y5" s="143">
        <x:v>661</x:v>
      </x:c>
    </x:row>
    <x:row r="6" spans="1:25">
      <x:c r="A6" s="200" t="s">
        <x:v>106</x:v>
      </x:c>
      <x:c r="B6" s="200" t="s">
        <x:v>46</x:v>
      </x:c>
      <x:c r="C6" s="200"/>
      <x:c r="D6" s="183"/>
      <x:c r="E6" s="183"/>
      <x:c r="F6" s="183">
        <x:v>5</x:v>
      </x:c>
      <x:c r="G6" s="184"/>
      <x:c r="H6" s="185">
        <x:f>K6/F6</x:f>
        <x:v>0.040000000000000002</x:v>
      </x:c>
      <x:c r="I6" s="186">
        <x:f>L6/F6</x:f>
        <x:v>0.40000000000000002</x:v>
      </x:c>
      <x:c r="J6" s="184"/>
      <x:c r="K6" s="185">
        <x:v>0.20000000000000001</x:v>
      </x:c>
      <x:c r="L6" s="186">
        <x:v>2</x:v>
      </x:c>
      <x:c r="M6" s="202"/>
      <x:c r="N6" s="207">
        <x:v>0</x:v>
      </x:c>
      <x:c r="O6" s="209">
        <x:v>0</x:v>
      </x:c>
      <x:c r="P6" s="210">
        <x:f>N6*K6</x:f>
        <x:v>0</x:v>
      </x:c>
      <x:c r="Q6" s="347"/>
      <x:c r="R6" s="348">
        <x:f>N6*K6</x:f>
        <x:v>0</x:v>
      </x:c>
      <x:c r="S6" s="221">
        <x:f>O6*K6</x:f>
        <x:v>0</x:v>
      </x:c>
      <x:c r="T6" s="253">
        <x:f>P6*K6</x:f>
        <x:v>0</x:v>
      </x:c>
      <x:c r="U6" s="323">
        <x:f t="shared" ref="U6:U25" si="0">SUM(R6+S6+T6)</x:f>
        <x:v>0</x:v>
      </x:c>
      <x:c r="V6" s="324"/>
      <x:c r="X6" s="142" t="s">
        <x:v>175</x:v>
      </x:c>
      <x:c r="Y6" s="143">
        <x:f>parameter!C10</x:f>
        <x:v>3654.1161779686181</x:v>
      </x:c>
    </x:row>
    <x:row r="7" spans="1:25">
      <x:c r="A7" s="198" t="s">
        <x:v>50</x:v>
      </x:c>
      <x:c r="B7" s="198"/>
      <x:c r="C7" s="198"/>
      <x:c r="D7" s="181"/>
      <x:c r="E7" s="180"/>
      <x:c r="F7" s="180">
        <x:v>3.2999999999999998</x:v>
      </x:c>
      <x:c r="G7" s="228"/>
      <x:c r="H7" s="222">
        <x:f>K7/F7</x:f>
        <x:v>0.060606060606060615</x:v>
      </x:c>
      <x:c r="I7" s="223">
        <x:f>L7/F7</x:f>
        <x:v>0.60606060606060608</x:v>
      </x:c>
      <x:c r="J7" s="228"/>
      <x:c r="K7" s="182">
        <x:v>0.20000000000000001</x:v>
      </x:c>
      <x:c r="L7" s="201">
        <x:v>2</x:v>
      </x:c>
      <x:c r="M7" s="181"/>
      <x:c r="N7" s="208">
        <x:v>0</x:v>
      </x:c>
      <x:c r="O7" s="211">
        <x:v>0</x:v>
      </x:c>
      <x:c r="P7" s="212">
        <x:f>N7*K7</x:f>
        <x:v>0</x:v>
      </x:c>
      <x:c r="Q7" s="349"/>
      <x:c r="R7" s="350">
        <x:f t="shared" ref="R7:R25" si="1">N7*K7</x:f>
        <x:v>0</x:v>
      </x:c>
      <x:c r="S7" s="182">
        <x:f t="shared" ref="S7:S22" si="2">O7*K7</x:f>
        <x:v>0</x:v>
      </x:c>
      <x:c r="T7" s="201">
        <x:f>P7*K7</x:f>
        <x:v>0</x:v>
      </x:c>
      <x:c r="U7" s="325">
        <x:f t="shared" si="0"/>
        <x:v>0</x:v>
      </x:c>
      <x:c r="V7" s="326"/>
      <x:c r="W7" s="2"/>
      <x:c r="X7" s="142" t="s">
        <x:v>113</x:v>
      </x:c>
      <x:c r="Y7" s="143">
        <x:f>parameter!C11</x:f>
        <x:v>2022.8687108268114</x:v>
      </x:c>
    </x:row>
    <x:row r="8" spans="1:25">
      <x:c r="A8" s="69" t="s">
        <x:v>87</x:v>
      </x:c>
      <x:c r="B8" s="69" t="s">
        <x:v>66</x:v>
      </x:c>
      <x:c r="C8" s="69" t="s">
        <x:v>193</x:v>
      </x:c>
      <x:c r="D8" s="69" t="s">
        <x:v>133</x:v>
      </x:c>
      <x:c r="E8" s="69"/>
      <x:c r="F8" s="69">
        <x:v>3.2999999999999998</x:v>
      </x:c>
      <x:c r="G8" s="89">
        <x:v>0.115</x:v>
      </x:c>
      <x:c r="H8" s="61">
        <x:v>0.24199999999999999</x:v>
      </x:c>
      <x:c r="I8" s="90">
        <x:v>0.39400000000000002</x:v>
      </x:c>
      <x:c r="J8" s="89">
        <x:f>F8*G8</x:f>
        <x:v>0.3795</x:v>
      </x:c>
      <x:c r="K8" s="62">
        <x:v>0.80000000000000004</x:v>
      </x:c>
      <x:c r="L8" s="90">
        <x:f>I8*F8</x:f>
        <x:v>1.3002</x:v>
      </x:c>
      <x:c r="M8" s="114"/>
      <x:c r="N8" s="203">
        <x:v>0</x:v>
      </x:c>
      <x:c r="O8" s="63">
        <x:v>0</x:v>
      </x:c>
      <x:c r="P8" s="116">
        <x:v>1</x:v>
      </x:c>
      <x:c r="Q8" s="351"/>
      <x:c r="R8" s="214">
        <x:f t="shared" si="1"/>
        <x:v>0</x:v>
      </x:c>
      <x:c r="S8" s="61">
        <x:f t="shared" si="2"/>
        <x:v>0</x:v>
      </x:c>
      <x:c r="T8" s="90">
        <x:f>P8*L8</x:f>
        <x:v>1.3002</x:v>
      </x:c>
      <x:c r="U8" s="327">
        <x:f t="shared" si="0"/>
        <x:v>1.3002</x:v>
      </x:c>
      <x:c r="V8" s="328"/>
      <x:c r="W8" s="2"/>
      <x:c r="X8" s="142" t="s">
        <x:v>212</x:v>
      </x:c>
      <x:c r="Y8" s="143">
        <x:v>0.29999999999999999</x:v>
      </x:c>
    </x:row>
    <x:row r="9" spans="1:25">
      <x:c r="A9" s="296" t="s">
        <x:v>42</x:v>
      </x:c>
      <x:c r="B9" s="76" t="s">
        <x:v>56</x:v>
      </x:c>
      <x:c r="C9" s="78" t="s">
        <x:v>184</x:v>
      </x:c>
      <x:c r="D9" s="73" t="s">
        <x:v>135</x:v>
      </x:c>
      <x:c r="E9" s="73"/>
      <x:c r="F9" s="73">
        <x:v>3.2999999999999998</x:v>
      </x:c>
      <x:c r="G9" s="91"/>
      <x:c r="H9" s="24">
        <x:f>0.12/F9</x:f>
        <x:v>0.036363636363636362</x:v>
      </x:c>
      <x:c r="I9" s="92">
        <x:f>0.2/F9</x:f>
        <x:v>0.060606060606060615</x:v>
      </x:c>
      <x:c r="J9" s="91"/>
      <x:c r="K9" s="55">
        <x:f t="shared" ref="K9:K16" si="3">H9*F9</x:f>
        <x:v>0.11999999999999998</x:v>
      </x:c>
      <x:c r="L9" s="92">
        <x:f>I9*F9</x:f>
        <x:v>0.20000000000000001</x:v>
      </x:c>
      <x:c r="M9" s="117"/>
      <x:c r="N9" s="118">
        <x:v>1</x:v>
      </x:c>
      <x:c r="O9" s="25">
        <x:v>1</x:v>
      </x:c>
      <x:c r="P9" s="119">
        <x:v>1</x:v>
      </x:c>
      <x:c r="Q9" s="352"/>
      <x:c r="R9" s="215">
        <x:f>N9*K9</x:f>
        <x:v>0.11999999999999998</x:v>
      </x:c>
      <x:c r="S9" s="24">
        <x:f t="shared" si="2"/>
        <x:v>0.11999999999999998</x:v>
      </x:c>
      <x:c r="T9" s="92">
        <x:f>P9*$L$9+(1-P9)*K9</x:f>
        <x:v>0.20000000000000001</x:v>
      </x:c>
      <x:c r="U9" s="329">
        <x:f t="shared" si="0"/>
        <x:v>0.43999999999999995</x:v>
      </x:c>
      <x:c r="V9" s="330"/>
      <x:c r="W9" s="2"/>
      <x:c r="X9" s="142" t="s">
        <x:v>79</x:v>
      </x:c>
      <x:c r="Y9" s="143">
        <x:v>0.59999999999999998</x:v>
      </x:c>
    </x:row>
    <x:row r="10" spans="1:25">
      <x:c r="A10" s="298"/>
      <x:c r="B10" s="71"/>
      <x:c r="C10" s="71"/>
      <x:c r="D10" s="73" t="s">
        <x:v>123</x:v>
      </x:c>
      <x:c r="E10" s="73"/>
      <x:c r="F10" s="73">
        <x:v>3.2999999999999998</x:v>
      </x:c>
      <x:c r="G10" s="91"/>
      <x:c r="H10" s="24">
        <x:f>0.2/F10</x:f>
        <x:v>0.060606060606060615</x:v>
      </x:c>
      <x:c r="I10" s="92">
        <x:f>0.4/F10</x:f>
        <x:v>0.12121212121212123</x:v>
      </x:c>
      <x:c r="J10" s="91"/>
      <x:c r="K10" s="55">
        <x:f t="shared" si="3"/>
        <x:v>0.20000000000000001</x:v>
      </x:c>
      <x:c r="L10" s="92">
        <x:f>I10*F10</x:f>
        <x:v>0.40000000000000002</x:v>
      </x:c>
      <x:c r="M10" s="117"/>
      <x:c r="N10" s="118">
        <x:v>1</x:v>
      </x:c>
      <x:c r="O10" s="25">
        <x:v>1</x:v>
      </x:c>
      <x:c r="P10" s="119">
        <x:v>1</x:v>
      </x:c>
      <x:c r="Q10" s="352"/>
      <x:c r="R10" s="215">
        <x:f>N10*K10</x:f>
        <x:v>0.20000000000000001</x:v>
      </x:c>
      <x:c r="S10" s="24">
        <x:f t="shared" si="2"/>
        <x:v>0.20000000000000001</x:v>
      </x:c>
      <x:c r="T10" s="92">
        <x:f>P10*$L$10+(1-P10)*K10</x:f>
        <x:v>0.40000000000000002</x:v>
      </x:c>
      <x:c r="U10" s="329">
        <x:f t="shared" si="0"/>
        <x:v>0.80000000000000004</x:v>
      </x:c>
      <x:c r="V10" s="330"/>
      <x:c r="W10" s="2"/>
      <x:c r="X10" s="142" t="s">
        <x:v>44</x:v>
      </x:c>
      <x:c r="Y10" s="143">
        <x:v>0.80000000000000004</x:v>
      </x:c>
    </x:row>
    <x:row r="11" spans="1:25">
      <x:c r="A11" s="299" t="s">
        <x:v>186</x:v>
      </x:c>
      <x:c r="B11" s="77"/>
      <x:c r="C11" s="77"/>
      <x:c r="D11" s="83" t="s">
        <x:v>121</x:v>
      </x:c>
      <x:c r="E11" s="83"/>
      <x:c r="F11" s="83">
        <x:v>5</x:v>
      </x:c>
      <x:c r="G11" s="93"/>
      <x:c r="H11" s="56">
        <x:f>0.07*5/5</x:f>
        <x:v>0.070000000000000007</x:v>
      </x:c>
      <x:c r="I11" s="94">
        <x:f>0.167*5/5</x:f>
        <x:v>0.16700000000000001</x:v>
      </x:c>
      <x:c r="J11" s="93"/>
      <x:c r="K11" s="26">
        <x:f>H11*F11</x:f>
        <x:v>0.35000000000000003</x:v>
      </x:c>
      <x:c r="L11" s="94">
        <x:f>I11*F11</x:f>
        <x:v>0.83500000000000008</x:v>
      </x:c>
      <x:c r="M11" s="120"/>
      <x:c r="N11" s="121">
        <x:v>1</x:v>
      </x:c>
      <x:c r="O11" s="27">
        <x:v>1</x:v>
      </x:c>
      <x:c r="P11" s="122">
        <x:v>1</x:v>
      </x:c>
      <x:c r="Q11" s="353"/>
      <x:c r="R11" s="216">
        <x:f t="shared" si="1"/>
        <x:v>0.35000000000000003</x:v>
      </x:c>
      <x:c r="S11" s="26">
        <x:f t="shared" si="2"/>
        <x:v>0.35000000000000003</x:v>
      </x:c>
      <x:c r="T11" s="94">
        <x:f>P11*$L$11+(1-P11)*K11</x:f>
        <x:v>0.83500000000000008</x:v>
      </x:c>
      <x:c r="U11" s="331">
        <x:f t="shared" si="0"/>
        <x:v>1.5350000000000001</x:v>
      </x:c>
      <x:c r="V11" s="332"/>
      <x:c r="W11" s="2"/>
      <x:c r="X11" s="142" t="s">
        <x:v>96</x:v>
      </x:c>
      <x:c r="Y11" s="143">
        <x:v>0.80000000000000004</x:v>
      </x:c>
    </x:row>
    <x:row r="12" spans="1:25">
      <x:c r="A12" s="299"/>
      <x:c r="B12" s="77"/>
      <x:c r="C12" s="77"/>
      <x:c r="D12" s="83" t="s">
        <x:v>116</x:v>
      </x:c>
      <x:c r="E12" s="83"/>
      <x:c r="F12" s="83">
        <x:v>5</x:v>
      </x:c>
      <x:c r="G12" s="93"/>
      <x:c r="H12" s="26">
        <x:f>0.064/F12</x:f>
        <x:v>0.0128</x:v>
      </x:c>
      <x:c r="I12" s="94"/>
      <x:c r="J12" s="93"/>
      <x:c r="K12" s="56">
        <x:f t="shared" si="3"/>
        <x:v>0.064000000000000001</x:v>
      </x:c>
      <x:c r="L12" s="94"/>
      <x:c r="M12" s="120"/>
      <x:c r="N12" s="121">
        <x:v>1</x:v>
      </x:c>
      <x:c r="O12" s="27">
        <x:v>1</x:v>
      </x:c>
      <x:c r="P12" s="122">
        <x:v>1</x:v>
      </x:c>
      <x:c r="Q12" s="353"/>
      <x:c r="R12" s="216">
        <x:f t="shared" si="1"/>
        <x:v>0.064000000000000001</x:v>
      </x:c>
      <x:c r="S12" s="26">
        <x:f t="shared" si="2"/>
        <x:v>0.064000000000000001</x:v>
      </x:c>
      <x:c r="T12" s="94">
        <x:f>P12*$K$12</x:f>
        <x:v>0.064000000000000001</x:v>
      </x:c>
      <x:c r="U12" s="331">
        <x:f t="shared" si="0"/>
        <x:v>0.192</x:v>
      </x:c>
      <x:c r="V12" s="332"/>
      <x:c r="W12" s="2"/>
      <x:c r="X12" s="144"/>
      <x:c r="Y12" s="143"/>
    </x:row>
    <x:row r="13" spans="1:25">
      <x:c r="A13" s="298" t="s">
        <x:v>42</x:v>
      </x:c>
      <x:c r="B13" s="71"/>
      <x:c r="C13" s="71"/>
      <x:c r="D13" s="73" t="s">
        <x:v>157</x:v>
      </x:c>
      <x:c r="E13" s="73"/>
      <x:c r="F13" s="73">
        <x:v>3.2999999999999998</x:v>
      </x:c>
      <x:c r="G13" s="91"/>
      <x:c r="H13" s="24">
        <x:f>0.2/F13</x:f>
        <x:v>0.060606060606060615</x:v>
      </x:c>
      <x:c r="I13" s="92"/>
      <x:c r="J13" s="91"/>
      <x:c r="K13" s="55">
        <x:f t="shared" si="3"/>
        <x:v>0.20000000000000001</x:v>
      </x:c>
      <x:c r="L13" s="92"/>
      <x:c r="M13" s="117"/>
      <x:c r="N13" s="118">
        <x:v>1</x:v>
      </x:c>
      <x:c r="O13" s="25">
        <x:v>1</x:v>
      </x:c>
      <x:c r="P13" s="119">
        <x:v>1</x:v>
      </x:c>
      <x:c r="Q13" s="352"/>
      <x:c r="R13" s="215">
        <x:f t="shared" si="1"/>
        <x:v>0.20000000000000001</x:v>
      </x:c>
      <x:c r="S13" s="24">
        <x:f t="shared" si="2"/>
        <x:v>0.20000000000000001</x:v>
      </x:c>
      <x:c r="T13" s="92">
        <x:f>P13*$K$13</x:f>
        <x:v>0.20000000000000001</x:v>
      </x:c>
      <x:c r="U13" s="329">
        <x:f t="shared" si="0"/>
        <x:v>0.60000000000000009</x:v>
      </x:c>
      <x:c r="V13" s="330"/>
      <x:c r="W13" s="2"/>
      <x:c r="X13" s="144"/>
      <x:c r="Y13" s="143"/>
    </x:row>
    <x:row r="14" spans="1:25">
      <x:c r="A14" s="298"/>
      <x:c r="B14" s="71"/>
      <x:c r="C14" s="71"/>
      <x:c r="D14" s="73" t="s">
        <x:v>62</x:v>
      </x:c>
      <x:c r="E14" s="73"/>
      <x:c r="F14" s="73">
        <x:v>3.2999999999999998</x:v>
      </x:c>
      <x:c r="G14" s="91"/>
      <x:c r="H14" s="24">
        <x:f>0.035/F14</x:f>
        <x:v>0.010606060606060608</x:v>
      </x:c>
      <x:c r="I14" s="92"/>
      <x:c r="J14" s="91"/>
      <x:c r="K14" s="55">
        <x:f t="shared" si="3"/>
        <x:v>0.035000000000000003</x:v>
      </x:c>
      <x:c r="L14" s="92"/>
      <x:c r="M14" s="117"/>
      <x:c r="N14" s="118">
        <x:v>1</x:v>
      </x:c>
      <x:c r="O14" s="25">
        <x:v>1</x:v>
      </x:c>
      <x:c r="P14" s="119">
        <x:v>1</x:v>
      </x:c>
      <x:c r="Q14" s="352"/>
      <x:c r="R14" s="215">
        <x:f t="shared" si="1"/>
        <x:v>0.035000000000000003</x:v>
      </x:c>
      <x:c r="S14" s="24">
        <x:f t="shared" si="2"/>
        <x:v>0.035000000000000003</x:v>
      </x:c>
      <x:c r="T14" s="92">
        <x:f>P14*$K$14</x:f>
        <x:v>0.035000000000000003</x:v>
      </x:c>
      <x:c r="U14" s="329">
        <x:f t="shared" si="0"/>
        <x:v>0.10500000000000001</x:v>
      </x:c>
      <x:c r="V14" s="330"/>
      <x:c r="W14" s="2"/>
      <x:c r="X14" s="142" t="s">
        <x:v>125</x:v>
      </x:c>
      <x:c r="Y14" s="143">
        <x:v>0.20000000000000001</x:v>
      </x:c>
    </x:row>
    <x:row r="15" spans="1:25">
      <x:c r="A15" s="70" t="s">
        <x:v>75</x:v>
      </x:c>
      <x:c r="B15" s="70"/>
      <x:c r="C15" s="79"/>
      <x:c r="D15" s="84" t="s">
        <x:v>158</x:v>
      </x:c>
      <x:c r="E15" s="84"/>
      <x:c r="F15" s="84">
        <x:v>8.2599999999999998</x:v>
      </x:c>
      <x:c r="G15" s="95">
        <x:f>0.065*3/F15</x:f>
        <x:v>0.023607748184019371</x:v>
      </x:c>
      <x:c r="H15" s="9">
        <x:f>0.19*3/F15</x:f>
        <x:v>0.069007263922518172</x:v>
      </x:c>
      <x:c r="I15" s="96">
        <x:f>2.3*3/F15</x:f>
        <x:v>0.83535108958837767</x:v>
      </x:c>
      <x:c r="J15" s="95">
        <x:f>F15*G15</x:f>
        <x:v>0.19500000000000001</x:v>
      </x:c>
      <x:c r="K15" s="57">
        <x:f t="shared" si="3"/>
        <x:v>0.57000000000000006</x:v>
      </x:c>
      <x:c r="L15" s="96">
        <x:f>I15*F15</x:f>
        <x:v>6.8999999999999995</x:v>
      </x:c>
      <x:c r="M15" s="123"/>
      <x:c r="N15" s="124">
        <x:v>1</x:v>
      </x:c>
      <x:c r="O15" s="31">
        <x:v>1</x:v>
      </x:c>
      <x:c r="P15" s="125">
        <x:v>1</x:v>
      </x:c>
      <x:c r="Q15" s="354"/>
      <x:c r="R15" s="217">
        <x:f t="shared" si="1"/>
        <x:v>0.57000000000000006</x:v>
      </x:c>
      <x:c r="S15" s="9">
        <x:f t="shared" si="2"/>
        <x:v>0.57000000000000006</x:v>
      </x:c>
      <x:c r="T15" s="96">
        <x:f>P15*$L$15+(1-P15)*K15</x:f>
        <x:v>6.8999999999999995</x:v>
      </x:c>
      <x:c r="U15" s="333">
        <x:f t="shared" si="0"/>
        <x:v>8.0399999999999991</x:v>
      </x:c>
      <x:c r="V15" s="334"/>
      <x:c r="W15" s="2"/>
      <x:c r="X15" s="142" t="s">
        <x:v>208</x:v>
      </x:c>
      <x:c r="Y15" s="143">
        <x:v>0.90000000000000002</x:v>
      </x:c>
    </x:row>
    <x:row r="16" spans="1:25" ht="13.949999999999999">
      <x:c r="A16" s="71" t="s">
        <x:v>42</x:v>
      </x:c>
      <x:c r="B16" s="71"/>
      <x:c r="C16" s="73" t="s">
        <x:v>180</x:v>
      </x:c>
      <x:c r="D16" s="73" t="s">
        <x:v>58</x:v>
      </x:c>
      <x:c r="E16" s="73"/>
      <x:c r="F16" s="73">
        <x:v>3.2999999999999998</x:v>
      </x:c>
      <x:c r="G16" s="91"/>
      <x:c r="H16" s="55">
        <x:v>0</x:v>
      </x:c>
      <x:c r="I16" s="92"/>
      <x:c r="J16" s="91"/>
      <x:c r="K16" s="24">
        <x:f t="shared" si="3"/>
        <x:v>0</x:v>
      </x:c>
      <x:c r="L16" s="92"/>
      <x:c r="M16" s="117"/>
      <x:c r="N16" s="118">
        <x:v>1</x:v>
      </x:c>
      <x:c r="O16" s="25">
        <x:v>1</x:v>
      </x:c>
      <x:c r="P16" s="119">
        <x:v>1</x:v>
      </x:c>
      <x:c r="Q16" s="352"/>
      <x:c r="R16" s="215">
        <x:f t="shared" si="1"/>
        <x:v>0</x:v>
      </x:c>
      <x:c r="S16" s="24">
        <x:f t="shared" si="2"/>
        <x:v>0</x:v>
      </x:c>
      <x:c r="T16" s="92">
        <x:f>P16*K16</x:f>
        <x:v>0</x:v>
      </x:c>
      <x:c r="U16" s="329">
        <x:f t="shared" si="0"/>
        <x:v>0</x:v>
      </x:c>
      <x:c r="V16" s="330"/>
      <x:c r="W16" s="2"/>
      <x:c r="X16" s="145" t="s">
        <x:v>144</x:v>
      </x:c>
      <x:c r="Y16" s="146">
        <x:v>0.40000000000000002</x:v>
      </x:c>
    </x:row>
    <x:row r="17" spans="1:24">
      <x:c r="A17" s="72" t="s">
        <x:v>54</x:v>
      </x:c>
      <x:c r="B17" s="72"/>
      <x:c r="C17" s="80" t="s">
        <x:v>77</x:v>
      </x:c>
      <x:c r="D17" s="80" t="s">
        <x:v>95</x:v>
      </x:c>
      <x:c r="E17" s="80"/>
      <x:c r="F17" s="80">
        <x:v>3.2999999999999998</x:v>
      </x:c>
      <x:c r="G17" s="97"/>
      <x:c r="H17" s="58">
        <x:v>0.39400000000000002</x:v>
      </x:c>
      <x:c r="I17" s="98"/>
      <x:c r="J17" s="97"/>
      <x:c r="K17" s="59">
        <x:v>1.3</x:v>
      </x:c>
      <x:c r="L17" s="98"/>
      <x:c r="M17" s="126"/>
      <x:c r="N17" s="127">
        <x:v>1</x:v>
      </x:c>
      <x:c r="O17" s="60">
        <x:v>1</x:v>
      </x:c>
      <x:c r="P17" s="128">
        <x:v>1</x:v>
      </x:c>
      <x:c r="Q17" s="355"/>
      <x:c r="R17" s="218">
        <x:f t="shared" si="1"/>
        <x:v>1.3</x:v>
      </x:c>
      <x:c r="S17" s="58">
        <x:f t="shared" si="2"/>
        <x:v>1.3</x:v>
      </x:c>
      <x:c r="T17" s="98">
        <x:f>P17*K17</x:f>
        <x:v>1.3</x:v>
      </x:c>
      <x:c r="U17" s="335">
        <x:f t="shared" si="0"/>
        <x:v>3.9000000000000004</x:v>
      </x:c>
      <x:c r="V17" s="336"/>
      <x:c r="W17" s="2"/>
      <x:c r="X17" s="2"/>
    </x:row>
    <x:row r="18" spans="1:24">
      <x:c r="A18" s="66"/>
      <x:c r="B18" s="300" t="s">
        <x:v>202</x:v>
      </x:c>
      <x:c r="C18" s="75" t="s">
        <x:v>98</x:v>
      </x:c>
      <x:c r="D18" s="68" t="s">
        <x:v>163</x:v>
      </x:c>
      <x:c r="E18" s="68"/>
      <x:c r="F18" s="81"/>
      <x:c r="G18" s="99"/>
      <x:c r="H18" s="32"/>
      <x:c r="I18" s="100"/>
      <x:c r="J18" s="99"/>
      <x:c r="K18" s="32">
        <x:v>0.10000000000000001</x:v>
      </x:c>
      <x:c r="L18" s="100"/>
      <x:c r="M18" s="106"/>
      <x:c r="N18" s="112">
        <x:v>1</x:v>
      </x:c>
      <x:c r="O18" s="64">
        <x:v>1</x:v>
      </x:c>
      <x:c r="P18" s="113">
        <x:v>1</x:v>
      </x:c>
      <x:c r="Q18" s="356"/>
      <x:c r="R18" s="213">
        <x:f t="shared" si="1"/>
        <x:v>0.10000000000000001</x:v>
      </x:c>
      <x:c r="S18" s="4">
        <x:f t="shared" si="2"/>
        <x:v>0.10000000000000001</x:v>
      </x:c>
      <x:c r="T18" s="86">
        <x:f>P18*K18</x:f>
        <x:v>0.10000000000000001</x:v>
      </x:c>
      <x:c r="U18" s="337">
        <x:f t="shared" si="0"/>
        <x:v>0.30000000000000004</x:v>
      </x:c>
      <x:c r="V18" s="338"/>
      <x:c r="W18" s="2"/>
      <x:c r="X18" s="2"/>
    </x:row>
    <x:row r="19" spans="1:24">
      <x:c r="A19" s="66"/>
      <x:c r="B19" s="301"/>
      <x:c r="C19" s="75" t="s">
        <x:v>59</x:v>
      </x:c>
      <x:c r="D19" s="68" t="s">
        <x:v>117</x:v>
      </x:c>
      <x:c r="E19" s="68"/>
      <x:c r="F19" s="81"/>
      <x:c r="G19" s="99"/>
      <x:c r="H19" s="32"/>
      <x:c r="I19" s="100"/>
      <x:c r="J19" s="99"/>
      <x:c r="K19" s="32">
        <x:v>0.20000000000000001</x:v>
      </x:c>
      <x:c r="L19" s="100"/>
      <x:c r="M19" s="106"/>
      <x:c r="N19" s="112">
        <x:v>1</x:v>
      </x:c>
      <x:c r="O19" s="64">
        <x:v>1</x:v>
      </x:c>
      <x:c r="P19" s="113">
        <x:v>1</x:v>
      </x:c>
      <x:c r="Q19" s="356"/>
      <x:c r="R19" s="213">
        <x:f t="shared" si="1"/>
        <x:v>0.20000000000000001</x:v>
      </x:c>
      <x:c r="S19" s="4">
        <x:f t="shared" si="2"/>
        <x:v>0.20000000000000001</x:v>
      </x:c>
      <x:c r="T19" s="86">
        <x:f>P19*K19</x:f>
        <x:v>0.20000000000000001</x:v>
      </x:c>
      <x:c r="U19" s="337">
        <x:f t="shared" si="0"/>
        <x:v>0.60000000000000009</x:v>
      </x:c>
      <x:c r="V19" s="338"/>
      <x:c r="W19" s="2"/>
      <x:c r="X19" s="2"/>
    </x:row>
    <x:row r="20" spans="1:24">
      <x:c r="A20" s="66"/>
      <x:c r="B20" s="302"/>
      <x:c r="C20" s="81" t="s">
        <x:v>162</x:v>
      </x:c>
      <x:c r="D20" s="81" t="s">
        <x:v>182</x:v>
      </x:c>
      <x:c r="E20" s="81"/>
      <x:c r="F20" s="81"/>
      <x:c r="G20" s="99"/>
      <x:c r="H20" s="32"/>
      <x:c r="I20" s="100"/>
      <x:c r="J20" s="99"/>
      <x:c r="K20" s="32">
        <x:f>H20*F20</x:f>
        <x:v>0</x:v>
      </x:c>
      <x:c r="L20" s="100"/>
      <x:c r="M20" s="129"/>
      <x:c r="N20" s="130">
        <x:v>1</x:v>
      </x:c>
      <x:c r="O20" s="33">
        <x:v>1</x:v>
      </x:c>
      <x:c r="P20" s="131">
        <x:v>1</x:v>
      </x:c>
      <x:c r="Q20" s="357"/>
      <x:c r="R20" s="219">
        <x:f t="shared" si="1"/>
        <x:v>0</x:v>
      </x:c>
      <x:c r="S20" s="32">
        <x:f t="shared" si="2"/>
        <x:v>0</x:v>
      </x:c>
      <x:c r="T20" s="86">
        <x:f>P20*K20</x:f>
        <x:v>0</x:v>
      </x:c>
      <x:c r="U20" s="337">
        <x:f t="shared" si="0"/>
        <x:v>0</x:v>
      </x:c>
      <x:c r="V20" s="339"/>
      <x:c r="W20" s="2"/>
      <x:c r="X20" s="2"/>
    </x:row>
    <x:row r="21" spans="1:24">
      <x:c r="A21" s="73" t="s">
        <x:v>42</x:v>
      </x:c>
      <x:c r="B21" s="73" t="s">
        <x:v>61</x:v>
      </x:c>
      <x:c r="C21" s="73" t="s">
        <x:v>187</x:v>
      </x:c>
      <x:c r="D21" s="73" t="s">
        <x:v>204</x:v>
      </x:c>
      <x:c r="E21" s="73"/>
      <x:c r="F21" s="73">
        <x:v>3.2999999999999998</x:v>
      </x:c>
      <x:c r="G21" s="91"/>
      <x:c r="H21" s="55">
        <x:f>0.13</x:f>
        <x:v>0.13</x:v>
      </x:c>
      <x:c r="I21" s="92">
        <x:f>1/F21</x:f>
        <x:v>0.30303030303030304</x:v>
      </x:c>
      <x:c r="J21" s="91"/>
      <x:c r="K21" s="24">
        <x:f>H21*F21</x:f>
        <x:v>0.42899999999999999</x:v>
      </x:c>
      <x:c r="L21" s="92">
        <x:f>I21*F21</x:f>
        <x:v>1</x:v>
      </x:c>
      <x:c r="M21" s="117"/>
      <x:c r="N21" s="118">
        <x:v>1</x:v>
      </x:c>
      <x:c r="O21" s="25">
        <x:v>1</x:v>
      </x:c>
      <x:c r="P21" s="119">
        <x:v>1</x:v>
      </x:c>
      <x:c r="Q21" s="352"/>
      <x:c r="R21" s="215">
        <x:f t="shared" si="1"/>
        <x:v>0.42899999999999999</x:v>
      </x:c>
      <x:c r="S21" s="24">
        <x:f t="shared" si="2"/>
        <x:v>0.42899999999999999</x:v>
      </x:c>
      <x:c r="T21" s="92">
        <x:f>P21*L21</x:f>
        <x:v>1</x:v>
      </x:c>
      <x:c r="U21" s="329">
        <x:f t="shared" si="0"/>
        <x:v>1.8580000000000001</x:v>
      </x:c>
      <x:c r="V21" s="330"/>
      <x:c r="W21" s="2"/>
      <x:c r="X21" s="2"/>
    </x:row>
    <x:row r="22" spans="1:24">
      <x:c r="A22" s="296" t="s">
        <x:v>42</x:v>
      </x:c>
      <x:c r="B22" s="76" t="s">
        <x:v>63</x:v>
      </x:c>
      <x:c r="C22" s="73" t="s">
        <x:v>178</x:v>
      </x:c>
      <x:c r="D22" s="73" t="s">
        <x:v>90</x:v>
      </x:c>
      <x:c r="E22" s="73"/>
      <x:c r="F22" s="73">
        <x:v>3.2999999999999998</x:v>
      </x:c>
      <x:c r="G22" s="91"/>
      <x:c r="H22" s="24">
        <x:f>0.04/F22</x:f>
        <x:v>0.012121212121212123</x:v>
      </x:c>
      <x:c r="I22" s="92">
        <x:f>2/F22</x:f>
        <x:v>0.60606060606060608</x:v>
      </x:c>
      <x:c r="J22" s="91"/>
      <x:c r="K22" s="55">
        <x:f>H22*F22</x:f>
        <x:v>0.040000000000000002</x:v>
      </x:c>
      <x:c r="L22" s="92">
        <x:f>I22*F22</x:f>
        <x:v>2</x:v>
      </x:c>
      <x:c r="M22" s="117"/>
      <x:c r="N22" s="118">
        <x:v>0</x:v>
      </x:c>
      <x:c r="O22" s="25">
        <x:v>0</x:v>
      </x:c>
      <x:c r="P22" s="119">
        <x:v>1</x:v>
      </x:c>
      <x:c r="Q22" s="352"/>
      <x:c r="R22" s="215">
        <x:f t="shared" si="1"/>
        <x:v>0</x:v>
      </x:c>
      <x:c r="S22" s="24">
        <x:f t="shared" si="2"/>
        <x:v>0</x:v>
      </x:c>
      <x:c r="T22" s="92">
        <x:f>P22*K22</x:f>
        <x:v>0.040000000000000002</x:v>
      </x:c>
      <x:c r="U22" s="329">
        <x:f t="shared" si="0"/>
        <x:v>0.040000000000000002</x:v>
      </x:c>
      <x:c r="V22" s="330"/>
      <x:c r="W22" s="2"/>
      <x:c r="X22" s="2"/>
    </x:row>
    <x:row r="23" spans="1:24">
      <x:c r="A23" s="298"/>
      <x:c r="B23" s="71"/>
      <x:c r="C23" s="296" t="s">
        <x:v>104</x:v>
      </x:c>
      <x:c r="D23" s="296" t="s">
        <x:v>139</x:v>
      </x:c>
      <x:c r="E23" s="73" t="s">
        <x:v>196</x:v>
      </x:c>
      <x:c r="F23" s="73">
        <x:v>3.2999999999999998</x:v>
      </x:c>
      <x:c r="G23" s="101">
        <x:v>0.044999999999999996</x:v>
      </x:c>
      <x:c r="H23" s="55">
        <x:v>0.055000000000000004</x:v>
      </x:c>
      <x:c r="I23" s="102">
        <x:v>0.12</x:v>
      </x:c>
      <x:c r="J23" s="91">
        <x:f>F23*G23</x:f>
        <x:v>0.14849999999999999</x:v>
      </x:c>
      <x:c r="K23" s="24">
        <x:f>H23*F23</x:f>
        <x:v>0.18150000000000002</x:v>
      </x:c>
      <x:c r="L23" s="92">
        <x:f>I23*F23</x:f>
        <x:v>0.39599999999999996</x:v>
      </x:c>
      <x:c r="M23" s="117"/>
      <x:c r="N23" s="118">
        <x:v>0.90000000000000002</x:v>
      </x:c>
      <x:c r="O23" s="25">
        <x:v>0.90000000000000002</x:v>
      </x:c>
      <x:c r="P23" s="119">
        <x:v>0.80000000000000004</x:v>
      </x:c>
      <x:c r="Q23" s="352"/>
      <x:c r="R23" s="215">
        <x:f>N23*L23</x:f>
        <x:v>0.35639999999999999</x:v>
      </x:c>
      <x:c r="S23" s="24">
        <x:f>O23*L23</x:f>
        <x:v>0.35639999999999999</x:v>
      </x:c>
      <x:c r="T23" s="92">
        <x:f>P23*L23</x:f>
        <x:v>0.31679999999999997</x:v>
      </x:c>
      <x:c r="U23" s="329">
        <x:f t="shared" si="0"/>
        <x:v>1.0295999999999998</x:v>
      </x:c>
      <x:c r="V23" s="330"/>
      <x:c r="W23" s="2"/>
      <x:c r="X23" s="2"/>
    </x:row>
    <x:row r="24" spans="1:24" ht="15" customHeight="1">
      <x:c r="A24" s="298"/>
      <x:c r="B24" s="71"/>
      <x:c r="C24" s="297"/>
      <x:c r="D24" s="297"/>
      <x:c r="E24" s="73" t="s">
        <x:v>199</x:v>
      </x:c>
      <x:c r="F24" s="73">
        <x:v>3.2999999999999998</x:v>
      </x:c>
      <x:c r="G24" s="101">
        <x:v>0.59999999999999998</x:v>
      </x:c>
      <x:c r="H24" s="24"/>
      <x:c r="I24" s="92">
        <x:v>1</x:v>
      </x:c>
      <x:c r="J24" s="91">
        <x:f>F24*G24</x:f>
        <x:v>1.9799999999999998</x:v>
      </x:c>
      <x:c r="K24" s="24"/>
      <x:c r="L24" s="92">
        <x:f>I24*F24</x:f>
        <x:v>3.2999999999999998</x:v>
      </x:c>
      <x:c r="M24" s="117"/>
      <x:c r="N24" s="177">
        <x:f>1-N23</x:f>
        <x:v>0.09999999999999998</x:v>
      </x:c>
      <x:c r="O24" s="25">
        <x:f>1-O23</x:f>
        <x:v>0.09999999999999998</x:v>
      </x:c>
      <x:c r="P24" s="119">
        <x:f>1-P23</x:f>
        <x:v>0.19999999999999996</x:v>
      </x:c>
      <x:c r="Q24" s="352"/>
      <x:c r="R24" s="215">
        <x:f>N24*L24</x:f>
        <x:v>0.3299999999999999</x:v>
      </x:c>
      <x:c r="S24" s="24">
        <x:f>O24*L24</x:f>
        <x:v>0.3299999999999999</x:v>
      </x:c>
      <x:c r="T24" s="92">
        <x:f>P24*L24</x:f>
        <x:v>0.65999999999999981</x:v>
      </x:c>
      <x:c r="U24" s="329">
        <x:f t="shared" si="0"/>
        <x:v>1.3199999999999996</x:v>
      </x:c>
      <x:c r="V24" s="330"/>
      <x:c r="W24" s="2"/>
      <x:c r="X24" s="2"/>
    </x:row>
    <x:row r="25" spans="1:24" ht="13.949999999999999">
      <x:c r="A25" s="74" t="s">
        <x:v>186</x:v>
      </x:c>
      <x:c r="B25" s="74"/>
      <x:c r="C25" s="176" t="s">
        <x:v>181</x:v>
      </x:c>
      <x:c r="D25" s="82" t="s">
        <x:v>156</x:v>
      </x:c>
      <x:c r="E25" s="82" t="s">
        <x:v>199</x:v>
      </x:c>
      <x:c r="F25" s="82">
        <x:v>5</x:v>
      </x:c>
      <x:c r="G25" s="229">
        <x:f>J25/5</x:f>
        <x:v>0.122</x:v>
      </x:c>
      <x:c r="H25" s="104">
        <x:f>K25/5</x:f>
        <x:v>0.54000000000000004</x:v>
      </x:c>
      <x:c r="I25" s="105">
        <x:f>L25/5</x:f>
        <x:v>1</x:v>
      </x:c>
      <x:c r="J25" s="107">
        <x:v>0.60999999999999999</x:v>
      </x:c>
      <x:c r="K25" s="108">
        <x:v>2.7000000000000002</x:v>
      </x:c>
      <x:c r="L25" s="109">
        <x:v>5</x:v>
      </x:c>
      <x:c r="M25" s="120"/>
      <x:c r="N25" s="132">
        <x:v>0</x:v>
      </x:c>
      <x:c r="O25" s="133">
        <x:v>0</x:v>
      </x:c>
      <x:c r="P25" s="134">
        <x:v>0</x:v>
      </x:c>
      <x:c r="Q25" s="353"/>
      <x:c r="R25" s="216">
        <x:f t="shared" si="1"/>
        <x:v>0</x:v>
      </x:c>
      <x:c r="S25" s="26">
        <x:f>O25*K25</x:f>
        <x:v>0</x:v>
      </x:c>
      <x:c r="T25" s="94">
        <x:f>P25*K25</x:f>
        <x:v>0</x:v>
      </x:c>
      <x:c r="U25" s="331">
        <x:f t="shared" si="0"/>
        <x:v>0</x:v>
      </x:c>
      <x:c r="V25" s="332"/>
      <x:c r="W25" s="2"/>
      <x:c r="X25" s="2"/>
    </x:row>
    <x:row r="26" spans="2:24">
      <x:c r="B26" s="5"/>
      <x:c r="C26" s="5"/>
      <x:c r="D26" s="5"/>
      <x:c r="E26" s="5"/>
      <x:c r="F26" s="5"/>
      <x:c r="G26" s="106"/>
      <x:c r="H26" s="106"/>
      <x:c r="I26" s="106"/>
      <x:c r="J26" s="106"/>
      <x:c r="K26" s="106"/>
      <x:c r="L26" s="2"/>
      <x:c r="M26" s="12"/>
      <x:c r="Q26" s="358" t="s">
        <x:v>209</x:v>
      </x:c>
      <x:c r="R26" s="368">
        <x:f>SUM(R5:R25)/Y15</x:f>
        <x:v>4.7271111111111113</x:v>
      </x:c>
      <x:c r="S26" s="286">
        <x:f>SUM(S5:S25)/Y15</x:f>
        <x:v>4.7271111111111113</x:v>
      </x:c>
      <x:c r="T26" s="369">
        <x:f>SUM(T5:T25)/Y15</x:f>
        <x:v>15.278888888888888</x:v>
      </x:c>
      <x:c r="U26" s="340">
        <x:f>SUM(R26+S26+T26)</x:f>
        <x:v>24.733111111111111</x:v>
      </x:c>
      <x:c r="V26" s="341" t="s">
        <x:v>203</x:v>
      </x:c>
      <x:c r="W26" s="2" t="s">
        <x:v>159</x:v>
      </x:c>
      <x:c r="X26" s="2"/>
    </x:row>
    <x:row r="27" spans="2:24">
      <x:c r="B27" s="5"/>
      <x:c r="C27" s="5"/>
      <x:c r="D27" s="5"/>
      <x:c r="E27" s="5"/>
      <x:c r="F27" s="5"/>
      <x:c r="G27" s="6"/>
      <x:c r="H27" s="6"/>
      <x:c r="I27" s="6"/>
      <x:c r="J27" s="6"/>
      <x:c r="K27" s="6"/>
      <x:c r="L27" s="2"/>
      <x:c r="M27" s="7"/>
      <x:c r="Q27" s="358" t="s">
        <x:v>150</x:v>
      </x:c>
      <x:c r="R27" s="364">
        <x:f>1.135*20*N4/3600</x:f>
        <x:v>18.747149233302121</x:v>
      </x:c>
      <x:c r="S27" s="288">
        <x:v>0</x:v>
      </x:c>
      <x:c r="T27" s="370">
        <x:v>0</x:v>
      </x:c>
      <x:c r="U27" s="340">
        <x:f t="shared" ref="U27:U32" si="4">SUM(R27+S27+T27)</x:f>
        <x:v>18.747149233302121</x:v>
      </x:c>
      <x:c r="V27" s="341" t="s">
        <x:v>188</x:v>
      </x:c>
      <x:c r="W27" s="8"/>
      <x:c r="X27" s="2"/>
    </x:row>
    <x:row r="28" spans="12:24">
      <x:c r="L28" s="2"/>
      <x:c r="M28" s="7"/>
      <x:c r="Q28" s="358" t="s">
        <x:v>217</x:v>
      </x:c>
      <x:c r="R28" s="364">
        <x:f>R26*N4/3600</x:f>
        <x:v>3.9039584776387932</x:v>
      </x:c>
      <x:c r="S28" s="287">
        <x:f>S26*O4/3600</x:f>
        <x:v>2.6562014331301196</x:v>
      </x:c>
      <x:c r="T28" s="371">
        <x:f>T26*P4/3600</x:f>
        <x:v>2.8902564814814813</x:v>
      </x:c>
      <x:c r="U28" s="340">
        <x:f t="shared" si="4"/>
        <x:v>9.4504163922503945</x:v>
      </x:c>
      <x:c r="V28" s="341" t="s">
        <x:v>188</x:v>
      </x:c>
      <x:c r="W28" s="8"/>
      <x:c r="X28" s="2"/>
    </x:row>
    <x:row r="29" spans="12:24">
      <x:c r="L29" s="2"/>
      <x:c r="M29" s="7"/>
      <x:c r="Q29" s="358" t="s">
        <x:v>151</x:v>
      </x:c>
      <x:c r="R29" s="363">
        <x:f>U27-U28</x:f>
        <x:v>9.2967328410517265</x:v>
      </x:c>
      <x:c r="S29" s="287"/>
      <x:c r="T29" s="371"/>
      <x:c r="U29" s="340">
        <x:f t="shared" si="4"/>
        <x:v>9.2967328410517265</x:v>
      </x:c>
      <x:c r="V29" s="341" t="s">
        <x:v>188</x:v>
      </x:c>
      <x:c r="X29" s="2"/>
    </x:row>
    <x:row r="30" spans="12:24">
      <x:c r="L30" s="2"/>
      <x:c r="M30" s="7"/>
      <x:c r="Q30" s="358" t="s">
        <x:v>154</x:v>
      </x:c>
      <x:c r="R30" s="364">
        <x:f>100*($U$27/U28-1)</x:f>
        <x:v>98.373790690062151</x:v>
      </x:c>
      <x:c r="S30" s="287"/>
      <x:c r="T30" s="371"/>
      <x:c r="U30" s="340">
        <x:f t="shared" si="4"/>
        <x:v>98.373790690062151</x:v>
      </x:c>
      <x:c r="V30" s="341" t="s">
        <x:v>189</x:v>
      </x:c>
      <x:c r="X30" s="2"/>
    </x:row>
    <x:row r="31" spans="12:24">
      <x:c r="L31" s="2"/>
      <x:c r="M31" s="7"/>
      <x:c r="Q31" s="358" t="s">
        <x:v>118</x:v>
      </x:c>
      <x:c r="R31" s="364">
        <x:f>U29/$U$27*100</x:f>
        <x:v>49.590114877504504</x:v>
      </x:c>
      <x:c r="S31" s="287"/>
      <x:c r="T31" s="371"/>
      <x:c r="U31" s="340">
        <x:f t="shared" si="4"/>
        <x:v>49.590114877504504</x:v>
      </x:c>
      <x:c r="V31" s="341" t="s">
        <x:v>189</x:v>
      </x:c>
      <x:c r="W31" s="30" t="s">
        <x:v>76</x:v>
      </x:c>
      <x:c r="X31" s="2"/>
    </x:row>
    <x:row r="32" spans="12:24" ht="13.949999999999999">
      <x:c r="L32" s="2"/>
      <x:c r="M32" s="7"/>
      <x:c r="Q32" s="365" t="s">
        <x:v>126</x:v>
      </x:c>
      <x:c r="R32" s="366">
        <x:f>(R27-R28)/40*100</x:f>
        <x:v>37.107976889158316</x:v>
      </x:c>
      <x:c r="S32" s="289">
        <x:f>(S27-S28)/40*100</x:f>
        <x:v>-6.6405035828252998</x:v>
      </x:c>
      <x:c r="T32" s="372">
        <x:f>(T27-T28)/40*100</x:f>
        <x:v>-7.2256412037037032</x:v>
      </x:c>
      <x:c r="U32" s="342">
        <x:f t="shared" si="4"/>
        <x:v>23.241832102629314</x:v>
      </x:c>
      <x:c r="V32" s="343" t="s">
        <x:v>189</x:v>
      </x:c>
      <x:c r="X32" s="2"/>
    </x:row>
    <x:row r="33" spans="12:24">
      <x:c r="L33" s="2"/>
      <x:c r="M33" s="7"/>
      <x:c r="X33" s="2"/>
    </x:row>
    <x:row r="34" spans="12:24">
      <x:c r="L34" s="2"/>
      <x:c r="M34" s="7"/>
      <x:c r="X34" s="2"/>
    </x:row>
    <x:row r="41" spans="17:19">
      <x:c r="Q41" s="12"/>
      <x:c r="R41" s="12"/>
      <x:c r="S41" s="12"/>
    </x:row>
    <x:row r="42" spans="17:19">
      <x:c r="Q42" s="12"/>
      <x:c r="R42" s="12"/>
      <x:c r="S42" s="12"/>
    </x:row>
    <x:row r="43" spans="15:19">
      <x:c r="O43" s="12"/>
      <x:c r="P43" s="12"/>
      <x:c r="Q43" s="12"/>
      <x:c r="R43" s="12"/>
      <x:c r="S43" s="12"/>
    </x:row>
    <x:row r="44" spans="15:19">
      <x:c r="O44" s="12"/>
      <x:c r="P44" s="12"/>
      <x:c r="Q44" s="12"/>
      <x:c r="R44" s="12"/>
      <x:c r="S44" s="12"/>
    </x:row>
    <x:row r="45" spans="15:19">
      <x:c r="O45" s="12"/>
      <x:c r="P45" s="12"/>
      <x:c r="Q45" s="12"/>
      <x:c r="R45" s="12"/>
      <x:c r="S45" s="12"/>
    </x:row>
    <x:row r="46" spans="15:19">
      <x:c r="O46" s="12"/>
      <x:c r="P46" s="12"/>
      <x:c r="Q46" s="12"/>
      <x:c r="R46" s="12"/>
      <x:c r="S46" s="12"/>
    </x:row>
    <x:row r="47" spans="15:19">
      <x:c r="O47" s="12"/>
      <x:c r="P47" s="12"/>
      <x:c r="Q47" s="12"/>
      <x:c r="R47" s="12"/>
      <x:c r="S47" s="12"/>
    </x:row>
    <x:row r="48" spans="15:19">
      <x:c r="O48" s="12"/>
      <x:c r="P48" s="12"/>
      <x:c r="Q48" s="12"/>
      <x:c r="R48" s="12"/>
      <x:c r="S48" s="12"/>
    </x:row>
    <x:row r="49" spans="15:19">
      <x:c r="O49" s="12"/>
      <x:c r="P49" s="12"/>
      <x:c r="Q49" s="12"/>
      <x:c r="R49" s="12"/>
      <x:c r="S49" s="12"/>
    </x:row>
    <x:row r="50" spans="15:19">
      <x:c r="O50" s="12"/>
      <x:c r="P50" s="12"/>
      <x:c r="Q50" s="12"/>
      <x:c r="R50" s="12"/>
      <x:c r="S50" s="12"/>
    </x:row>
    <x:row r="51" spans="15:16">
      <x:c r="O51" s="12"/>
      <x:c r="P51" s="12"/>
    </x:row>
    <x:row r="52" spans="15:16">
      <x:c r="O52" s="12"/>
      <x:c r="P52" s="12"/>
    </x:row>
  </x:sheetData>
  <x:mergeCells count="11">
    <x:mergeCell ref="G2:I2"/>
    <x:mergeCell ref="J2:L2"/>
    <x:mergeCell ref="N2:P2"/>
    <x:mergeCell ref="C23:C24"/>
    <x:mergeCell ref="D23:D24"/>
    <x:mergeCell ref="A9:A10"/>
    <x:mergeCell ref="A11:A12"/>
    <x:mergeCell ref="A13:A14"/>
    <x:mergeCell ref="A22:A24"/>
    <x:mergeCell ref="B18:B20"/>
    <x:mergeCell ref="Q2:V2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2:Y52"/>
  <x:sheetViews>
    <x:sheetView topLeftCell="A1" zoomScaleNormal="100" zoomScaleSheetLayoutView="75" workbookViewId="0">
      <x:pane xSplit="4" ySplit="3" topLeftCell="P4" activePane="bottomRight" state="frozen"/>
      <x:selection pane="bottomRight" activeCell="D33" activeCellId="0" sqref="D33:D33"/>
    </x:sheetView>
  </x:sheetViews>
  <x:sheetFormatPr defaultColWidth="9.15234375" defaultRowHeight="13.550000000000001"/>
  <x:cols>
    <x:col min="1" max="1" width="9.15234375" style="2"/>
    <x:col min="2" max="2" width="10.765625" style="2" bestFit="1" customWidth="1"/>
    <x:col min="3" max="3" width="16.3828125" style="2" bestFit="1" customWidth="1"/>
    <x:col min="4" max="4" width="31" style="2" bestFit="1" customWidth="1"/>
    <x:col min="5" max="5" width="17" style="2" bestFit="1" customWidth="1"/>
    <x:col min="6" max="6" width="15.23046875" style="2" bestFit="1" customWidth="1"/>
    <x:col min="7" max="12" width="10.84375" style="3" bestFit="1" customWidth="1"/>
    <x:col min="13" max="13" width="10.84375" style="3" customWidth="1"/>
    <x:col min="14" max="15" width="15.765625" style="3" customWidth="1"/>
    <x:col min="16" max="16" width="22" style="3" customWidth="1"/>
    <x:col min="17" max="17" width="35" style="3" customWidth="1"/>
    <x:col min="18" max="18" width="13.3828125" style="3" bestFit="1" customWidth="1"/>
    <x:col min="19" max="19" width="14.23046875" style="3" bestFit="1" customWidth="1"/>
    <x:col min="20" max="20" width="19.23046875" style="3" customWidth="1"/>
    <x:col min="21" max="21" width="11.765625" style="3" bestFit="1" customWidth="1"/>
    <x:col min="22" max="22" width="8" style="3" customWidth="1"/>
    <x:col min="23" max="23" width="11.75" style="3" customWidth="1"/>
    <x:col min="24" max="24" width="25.765625" style="3" bestFit="1" customWidth="1"/>
    <x:col min="25" max="25" width="13" style="2" bestFit="1" customWidth="1"/>
    <x:col min="26" max="26" width="24.61328125" style="2" bestFit="1" customWidth="1"/>
    <x:col min="27" max="27" width="13.15234375" style="2" bestFit="1" customWidth="1"/>
    <x:col min="28" max="16384" width="9.15234375" style="2"/>
  </x:cols>
  <x:sheetData>
    <x:row r="2" spans="1:25" ht="13.949999999999999" customHeight="1">
      <x:c r="A2" s="147" t="s">
        <x:v>83</x:v>
      </x:c>
      <x:c r="B2" s="147" t="s">
        <x:v>164</x:v>
      </x:c>
      <x:c r="C2" s="147" t="s">
        <x:v>172</x:v>
      </x:c>
      <x:c r="D2" s="147" t="s">
        <x:v>85</x:v>
      </x:c>
      <x:c r="E2" s="147" t="s">
        <x:v>57</x:v>
      </x:c>
      <x:c r="F2" s="147" t="s">
        <x:v>137</x:v>
      </x:c>
      <x:c r="G2" s="290" t="s">
        <x:v>166</x:v>
      </x:c>
      <x:c r="H2" s="291"/>
      <x:c r="I2" s="292"/>
      <x:c r="J2" s="290" t="s">
        <x:v>89</x:v>
      </x:c>
      <x:c r="K2" s="291"/>
      <x:c r="L2" s="292"/>
      <x:c r="M2" s="6"/>
      <x:c r="N2" s="293" t="s">
        <x:v>73</x:v>
      </x:c>
      <x:c r="O2" s="303"/>
      <x:c r="P2" s="295"/>
      <x:c r="Q2" s="293" t="s">
        <x:v>211</x:v>
      </x:c>
      <x:c r="R2" s="303"/>
      <x:c r="S2" s="303"/>
      <x:c r="T2" s="303"/>
      <x:c r="U2" s="303"/>
      <x:c r="V2" s="295"/>
      <x:c r="W2" s="135"/>
      <x:c r="X2" s="275" t="s">
        <x:v>88</x:v>
      </x:c>
      <x:c r="Y2" s="193"/>
    </x:row>
    <x:row r="3" spans="1:25" ht="14.300000000000001">
      <x:c r="A3" s="66"/>
      <x:c r="B3" s="148"/>
      <x:c r="C3" s="148"/>
      <x:c r="D3" s="149"/>
      <x:c r="E3" s="149"/>
      <x:c r="F3" s="148"/>
      <x:c r="G3" s="172" t="s">
        <x:v>60</x:v>
      </x:c>
      <x:c r="H3" s="173" t="s">
        <x:v>82</x:v>
      </x:c>
      <x:c r="I3" s="174" t="s">
        <x:v>91</x:v>
      </x:c>
      <x:c r="J3" s="172" t="s">
        <x:v>55</x:v>
      </x:c>
      <x:c r="K3" s="173" t="s">
        <x:v>82</x:v>
      </x:c>
      <x:c r="L3" s="174" t="s">
        <x:v>91</x:v>
      </x:c>
      <x:c r="M3" s="6" t="s">
        <x:v>57</x:v>
      </x:c>
      <x:c r="N3" s="172" t="s">
        <x:v>169</x:v>
      </x:c>
      <x:c r="O3" s="173" t="s">
        <x:v>177</x:v>
      </x:c>
      <x:c r="P3" s="258" t="s">
        <x:v>183</x:v>
      </x:c>
      <x:c r="Q3" s="285"/>
      <x:c r="R3" s="261" t="s">
        <x:v>169</x:v>
      </x:c>
      <x:c r="S3" s="272" t="s">
        <x:v>177</x:v>
      </x:c>
      <x:c r="T3" s="258" t="s">
        <x:v>183</x:v>
      </x:c>
      <x:c r="U3" s="170" t="s">
        <x:v>64</x:v>
      </x:c>
      <x:c r="V3" s="175"/>
      <x:c r="W3" s="2"/>
      <x:c r="X3" s="142" t="s">
        <x:v>141</x:v>
      </x:c>
      <x:c r="Y3" s="143">
        <x:f>parameter!C8</x:f>
        <x:v>5676.9848887954295</x:v>
      </x:c>
    </x:row>
    <x:row r="4" spans="1:25" ht="14.300000000000001">
      <x:c r="A4" s="66"/>
      <x:c r="B4" s="75"/>
      <x:c r="C4" s="75"/>
      <x:c r="D4" s="68"/>
      <x:c r="E4" s="68"/>
      <x:c r="F4" s="75"/>
      <x:c r="G4" s="262"/>
      <x:c r="H4" s="257"/>
      <x:c r="I4" s="265"/>
      <x:c r="J4" s="262"/>
      <x:c r="K4" s="257"/>
      <x:c r="L4" s="265"/>
      <x:c r="M4" s="110" t="s">
        <x:v>72</x:v>
      </x:c>
      <x:c r="N4" s="266">
        <x:f>Y6</x:f>
        <x:v>3654.1161779686181</x:v>
      </x:c>
      <x:c r="O4" s="267">
        <x:f>Y7-Y5</x:f>
        <x:v>1361.8687108268114</x:v>
      </x:c>
      <x:c r="P4" s="268">
        <x:f>Y5</x:f>
        <x:v>661</x:v>
      </x:c>
      <x:c r="Q4" s="344"/>
      <x:c r="R4" s="262"/>
      <x:c r="S4" s="257"/>
      <x:c r="T4" s="265"/>
      <x:c r="U4" s="320"/>
      <x:c r="V4" s="150"/>
      <x:c r="W4" s="2"/>
      <x:c r="X4" s="142" t="s">
        <x:v>138</x:v>
      </x:c>
      <x:c r="Y4" s="143">
        <x:v>681</x:v>
      </x:c>
    </x:row>
    <x:row r="5" spans="1:25">
      <x:c r="A5" s="67" t="s">
        <x:v>52</x:v>
      </x:c>
      <x:c r="B5" s="67" t="s">
        <x:v>81</x:v>
      </x:c>
      <x:c r="C5" s="67"/>
      <x:c r="D5" s="67"/>
      <x:c r="E5" s="67"/>
      <x:c r="F5" s="67">
        <x:v>5</x:v>
      </x:c>
      <x:c r="G5" s="87"/>
      <x:c r="H5" s="65">
        <x:f>K5/F5</x:f>
        <x:v>0.040000000000000002</x:v>
      </x:c>
      <x:c r="I5" s="88"/>
      <x:c r="J5" s="87"/>
      <x:c r="K5" s="65">
        <x:v>0.20000000000000001</x:v>
      </x:c>
      <x:c r="L5" s="88"/>
      <x:c r="M5" s="111"/>
      <x:c r="N5" s="269">
        <x:v>0</x:v>
      </x:c>
      <x:c r="O5" s="270">
        <x:v>0</x:v>
      </x:c>
      <x:c r="P5" s="271">
        <x:v>0</x:v>
      </x:c>
      <x:c r="Q5" s="345"/>
      <x:c r="R5" s="346">
        <x:f>N5*K5</x:f>
        <x:v>0</x:v>
      </x:c>
      <x:c r="S5" s="65">
        <x:f>O5*K5</x:f>
        <x:v>0</x:v>
      </x:c>
      <x:c r="T5" s="88">
        <x:f>P5*K5</x:f>
        <x:v>0</x:v>
      </x:c>
      <x:c r="U5" s="321">
        <x:f>SUM(R5+S5+T5)</x:f>
        <x:v>0</x:v>
      </x:c>
      <x:c r="V5" s="322"/>
      <x:c r="W5" s="2"/>
      <x:c r="X5" s="142" t="s">
        <x:v>128</x:v>
      </x:c>
      <x:c r="Y5" s="143">
        <x:v>661</x:v>
      </x:c>
    </x:row>
    <x:row r="6" spans="1:25">
      <x:c r="A6" s="200" t="s">
        <x:v>106</x:v>
      </x:c>
      <x:c r="B6" s="200" t="s">
        <x:v>46</x:v>
      </x:c>
      <x:c r="C6" s="200"/>
      <x:c r="D6" s="183"/>
      <x:c r="E6" s="183"/>
      <x:c r="F6" s="183">
        <x:v>5</x:v>
      </x:c>
      <x:c r="G6" s="184"/>
      <x:c r="H6" s="185">
        <x:f>K6/F6</x:f>
        <x:v>0.040000000000000002</x:v>
      </x:c>
      <x:c r="I6" s="186">
        <x:f>L6/F6</x:f>
        <x:v>0.40000000000000002</x:v>
      </x:c>
      <x:c r="J6" s="184"/>
      <x:c r="K6" s="185">
        <x:v>0.20000000000000001</x:v>
      </x:c>
      <x:c r="L6" s="186">
        <x:v>2</x:v>
      </x:c>
      <x:c r="M6" s="202"/>
      <x:c r="N6" s="207">
        <x:v>0</x:v>
      </x:c>
      <x:c r="O6" s="209">
        <x:v>0</x:v>
      </x:c>
      <x:c r="P6" s="210">
        <x:f>N6*K6</x:f>
        <x:v>0</x:v>
      </x:c>
      <x:c r="Q6" s="347"/>
      <x:c r="R6" s="348">
        <x:f>N6*K6</x:f>
        <x:v>0</x:v>
      </x:c>
      <x:c r="S6" s="221">
        <x:f>O6*K6</x:f>
        <x:v>0</x:v>
      </x:c>
      <x:c r="T6" s="253">
        <x:f>P6*K6</x:f>
        <x:v>0</x:v>
      </x:c>
      <x:c r="U6" s="323">
        <x:f t="shared" ref="U6:U25" si="0">SUM(R6+S6+T6)</x:f>
        <x:v>0</x:v>
      </x:c>
      <x:c r="V6" s="324"/>
      <x:c r="X6" s="142" t="s">
        <x:v>175</x:v>
      </x:c>
      <x:c r="Y6" s="143">
        <x:f>parameter!C10</x:f>
        <x:v>3654.1161779686181</x:v>
      </x:c>
    </x:row>
    <x:row r="7" spans="1:25">
      <x:c r="A7" s="198" t="s">
        <x:v>50</x:v>
      </x:c>
      <x:c r="B7" s="198"/>
      <x:c r="C7" s="198"/>
      <x:c r="D7" s="181"/>
      <x:c r="E7" s="180"/>
      <x:c r="F7" s="180">
        <x:v>3.2999999999999998</x:v>
      </x:c>
      <x:c r="G7" s="228"/>
      <x:c r="H7" s="222">
        <x:f>K7/F7</x:f>
        <x:v>0.060606060606060615</x:v>
      </x:c>
      <x:c r="I7" s="223">
        <x:f>L7/F7</x:f>
        <x:v>0.60606060606060608</x:v>
      </x:c>
      <x:c r="J7" s="228"/>
      <x:c r="K7" s="182">
        <x:v>0.20000000000000001</x:v>
      </x:c>
      <x:c r="L7" s="201">
        <x:v>2</x:v>
      </x:c>
      <x:c r="M7" s="181"/>
      <x:c r="N7" s="208">
        <x:v>0</x:v>
      </x:c>
      <x:c r="O7" s="211">
        <x:v>0</x:v>
      </x:c>
      <x:c r="P7" s="212">
        <x:f>N7*K7</x:f>
        <x:v>0</x:v>
      </x:c>
      <x:c r="Q7" s="349"/>
      <x:c r="R7" s="350">
        <x:f>N7*K7</x:f>
        <x:v>0</x:v>
      </x:c>
      <x:c r="S7" s="182">
        <x:f>O7*K7</x:f>
        <x:v>0</x:v>
      </x:c>
      <x:c r="T7" s="201">
        <x:f>P7*K7</x:f>
        <x:v>0</x:v>
      </x:c>
      <x:c r="U7" s="325">
        <x:f t="shared" si="0"/>
        <x:v>0</x:v>
      </x:c>
      <x:c r="V7" s="326"/>
      <x:c r="W7" s="2"/>
      <x:c r="X7" s="142" t="s">
        <x:v>113</x:v>
      </x:c>
      <x:c r="Y7" s="143">
        <x:f>parameter!C11</x:f>
        <x:v>2022.8687108268114</x:v>
      </x:c>
    </x:row>
    <x:row r="8" spans="1:25">
      <x:c r="A8" s="69" t="s">
        <x:v>87</x:v>
      </x:c>
      <x:c r="B8" s="69" t="s">
        <x:v>66</x:v>
      </x:c>
      <x:c r="C8" s="69" t="s">
        <x:v>193</x:v>
      </x:c>
      <x:c r="D8" s="69" t="s">
        <x:v>133</x:v>
      </x:c>
      <x:c r="E8" s="69"/>
      <x:c r="F8" s="69">
        <x:v>3.2999999999999998</x:v>
      </x:c>
      <x:c r="G8" s="89">
        <x:v>0.115</x:v>
      </x:c>
      <x:c r="H8" s="61">
        <x:v>0.24199999999999999</x:v>
      </x:c>
      <x:c r="I8" s="90">
        <x:v>0.39400000000000002</x:v>
      </x:c>
      <x:c r="J8" s="89">
        <x:f>F8*G8</x:f>
        <x:v>0.3795</x:v>
      </x:c>
      <x:c r="K8" s="62">
        <x:v>0.80000000000000004</x:v>
      </x:c>
      <x:c r="L8" s="90">
        <x:f>I8*F8</x:f>
        <x:v>1.3002</x:v>
      </x:c>
      <x:c r="M8" s="114"/>
      <x:c r="N8" s="115">
        <x:v>0</x:v>
      </x:c>
      <x:c r="O8" s="63">
        <x:v>0</x:v>
      </x:c>
      <x:c r="P8" s="116">
        <x:v>0</x:v>
      </x:c>
      <x:c r="Q8" s="351"/>
      <x:c r="R8" s="214">
        <x:f t="shared" ref="R8:R25" si="1">N8*K8</x:f>
        <x:v>0</x:v>
      </x:c>
      <x:c r="S8" s="61">
        <x:f t="shared" ref="S8:S22" si="2">O8*K8</x:f>
        <x:v>0</x:v>
      </x:c>
      <x:c r="T8" s="90">
        <x:f>P8*L8</x:f>
        <x:v>0</x:v>
      </x:c>
      <x:c r="U8" s="327">
        <x:f t="shared" si="0"/>
        <x:v>0</x:v>
      </x:c>
      <x:c r="V8" s="328"/>
      <x:c r="W8" s="2"/>
      <x:c r="X8" s="142" t="s">
        <x:v>212</x:v>
      </x:c>
      <x:c r="Y8" s="143">
        <x:v>0.29999999999999999</x:v>
      </x:c>
    </x:row>
    <x:row r="9" spans="1:25">
      <x:c r="A9" s="296" t="s">
        <x:v>42</x:v>
      </x:c>
      <x:c r="B9" s="76" t="s">
        <x:v>56</x:v>
      </x:c>
      <x:c r="C9" s="78" t="s">
        <x:v>184</x:v>
      </x:c>
      <x:c r="D9" s="73" t="s">
        <x:v>135</x:v>
      </x:c>
      <x:c r="E9" s="73"/>
      <x:c r="F9" s="73">
        <x:v>3.2999999999999998</x:v>
      </x:c>
      <x:c r="G9" s="91"/>
      <x:c r="H9" s="24">
        <x:f>0.12/F9</x:f>
        <x:v>0.036363636363636362</x:v>
      </x:c>
      <x:c r="I9" s="92">
        <x:f>0.2/F9</x:f>
        <x:v>0.060606060606060615</x:v>
      </x:c>
      <x:c r="J9" s="91"/>
      <x:c r="K9" s="55">
        <x:f t="shared" ref="K9:K16" si="3">H9*F9</x:f>
        <x:v>0.11999999999999998</x:v>
      </x:c>
      <x:c r="L9" s="92">
        <x:f>I9*F9</x:f>
        <x:v>0.20000000000000001</x:v>
      </x:c>
      <x:c r="M9" s="117"/>
      <x:c r="N9" s="118">
        <x:v>1</x:v>
      </x:c>
      <x:c r="O9" s="25">
        <x:v>1</x:v>
      </x:c>
      <x:c r="P9" s="119">
        <x:v>1</x:v>
      </x:c>
      <x:c r="Q9" s="352"/>
      <x:c r="R9" s="215">
        <x:f>N9*K9</x:f>
        <x:v>0.11999999999999998</x:v>
      </x:c>
      <x:c r="S9" s="24">
        <x:f t="shared" si="2"/>
        <x:v>0.11999999999999998</x:v>
      </x:c>
      <x:c r="T9" s="92">
        <x:f>P9*$L$9+(1-P9)*K9</x:f>
        <x:v>0.20000000000000001</x:v>
      </x:c>
      <x:c r="U9" s="329">
        <x:f t="shared" si="0"/>
        <x:v>0.43999999999999995</x:v>
      </x:c>
      <x:c r="V9" s="330"/>
      <x:c r="W9" s="2"/>
      <x:c r="X9" s="142" t="s">
        <x:v>79</x:v>
      </x:c>
      <x:c r="Y9" s="143">
        <x:v>0.59999999999999998</x:v>
      </x:c>
    </x:row>
    <x:row r="10" spans="1:25">
      <x:c r="A10" s="298"/>
      <x:c r="B10" s="71"/>
      <x:c r="C10" s="71"/>
      <x:c r="D10" s="73" t="s">
        <x:v>123</x:v>
      </x:c>
      <x:c r="E10" s="73"/>
      <x:c r="F10" s="73">
        <x:v>3.2999999999999998</x:v>
      </x:c>
      <x:c r="G10" s="91"/>
      <x:c r="H10" s="24">
        <x:f>0.2/F10</x:f>
        <x:v>0.060606060606060615</x:v>
      </x:c>
      <x:c r="I10" s="92">
        <x:f>0.4/F10</x:f>
        <x:v>0.12121212121212123</x:v>
      </x:c>
      <x:c r="J10" s="91"/>
      <x:c r="K10" s="55">
        <x:f t="shared" si="3"/>
        <x:v>0.20000000000000001</x:v>
      </x:c>
      <x:c r="L10" s="92">
        <x:f>I10*F10</x:f>
        <x:v>0.40000000000000002</x:v>
      </x:c>
      <x:c r="M10" s="117"/>
      <x:c r="N10" s="118">
        <x:v>1</x:v>
      </x:c>
      <x:c r="O10" s="25">
        <x:v>1</x:v>
      </x:c>
      <x:c r="P10" s="119">
        <x:v>1</x:v>
      </x:c>
      <x:c r="Q10" s="352"/>
      <x:c r="R10" s="215">
        <x:f>N10*K10</x:f>
        <x:v>0.20000000000000001</x:v>
      </x:c>
      <x:c r="S10" s="24">
        <x:f t="shared" si="2"/>
        <x:v>0.20000000000000001</x:v>
      </x:c>
      <x:c r="T10" s="92">
        <x:f>P10*$L$10+(1-P10)*K10</x:f>
        <x:v>0.40000000000000002</x:v>
      </x:c>
      <x:c r="U10" s="329">
        <x:f t="shared" si="0"/>
        <x:v>0.80000000000000004</x:v>
      </x:c>
      <x:c r="V10" s="330"/>
      <x:c r="W10" s="2"/>
      <x:c r="X10" s="142" t="s">
        <x:v>44</x:v>
      </x:c>
      <x:c r="Y10" s="143">
        <x:v>0.80000000000000004</x:v>
      </x:c>
    </x:row>
    <x:row r="11" spans="1:25">
      <x:c r="A11" s="299" t="s">
        <x:v>186</x:v>
      </x:c>
      <x:c r="B11" s="77"/>
      <x:c r="C11" s="77"/>
      <x:c r="D11" s="83" t="s">
        <x:v>121</x:v>
      </x:c>
      <x:c r="E11" s="83"/>
      <x:c r="F11" s="83">
        <x:v>5</x:v>
      </x:c>
      <x:c r="G11" s="93"/>
      <x:c r="H11" s="56">
        <x:f>0.07*5/5</x:f>
        <x:v>0.070000000000000007</x:v>
      </x:c>
      <x:c r="I11" s="94">
        <x:f>0.167*5/5</x:f>
        <x:v>0.16700000000000001</x:v>
      </x:c>
      <x:c r="J11" s="93"/>
      <x:c r="K11" s="26">
        <x:f>H11*F11</x:f>
        <x:v>0.35000000000000003</x:v>
      </x:c>
      <x:c r="L11" s="94">
        <x:f>I11*F11</x:f>
        <x:v>0.83500000000000008</x:v>
      </x:c>
      <x:c r="M11" s="120"/>
      <x:c r="N11" s="121">
        <x:v>1</x:v>
      </x:c>
      <x:c r="O11" s="27">
        <x:v>1</x:v>
      </x:c>
      <x:c r="P11" s="122">
        <x:v>1</x:v>
      </x:c>
      <x:c r="Q11" s="353"/>
      <x:c r="R11" s="216">
        <x:f t="shared" si="1"/>
        <x:v>0.35000000000000003</x:v>
      </x:c>
      <x:c r="S11" s="26">
        <x:f t="shared" si="2"/>
        <x:v>0.35000000000000003</x:v>
      </x:c>
      <x:c r="T11" s="94">
        <x:f>P11*$L$11+(1-P11)*K11</x:f>
        <x:v>0.83500000000000008</x:v>
      </x:c>
      <x:c r="U11" s="331">
        <x:f t="shared" si="0"/>
        <x:v>1.5350000000000001</x:v>
      </x:c>
      <x:c r="V11" s="332"/>
      <x:c r="W11" s="2"/>
      <x:c r="X11" s="142" t="s">
        <x:v>96</x:v>
      </x:c>
      <x:c r="Y11" s="143">
        <x:v>0.80000000000000004</x:v>
      </x:c>
    </x:row>
    <x:row r="12" spans="1:25">
      <x:c r="A12" s="299"/>
      <x:c r="B12" s="77"/>
      <x:c r="C12" s="77"/>
      <x:c r="D12" s="83" t="s">
        <x:v>116</x:v>
      </x:c>
      <x:c r="E12" s="83"/>
      <x:c r="F12" s="83">
        <x:v>5</x:v>
      </x:c>
      <x:c r="G12" s="93"/>
      <x:c r="H12" s="26">
        <x:f>0.064/F12</x:f>
        <x:v>0.0128</x:v>
      </x:c>
      <x:c r="I12" s="94"/>
      <x:c r="J12" s="93"/>
      <x:c r="K12" s="56">
        <x:f t="shared" si="3"/>
        <x:v>0.064000000000000001</x:v>
      </x:c>
      <x:c r="L12" s="94"/>
      <x:c r="M12" s="120"/>
      <x:c r="N12" s="121">
        <x:v>1</x:v>
      </x:c>
      <x:c r="O12" s="27">
        <x:v>1</x:v>
      </x:c>
      <x:c r="P12" s="122">
        <x:v>1</x:v>
      </x:c>
      <x:c r="Q12" s="353"/>
      <x:c r="R12" s="216">
        <x:f t="shared" si="1"/>
        <x:v>0.064000000000000001</x:v>
      </x:c>
      <x:c r="S12" s="26">
        <x:f t="shared" si="2"/>
        <x:v>0.064000000000000001</x:v>
      </x:c>
      <x:c r="T12" s="94">
        <x:f>P12*$K$12</x:f>
        <x:v>0.064000000000000001</x:v>
      </x:c>
      <x:c r="U12" s="331">
        <x:f t="shared" si="0"/>
        <x:v>0.192</x:v>
      </x:c>
      <x:c r="V12" s="332"/>
      <x:c r="W12" s="2"/>
      <x:c r="X12" s="144"/>
      <x:c r="Y12" s="143"/>
    </x:row>
    <x:row r="13" spans="1:25">
      <x:c r="A13" s="298" t="s">
        <x:v>42</x:v>
      </x:c>
      <x:c r="B13" s="71"/>
      <x:c r="C13" s="71"/>
      <x:c r="D13" s="73" t="s">
        <x:v>157</x:v>
      </x:c>
      <x:c r="E13" s="73"/>
      <x:c r="F13" s="73">
        <x:v>3.2999999999999998</x:v>
      </x:c>
      <x:c r="G13" s="91"/>
      <x:c r="H13" s="24">
        <x:f>0.2/F13</x:f>
        <x:v>0.060606060606060615</x:v>
      </x:c>
      <x:c r="I13" s="92"/>
      <x:c r="J13" s="91"/>
      <x:c r="K13" s="55">
        <x:f t="shared" si="3"/>
        <x:v>0.20000000000000001</x:v>
      </x:c>
      <x:c r="L13" s="92"/>
      <x:c r="M13" s="117"/>
      <x:c r="N13" s="118">
        <x:v>1</x:v>
      </x:c>
      <x:c r="O13" s="25">
        <x:v>1</x:v>
      </x:c>
      <x:c r="P13" s="119">
        <x:v>1</x:v>
      </x:c>
      <x:c r="Q13" s="352"/>
      <x:c r="R13" s="215">
        <x:f t="shared" si="1"/>
        <x:v>0.20000000000000001</x:v>
      </x:c>
      <x:c r="S13" s="24">
        <x:f t="shared" si="2"/>
        <x:v>0.20000000000000001</x:v>
      </x:c>
      <x:c r="T13" s="92">
        <x:f>P13*$K$13</x:f>
        <x:v>0.20000000000000001</x:v>
      </x:c>
      <x:c r="U13" s="329">
        <x:f t="shared" si="0"/>
        <x:v>0.60000000000000009</x:v>
      </x:c>
      <x:c r="V13" s="330"/>
      <x:c r="W13" s="2"/>
      <x:c r="X13" s="144"/>
      <x:c r="Y13" s="143"/>
    </x:row>
    <x:row r="14" spans="1:25">
      <x:c r="A14" s="298"/>
      <x:c r="B14" s="71"/>
      <x:c r="C14" s="71"/>
      <x:c r="D14" s="73" t="s">
        <x:v>62</x:v>
      </x:c>
      <x:c r="E14" s="73"/>
      <x:c r="F14" s="73">
        <x:v>3.2999999999999998</x:v>
      </x:c>
      <x:c r="G14" s="91"/>
      <x:c r="H14" s="24">
        <x:f>0.035/F14</x:f>
        <x:v>0.010606060606060608</x:v>
      </x:c>
      <x:c r="I14" s="92"/>
      <x:c r="J14" s="91"/>
      <x:c r="K14" s="55">
        <x:f t="shared" si="3"/>
        <x:v>0.035000000000000003</x:v>
      </x:c>
      <x:c r="L14" s="92"/>
      <x:c r="M14" s="117"/>
      <x:c r="N14" s="118">
        <x:v>1</x:v>
      </x:c>
      <x:c r="O14" s="25">
        <x:v>1</x:v>
      </x:c>
      <x:c r="P14" s="119">
        <x:v>1</x:v>
      </x:c>
      <x:c r="Q14" s="352"/>
      <x:c r="R14" s="215">
        <x:f t="shared" si="1"/>
        <x:v>0.035000000000000003</x:v>
      </x:c>
      <x:c r="S14" s="24">
        <x:f t="shared" si="2"/>
        <x:v>0.035000000000000003</x:v>
      </x:c>
      <x:c r="T14" s="92">
        <x:f>P14*$K$14</x:f>
        <x:v>0.035000000000000003</x:v>
      </x:c>
      <x:c r="U14" s="329">
        <x:f t="shared" si="0"/>
        <x:v>0.10500000000000001</x:v>
      </x:c>
      <x:c r="V14" s="330"/>
      <x:c r="W14" s="2"/>
      <x:c r="X14" s="142" t="s">
        <x:v>125</x:v>
      </x:c>
      <x:c r="Y14" s="143">
        <x:v>0.20000000000000001</x:v>
      </x:c>
    </x:row>
    <x:row r="15" spans="1:25">
      <x:c r="A15" s="70" t="s">
        <x:v>75</x:v>
      </x:c>
      <x:c r="B15" s="70"/>
      <x:c r="C15" s="79"/>
      <x:c r="D15" s="84" t="s">
        <x:v>158</x:v>
      </x:c>
      <x:c r="E15" s="84"/>
      <x:c r="F15" s="84">
        <x:v>8.2599999999999998</x:v>
      </x:c>
      <x:c r="G15" s="95">
        <x:f>0.065*3/F15</x:f>
        <x:v>0.023607748184019371</x:v>
      </x:c>
      <x:c r="H15" s="9">
        <x:f>0.19*3/F15</x:f>
        <x:v>0.069007263922518172</x:v>
      </x:c>
      <x:c r="I15" s="96">
        <x:f>2.3*3/F15</x:f>
        <x:v>0.83535108958837767</x:v>
      </x:c>
      <x:c r="J15" s="95">
        <x:f>F15*G15</x:f>
        <x:v>0.19500000000000001</x:v>
      </x:c>
      <x:c r="K15" s="57">
        <x:f t="shared" si="3"/>
        <x:v>0.57000000000000006</x:v>
      </x:c>
      <x:c r="L15" s="96">
        <x:f>I15*F15</x:f>
        <x:v>6.8999999999999995</x:v>
      </x:c>
      <x:c r="M15" s="123"/>
      <x:c r="N15" s="124">
        <x:v>1</x:v>
      </x:c>
      <x:c r="O15" s="31">
        <x:v>1</x:v>
      </x:c>
      <x:c r="P15" s="125">
        <x:v>1</x:v>
      </x:c>
      <x:c r="Q15" s="354"/>
      <x:c r="R15" s="217">
        <x:f t="shared" si="1"/>
        <x:v>0.57000000000000006</x:v>
      </x:c>
      <x:c r="S15" s="9">
        <x:f t="shared" si="2"/>
        <x:v>0.57000000000000006</x:v>
      </x:c>
      <x:c r="T15" s="96">
        <x:f>P15*$L$15+(1-P15)*K15</x:f>
        <x:v>6.8999999999999995</x:v>
      </x:c>
      <x:c r="U15" s="333">
        <x:f t="shared" si="0"/>
        <x:v>8.0399999999999991</x:v>
      </x:c>
      <x:c r="V15" s="334"/>
      <x:c r="W15" s="2"/>
      <x:c r="X15" s="142" t="s">
        <x:v>208</x:v>
      </x:c>
      <x:c r="Y15" s="143">
        <x:v>0.90000000000000002</x:v>
      </x:c>
    </x:row>
    <x:row r="16" spans="1:25" ht="13.949999999999999">
      <x:c r="A16" s="71" t="s">
        <x:v>42</x:v>
      </x:c>
      <x:c r="B16" s="71"/>
      <x:c r="C16" s="73" t="s">
        <x:v>180</x:v>
      </x:c>
      <x:c r="D16" s="73" t="s">
        <x:v>58</x:v>
      </x:c>
      <x:c r="E16" s="73"/>
      <x:c r="F16" s="73">
        <x:v>3.2999999999999998</x:v>
      </x:c>
      <x:c r="G16" s="91"/>
      <x:c r="H16" s="55">
        <x:v>0</x:v>
      </x:c>
      <x:c r="I16" s="92"/>
      <x:c r="J16" s="91"/>
      <x:c r="K16" s="24">
        <x:f t="shared" si="3"/>
        <x:v>0</x:v>
      </x:c>
      <x:c r="L16" s="92"/>
      <x:c r="M16" s="117"/>
      <x:c r="N16" s="118">
        <x:v>1</x:v>
      </x:c>
      <x:c r="O16" s="25">
        <x:v>1</x:v>
      </x:c>
      <x:c r="P16" s="119">
        <x:v>1</x:v>
      </x:c>
      <x:c r="Q16" s="352"/>
      <x:c r="R16" s="215">
        <x:f t="shared" si="1"/>
        <x:v>0</x:v>
      </x:c>
      <x:c r="S16" s="24">
        <x:f t="shared" si="2"/>
        <x:v>0</x:v>
      </x:c>
      <x:c r="T16" s="92">
        <x:f>P16*K16</x:f>
        <x:v>0</x:v>
      </x:c>
      <x:c r="U16" s="329">
        <x:f t="shared" si="0"/>
        <x:v>0</x:v>
      </x:c>
      <x:c r="V16" s="330"/>
      <x:c r="W16" s="2"/>
      <x:c r="X16" s="145" t="s">
        <x:v>144</x:v>
      </x:c>
      <x:c r="Y16" s="146">
        <x:v>0.40000000000000002</x:v>
      </x:c>
    </x:row>
    <x:row r="17" spans="1:24">
      <x:c r="A17" s="72" t="s">
        <x:v>54</x:v>
      </x:c>
      <x:c r="B17" s="72"/>
      <x:c r="C17" s="80" t="s">
        <x:v>77</x:v>
      </x:c>
      <x:c r="D17" s="80" t="s">
        <x:v>95</x:v>
      </x:c>
      <x:c r="E17" s="80"/>
      <x:c r="F17" s="80">
        <x:v>3.2999999999999998</x:v>
      </x:c>
      <x:c r="G17" s="97"/>
      <x:c r="H17" s="58">
        <x:v>0.39400000000000002</x:v>
      </x:c>
      <x:c r="I17" s="98"/>
      <x:c r="J17" s="97"/>
      <x:c r="K17" s="59">
        <x:v>1.3</x:v>
      </x:c>
      <x:c r="L17" s="98"/>
      <x:c r="M17" s="126"/>
      <x:c r="N17" s="127">
        <x:v>1</x:v>
      </x:c>
      <x:c r="O17" s="60">
        <x:v>1</x:v>
      </x:c>
      <x:c r="P17" s="128">
        <x:v>1</x:v>
      </x:c>
      <x:c r="Q17" s="355"/>
      <x:c r="R17" s="218">
        <x:f t="shared" si="1"/>
        <x:v>1.3</x:v>
      </x:c>
      <x:c r="S17" s="58">
        <x:f t="shared" si="2"/>
        <x:v>1.3</x:v>
      </x:c>
      <x:c r="T17" s="98">
        <x:f>P17*K17</x:f>
        <x:v>1.3</x:v>
      </x:c>
      <x:c r="U17" s="335">
        <x:f t="shared" si="0"/>
        <x:v>3.9000000000000004</x:v>
      </x:c>
      <x:c r="V17" s="336"/>
      <x:c r="W17" s="2"/>
      <x:c r="X17" s="2"/>
    </x:row>
    <x:row r="18" spans="1:24">
      <x:c r="A18" s="66"/>
      <x:c r="B18" s="300" t="s">
        <x:v>202</x:v>
      </x:c>
      <x:c r="C18" s="75" t="s">
        <x:v>98</x:v>
      </x:c>
      <x:c r="D18" s="68" t="s">
        <x:v>163</x:v>
      </x:c>
      <x:c r="E18" s="68"/>
      <x:c r="F18" s="81"/>
      <x:c r="G18" s="99"/>
      <x:c r="H18" s="32"/>
      <x:c r="I18" s="100"/>
      <x:c r="J18" s="99"/>
      <x:c r="K18" s="32">
        <x:v>0.10000000000000001</x:v>
      </x:c>
      <x:c r="L18" s="100"/>
      <x:c r="M18" s="106"/>
      <x:c r="N18" s="112">
        <x:v>1</x:v>
      </x:c>
      <x:c r="O18" s="64">
        <x:v>1</x:v>
      </x:c>
      <x:c r="P18" s="113">
        <x:v>1</x:v>
      </x:c>
      <x:c r="Q18" s="356"/>
      <x:c r="R18" s="213">
        <x:f t="shared" si="1"/>
        <x:v>0.10000000000000001</x:v>
      </x:c>
      <x:c r="S18" s="4">
        <x:f t="shared" si="2"/>
        <x:v>0.10000000000000001</x:v>
      </x:c>
      <x:c r="T18" s="86">
        <x:f>P18*K18</x:f>
        <x:v>0.10000000000000001</x:v>
      </x:c>
      <x:c r="U18" s="337">
        <x:f t="shared" si="0"/>
        <x:v>0.30000000000000004</x:v>
      </x:c>
      <x:c r="V18" s="338"/>
      <x:c r="W18" s="2"/>
      <x:c r="X18" s="2"/>
    </x:row>
    <x:row r="19" spans="1:24">
      <x:c r="A19" s="66"/>
      <x:c r="B19" s="301"/>
      <x:c r="C19" s="75" t="s">
        <x:v>59</x:v>
      </x:c>
      <x:c r="D19" s="68" t="s">
        <x:v>117</x:v>
      </x:c>
      <x:c r="E19" s="68"/>
      <x:c r="F19" s="81"/>
      <x:c r="G19" s="99"/>
      <x:c r="H19" s="32"/>
      <x:c r="I19" s="100"/>
      <x:c r="J19" s="99"/>
      <x:c r="K19" s="32">
        <x:v>0.20000000000000001</x:v>
      </x:c>
      <x:c r="L19" s="100"/>
      <x:c r="M19" s="106"/>
      <x:c r="N19" s="112">
        <x:v>1</x:v>
      </x:c>
      <x:c r="O19" s="64">
        <x:v>1</x:v>
      </x:c>
      <x:c r="P19" s="113">
        <x:v>1</x:v>
      </x:c>
      <x:c r="Q19" s="356"/>
      <x:c r="R19" s="213">
        <x:f t="shared" si="1"/>
        <x:v>0.20000000000000001</x:v>
      </x:c>
      <x:c r="S19" s="4">
        <x:f t="shared" si="2"/>
        <x:v>0.20000000000000001</x:v>
      </x:c>
      <x:c r="T19" s="86">
        <x:f>P19*K19</x:f>
        <x:v>0.20000000000000001</x:v>
      </x:c>
      <x:c r="U19" s="337">
        <x:f t="shared" si="0"/>
        <x:v>0.60000000000000009</x:v>
      </x:c>
      <x:c r="V19" s="338"/>
      <x:c r="W19" s="2"/>
      <x:c r="X19" s="2"/>
    </x:row>
    <x:row r="20" spans="1:24">
      <x:c r="A20" s="66"/>
      <x:c r="B20" s="302"/>
      <x:c r="C20" s="81" t="s">
        <x:v>162</x:v>
      </x:c>
      <x:c r="D20" s="81" t="s">
        <x:v>182</x:v>
      </x:c>
      <x:c r="E20" s="81"/>
      <x:c r="F20" s="81"/>
      <x:c r="G20" s="99"/>
      <x:c r="H20" s="32"/>
      <x:c r="I20" s="100"/>
      <x:c r="J20" s="99"/>
      <x:c r="K20" s="32">
        <x:f>H20*F20</x:f>
        <x:v>0</x:v>
      </x:c>
      <x:c r="L20" s="100"/>
      <x:c r="M20" s="129"/>
      <x:c r="N20" s="130">
        <x:v>1</x:v>
      </x:c>
      <x:c r="O20" s="33">
        <x:v>0</x:v>
      </x:c>
      <x:c r="P20" s="131">
        <x:v>1</x:v>
      </x:c>
      <x:c r="Q20" s="357"/>
      <x:c r="R20" s="219">
        <x:f t="shared" si="1"/>
        <x:v>0</x:v>
      </x:c>
      <x:c r="S20" s="32">
        <x:f t="shared" si="2"/>
        <x:v>0</x:v>
      </x:c>
      <x:c r="T20" s="100">
        <x:f>P20*K20</x:f>
        <x:v>0</x:v>
      </x:c>
      <x:c r="U20" s="337">
        <x:f t="shared" si="0"/>
        <x:v>0</x:v>
      </x:c>
      <x:c r="V20" s="339"/>
      <x:c r="W20" s="2"/>
      <x:c r="X20" s="2"/>
    </x:row>
    <x:row r="21" spans="1:24">
      <x:c r="A21" s="73" t="s">
        <x:v>42</x:v>
      </x:c>
      <x:c r="B21" s="73" t="s">
        <x:v>61</x:v>
      </x:c>
      <x:c r="C21" s="73" t="s">
        <x:v>187</x:v>
      </x:c>
      <x:c r="D21" s="73" t="s">
        <x:v>204</x:v>
      </x:c>
      <x:c r="E21" s="73"/>
      <x:c r="F21" s="73">
        <x:v>3.2999999999999998</x:v>
      </x:c>
      <x:c r="G21" s="91"/>
      <x:c r="H21" s="55">
        <x:f>0.13</x:f>
        <x:v>0.13</x:v>
      </x:c>
      <x:c r="I21" s="92">
        <x:f>1/F21</x:f>
        <x:v>0.30303030303030304</x:v>
      </x:c>
      <x:c r="J21" s="91"/>
      <x:c r="K21" s="24">
        <x:f>H21*F21</x:f>
        <x:v>0.42899999999999999</x:v>
      </x:c>
      <x:c r="L21" s="92">
        <x:f>I21*F21</x:f>
        <x:v>1</x:v>
      </x:c>
      <x:c r="M21" s="117"/>
      <x:c r="N21" s="118">
        <x:v>1</x:v>
      </x:c>
      <x:c r="O21" s="25">
        <x:v>1</x:v>
      </x:c>
      <x:c r="P21" s="119">
        <x:v>1</x:v>
      </x:c>
      <x:c r="Q21" s="352"/>
      <x:c r="R21" s="215">
        <x:f t="shared" si="1"/>
        <x:v>0.42899999999999999</x:v>
      </x:c>
      <x:c r="S21" s="24">
        <x:f t="shared" si="2"/>
        <x:v>0.42899999999999999</x:v>
      </x:c>
      <x:c r="T21" s="92">
        <x:f>P21*L21</x:f>
        <x:v>1</x:v>
      </x:c>
      <x:c r="U21" s="329">
        <x:f t="shared" si="0"/>
        <x:v>1.8580000000000001</x:v>
      </x:c>
      <x:c r="V21" s="330"/>
      <x:c r="W21" s="2"/>
      <x:c r="X21" s="2"/>
    </x:row>
    <x:row r="22" spans="1:24">
      <x:c r="A22" s="296" t="s">
        <x:v>42</x:v>
      </x:c>
      <x:c r="B22" s="76" t="s">
        <x:v>63</x:v>
      </x:c>
      <x:c r="C22" s="73" t="s">
        <x:v>178</x:v>
      </x:c>
      <x:c r="D22" s="73" t="s">
        <x:v>90</x:v>
      </x:c>
      <x:c r="E22" s="73"/>
      <x:c r="F22" s="73">
        <x:v>3.2999999999999998</x:v>
      </x:c>
      <x:c r="G22" s="91"/>
      <x:c r="H22" s="24">
        <x:f>0.04/F22</x:f>
        <x:v>0.012121212121212123</x:v>
      </x:c>
      <x:c r="I22" s="92">
        <x:f>2/F22</x:f>
        <x:v>0.60606060606060608</x:v>
      </x:c>
      <x:c r="J22" s="91"/>
      <x:c r="K22" s="55">
        <x:f>H22*F22</x:f>
        <x:v>0.040000000000000002</x:v>
      </x:c>
      <x:c r="L22" s="92">
        <x:f>I22*F22</x:f>
        <x:v>2</x:v>
      </x:c>
      <x:c r="M22" s="117"/>
      <x:c r="N22" s="118">
        <x:v>0</x:v>
      </x:c>
      <x:c r="O22" s="25">
        <x:v>0</x:v>
      </x:c>
      <x:c r="P22" s="119">
        <x:v>0</x:v>
      </x:c>
      <x:c r="Q22" s="352"/>
      <x:c r="R22" s="215">
        <x:f t="shared" si="1"/>
        <x:v>0</x:v>
      </x:c>
      <x:c r="S22" s="24">
        <x:f t="shared" si="2"/>
        <x:v>0</x:v>
      </x:c>
      <x:c r="T22" s="92">
        <x:f>P22*K22</x:f>
        <x:v>0</x:v>
      </x:c>
      <x:c r="U22" s="329">
        <x:f t="shared" si="0"/>
        <x:v>0</x:v>
      </x:c>
      <x:c r="V22" s="330"/>
      <x:c r="W22" s="2"/>
      <x:c r="X22" s="2"/>
    </x:row>
    <x:row r="23" spans="1:24">
      <x:c r="A23" s="298"/>
      <x:c r="B23" s="71"/>
      <x:c r="C23" s="296" t="s">
        <x:v>104</x:v>
      </x:c>
      <x:c r="D23" s="296" t="s">
        <x:v>139</x:v>
      </x:c>
      <x:c r="E23" s="73" t="s">
        <x:v>196</x:v>
      </x:c>
      <x:c r="F23" s="73">
        <x:v>3.2999999999999998</x:v>
      </x:c>
      <x:c r="G23" s="101">
        <x:v>0.044999999999999996</x:v>
      </x:c>
      <x:c r="H23" s="55">
        <x:v>0.055000000000000004</x:v>
      </x:c>
      <x:c r="I23" s="102">
        <x:v>0.12</x:v>
      </x:c>
      <x:c r="J23" s="91">
        <x:f>F23*G23</x:f>
        <x:v>0.14849999999999999</x:v>
      </x:c>
      <x:c r="K23" s="24">
        <x:f>H23*F23</x:f>
        <x:v>0.18150000000000002</x:v>
      </x:c>
      <x:c r="L23" s="92">
        <x:f>I23*F23</x:f>
        <x:v>0.39599999999999996</x:v>
      </x:c>
      <x:c r="M23" s="117"/>
      <x:c r="N23" s="118">
        <x:v>1</x:v>
      </x:c>
      <x:c r="O23" s="25">
        <x:v>1</x:v>
      </x:c>
      <x:c r="P23" s="119">
        <x:v>1</x:v>
      </x:c>
      <x:c r="Q23" s="352"/>
      <x:c r="R23" s="215">
        <x:f t="shared" si="1"/>
        <x:v>0.18150000000000002</x:v>
      </x:c>
      <x:c r="S23" s="24">
        <x:f>O23*L23</x:f>
        <x:v>0.39599999999999996</x:v>
      </x:c>
      <x:c r="T23" s="92">
        <x:f>P23*K23</x:f>
        <x:v>0.18150000000000002</x:v>
      </x:c>
      <x:c r="U23" s="329">
        <x:f t="shared" si="0"/>
        <x:v>0.75900000000000001</x:v>
      </x:c>
      <x:c r="V23" s="330"/>
      <x:c r="W23" s="2"/>
      <x:c r="X23" s="2"/>
    </x:row>
    <x:row r="24" spans="1:24" ht="15" customHeight="1">
      <x:c r="A24" s="298"/>
      <x:c r="B24" s="71"/>
      <x:c r="C24" s="297"/>
      <x:c r="D24" s="297"/>
      <x:c r="E24" s="73" t="s">
        <x:v>199</x:v>
      </x:c>
      <x:c r="F24" s="73">
        <x:v>3.2999999999999998</x:v>
      </x:c>
      <x:c r="G24" s="101">
        <x:v>0.59999999999999998</x:v>
      </x:c>
      <x:c r="H24" s="24"/>
      <x:c r="I24" s="92">
        <x:v>1</x:v>
      </x:c>
      <x:c r="J24" s="91">
        <x:f>F24*G24</x:f>
        <x:v>1.9799999999999998</x:v>
      </x:c>
      <x:c r="K24" s="24"/>
      <x:c r="L24" s="92">
        <x:f>I24*F24</x:f>
        <x:v>3.2999999999999998</x:v>
      </x:c>
      <x:c r="M24" s="117"/>
      <x:c r="N24" s="118">
        <x:f>1-N23</x:f>
        <x:v>0</x:v>
      </x:c>
      <x:c r="O24" s="25">
        <x:f>1-O23</x:f>
        <x:v>0</x:v>
      </x:c>
      <x:c r="P24" s="119">
        <x:f>1-P23</x:f>
        <x:v>0</x:v>
      </x:c>
      <x:c r="Q24" s="352"/>
      <x:c r="R24" s="215">
        <x:f t="shared" si="1"/>
        <x:v>0</x:v>
      </x:c>
      <x:c r="S24" s="24">
        <x:f>O24*K24</x:f>
        <x:v>0</x:v>
      </x:c>
      <x:c r="T24" s="92">
        <x:f>P24*K24</x:f>
        <x:v>0</x:v>
      </x:c>
      <x:c r="U24" s="329">
        <x:f t="shared" si="0"/>
        <x:v>0</x:v>
      </x:c>
      <x:c r="V24" s="330"/>
      <x:c r="W24" s="2"/>
      <x:c r="X24" s="2"/>
    </x:row>
    <x:row r="25" spans="1:24" ht="13.949999999999999">
      <x:c r="A25" s="74" t="s">
        <x:v>186</x:v>
      </x:c>
      <x:c r="B25" s="74"/>
      <x:c r="C25" s="82" t="s">
        <x:v>181</x:v>
      </x:c>
      <x:c r="D25" s="82" t="s">
        <x:v>156</x:v>
      </x:c>
      <x:c r="E25" s="82" t="s">
        <x:v>199</x:v>
      </x:c>
      <x:c r="F25" s="82">
        <x:v>5</x:v>
      </x:c>
      <x:c r="G25" s="229">
        <x:f>J25/5</x:f>
        <x:v>0.122</x:v>
      </x:c>
      <x:c r="H25" s="104">
        <x:f>K25/5</x:f>
        <x:v>0.54000000000000004</x:v>
      </x:c>
      <x:c r="I25" s="105">
        <x:f>L25/5</x:f>
        <x:v>1</x:v>
      </x:c>
      <x:c r="J25" s="107">
        <x:v>0.60999999999999999</x:v>
      </x:c>
      <x:c r="K25" s="108">
        <x:v>2.7000000000000002</x:v>
      </x:c>
      <x:c r="L25" s="109">
        <x:v>5</x:v>
      </x:c>
      <x:c r="M25" s="120"/>
      <x:c r="N25" s="132">
        <x:v>0</x:v>
      </x:c>
      <x:c r="O25" s="133">
        <x:v>0</x:v>
      </x:c>
      <x:c r="P25" s="134">
        <x:v>1</x:v>
      </x:c>
      <x:c r="Q25" s="353"/>
      <x:c r="R25" s="216">
        <x:f t="shared" si="1"/>
        <x:v>0</x:v>
      </x:c>
      <x:c r="S25" s="26">
        <x:f>O25*K25</x:f>
        <x:v>0</x:v>
      </x:c>
      <x:c r="T25" s="94">
        <x:f>P25*L25</x:f>
        <x:v>5</x:v>
      </x:c>
      <x:c r="U25" s="331">
        <x:f t="shared" si="0"/>
        <x:v>5</x:v>
      </x:c>
      <x:c r="V25" s="332"/>
      <x:c r="W25" s="2"/>
      <x:c r="X25" s="2"/>
    </x:row>
    <x:row r="26" spans="2:24">
      <x:c r="B26" s="5"/>
      <x:c r="C26" s="5"/>
      <x:c r="D26" s="5"/>
      <x:c r="E26" s="5"/>
      <x:c r="F26" s="5"/>
      <x:c r="G26" s="106"/>
      <x:c r="H26" s="106"/>
      <x:c r="I26" s="106"/>
      <x:c r="J26" s="106"/>
      <x:c r="K26" s="106"/>
      <x:c r="L26" s="2"/>
      <x:c r="M26" s="12"/>
      <x:c r="Q26" s="358" t="s">
        <x:v>209</x:v>
      </x:c>
      <x:c r="R26" s="217">
        <x:f>SUM(R5:R25)/Y15</x:f>
        <x:v>4.1661111111111122</x:v>
      </x:c>
      <x:c r="S26" s="9">
        <x:f>SUM(S5:S25)/Y15</x:f>
        <x:v>4.4044444444444446</x:v>
      </x:c>
      <x:c r="T26" s="96">
        <x:f>SUM(T5:T25)/Y15</x:f>
        <x:v>18.239444444444445</x:v>
      </x:c>
      <x:c r="U26" s="340">
        <x:f>SUM(R26+S26+T26)</x:f>
        <x:v>26.810000000000002</x:v>
      </x:c>
      <x:c r="V26" s="341" t="s">
        <x:v>203</x:v>
      </x:c>
      <x:c r="W26" s="2" t="s">
        <x:v>159</x:v>
      </x:c>
      <x:c r="X26" s="2"/>
    </x:row>
    <x:row r="27" spans="2:24">
      <x:c r="B27" s="5"/>
      <x:c r="C27" s="5"/>
      <x:c r="D27" s="5"/>
      <x:c r="E27" s="5"/>
      <x:c r="F27" s="5"/>
      <x:c r="G27" s="6"/>
      <x:c r="H27" s="6"/>
      <x:c r="I27" s="6"/>
      <x:c r="J27" s="6"/>
      <x:c r="K27" s="6"/>
      <x:c r="L27" s="2"/>
      <x:c r="M27" s="7"/>
      <x:c r="Q27" s="358" t="s">
        <x:v>150</x:v>
      </x:c>
      <x:c r="R27" s="359">
        <x:f>1.135*20*N4/3600</x:f>
        <x:v>23.041232566635454</x:v>
      </x:c>
      <x:c r="S27" s="23">
        <x:v>0</x:v>
      </x:c>
      <x:c r="T27" s="360">
        <x:v>0</x:v>
      </x:c>
      <x:c r="U27" s="340">
        <x:f t="shared" ref="U27:U32" si="4">SUM(R27+S27+T27)</x:f>
        <x:v>23.041232566635454</x:v>
      </x:c>
      <x:c r="V27" s="341" t="s">
        <x:v>188</x:v>
      </x:c>
      <x:c r="W27" s="8"/>
      <x:c r="X27" s="2"/>
    </x:row>
    <x:row r="28" spans="12:24">
      <x:c r="L28" s="2"/>
      <x:c r="M28" s="7"/>
      <x:c r="Q28" s="358" t="s">
        <x:v>217</x:v>
      </x:c>
      <x:c r="R28" s="361">
        <x:f>R26*N4/3600</x:f>
        <x:v>4.2287372250905362</x:v>
      </x:c>
      <x:c r="S28" s="11">
        <x:f>S26*O4/3600</x:f>
        <x:v>1.6661875215177409</x:v>
      </x:c>
      <x:c r="T28" s="362">
        <x:f>T26*P4/3600</x:f>
        <x:v>3.3489646604938272</x:v>
      </x:c>
      <x:c r="U28" s="340">
        <x:f t="shared" si="4"/>
        <x:v>9.2438894071021043</x:v>
      </x:c>
      <x:c r="V28" s="341" t="s">
        <x:v>188</x:v>
      </x:c>
      <x:c r="W28" s="8"/>
      <x:c r="X28" s="2"/>
    </x:row>
    <x:row r="29" spans="12:24">
      <x:c r="L29" s="2"/>
      <x:c r="M29" s="7"/>
      <x:c r="Q29" s="358" t="s">
        <x:v>151</x:v>
      </x:c>
      <x:c r="R29" s="363">
        <x:f>U27-U28</x:f>
        <x:v>13.79734315953335</x:v>
      </x:c>
      <x:c r="S29" s="11"/>
      <x:c r="T29" s="362"/>
      <x:c r="U29" s="340">
        <x:f t="shared" si="4"/>
        <x:v>13.79734315953335</x:v>
      </x:c>
      <x:c r="V29" s="341" t="s">
        <x:v>188</x:v>
      </x:c>
      <x:c r="X29" s="2"/>
    </x:row>
    <x:row r="30" spans="12:24">
      <x:c r="L30" s="2"/>
      <x:c r="M30" s="7"/>
      <x:c r="Q30" s="358" t="s">
        <x:v>154</x:v>
      </x:c>
      <x:c r="R30" s="364">
        <x:f>100*($U$27/U28-1)</x:f>
        <x:v>149.2590678219583</x:v>
      </x:c>
      <x:c r="S30" s="11"/>
      <x:c r="T30" s="362"/>
      <x:c r="U30" s="340">
        <x:f t="shared" si="4"/>
        <x:v>149.2590678219583</x:v>
      </x:c>
      <x:c r="V30" s="341" t="s">
        <x:v>189</x:v>
      </x:c>
      <x:c r="X30" s="2"/>
    </x:row>
    <x:row r="31" spans="12:24">
      <x:c r="L31" s="2"/>
      <x:c r="M31" s="7"/>
      <x:c r="Q31" s="358" t="s">
        <x:v>118</x:v>
      </x:c>
      <x:c r="R31" s="364">
        <x:f>U29/$U$27*100</x:f>
        <x:v>59.881098459604146</x:v>
      </x:c>
      <x:c r="S31" s="11"/>
      <x:c r="T31" s="362"/>
      <x:c r="U31" s="340">
        <x:f t="shared" si="4"/>
        <x:v>59.881098459604146</x:v>
      </x:c>
      <x:c r="V31" s="341" t="s">
        <x:v>189</x:v>
      </x:c>
      <x:c r="W31" s="30" t="s">
        <x:v>76</x:v>
      </x:c>
      <x:c r="X31" s="2"/>
    </x:row>
    <x:row r="32" spans="12:24" ht="13.949999999999999">
      <x:c r="L32" s="2"/>
      <x:c r="M32" s="7"/>
      <x:c r="Q32" s="365" t="s">
        <x:v>126</x:v>
      </x:c>
      <x:c r="R32" s="366">
        <x:f>(R27-R28)/40*100</x:f>
        <x:v>47.031238353862292</x:v>
      </x:c>
      <x:c r="S32" s="140">
        <x:f>(S27-S28)/40*100</x:f>
        <x:v>-4.1654688037943517</x:v>
      </x:c>
      <x:c r="T32" s="367">
        <x:f>(T27-T28)/40*100</x:f>
        <x:v>-8.3724116512345681</x:v>
      </x:c>
      <x:c r="U32" s="342">
        <x:f t="shared" si="4"/>
        <x:v>34.493357898833366</x:v>
      </x:c>
      <x:c r="V32" s="343" t="s">
        <x:v>189</x:v>
      </x:c>
      <x:c r="X32" s="2"/>
    </x:row>
    <x:row r="33" spans="12:24">
      <x:c r="L33" s="2"/>
      <x:c r="M33" s="7"/>
      <x:c r="X33" s="2"/>
    </x:row>
    <x:row r="34" spans="12:24">
      <x:c r="L34" s="2"/>
      <x:c r="M34" s="7"/>
      <x:c r="X34" s="2"/>
    </x:row>
    <x:row r="41" spans="17:19">
      <x:c r="Q41" s="12"/>
      <x:c r="R41" s="12"/>
      <x:c r="S41" s="12"/>
    </x:row>
    <x:row r="42" spans="17:19">
      <x:c r="Q42" s="12"/>
      <x:c r="R42" s="12"/>
      <x:c r="S42" s="12"/>
    </x:row>
    <x:row r="43" spans="15:19">
      <x:c r="O43" s="12"/>
      <x:c r="P43" s="12"/>
      <x:c r="Q43" s="12"/>
      <x:c r="R43" s="12"/>
      <x:c r="S43" s="12"/>
    </x:row>
    <x:row r="44" spans="15:19">
      <x:c r="O44" s="12"/>
      <x:c r="P44" s="12"/>
      <x:c r="Q44" s="12"/>
      <x:c r="R44" s="12"/>
      <x:c r="S44" s="12"/>
    </x:row>
    <x:row r="45" spans="15:19">
      <x:c r="O45" s="12"/>
      <x:c r="P45" s="12"/>
      <x:c r="Q45" s="12"/>
      <x:c r="R45" s="12"/>
      <x:c r="S45" s="12"/>
    </x:row>
    <x:row r="46" spans="15:19">
      <x:c r="O46" s="12"/>
      <x:c r="P46" s="12"/>
      <x:c r="Q46" s="12"/>
      <x:c r="R46" s="12"/>
      <x:c r="S46" s="12"/>
    </x:row>
    <x:row r="47" spans="15:19">
      <x:c r="O47" s="12"/>
      <x:c r="P47" s="12"/>
      <x:c r="Q47" s="12"/>
      <x:c r="R47" s="12"/>
      <x:c r="S47" s="12"/>
    </x:row>
    <x:row r="48" spans="15:19">
      <x:c r="O48" s="12"/>
      <x:c r="P48" s="12"/>
      <x:c r="Q48" s="12"/>
      <x:c r="R48" s="12"/>
      <x:c r="S48" s="12"/>
    </x:row>
    <x:row r="49" spans="15:19">
      <x:c r="O49" s="12"/>
      <x:c r="P49" s="12"/>
      <x:c r="Q49" s="12"/>
      <x:c r="R49" s="12"/>
      <x:c r="S49" s="12"/>
    </x:row>
    <x:row r="50" spans="15:19">
      <x:c r="O50" s="12"/>
      <x:c r="P50" s="12"/>
      <x:c r="Q50" s="12"/>
      <x:c r="R50" s="12"/>
      <x:c r="S50" s="12"/>
    </x:row>
    <x:row r="51" spans="15:16">
      <x:c r="O51" s="12"/>
      <x:c r="P51" s="12"/>
    </x:row>
    <x:row r="52" spans="15:16">
      <x:c r="O52" s="12"/>
      <x:c r="P52" s="12"/>
    </x:row>
  </x:sheetData>
  <x:mergeCells count="11">
    <x:mergeCell ref="G2:I2"/>
    <x:mergeCell ref="J2:L2"/>
    <x:mergeCell ref="N2:P2"/>
    <x:mergeCell ref="C23:C24"/>
    <x:mergeCell ref="D23:D24"/>
    <x:mergeCell ref="A9:A10"/>
    <x:mergeCell ref="A11:A12"/>
    <x:mergeCell ref="A13:A14"/>
    <x:mergeCell ref="A22:A24"/>
    <x:mergeCell ref="B18:B20"/>
    <x:mergeCell ref="Q2:V2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2:Y52"/>
  <x:sheetViews>
    <x:sheetView topLeftCell="A1" zoomScaleNormal="100" zoomScaleSheetLayoutView="75" workbookViewId="0">
      <x:pane xSplit="4" ySplit="3" topLeftCell="P4" activePane="bottomRight" state="frozen"/>
      <x:selection pane="bottomRight" activeCell="D37" activeCellId="0" sqref="D37:D37"/>
    </x:sheetView>
  </x:sheetViews>
  <x:sheetFormatPr defaultColWidth="9.15234375" defaultRowHeight="13.550000000000001"/>
  <x:cols>
    <x:col min="1" max="1" width="9.15234375" style="2"/>
    <x:col min="2" max="2" width="10.765625" style="2" bestFit="1" customWidth="1"/>
    <x:col min="3" max="3" width="16.3828125" style="2" bestFit="1" customWidth="1"/>
    <x:col min="4" max="4" width="31" style="2" bestFit="1" customWidth="1"/>
    <x:col min="5" max="5" width="17" style="2" bestFit="1" customWidth="1"/>
    <x:col min="6" max="6" width="15.23046875" style="2" bestFit="1" customWidth="1"/>
    <x:col min="7" max="12" width="10.84375" style="3" bestFit="1" customWidth="1"/>
    <x:col min="13" max="13" width="10.84375" style="3" customWidth="1"/>
    <x:col min="14" max="15" width="15.765625" style="3" customWidth="1"/>
    <x:col min="16" max="16" width="22" style="3" customWidth="1"/>
    <x:col min="17" max="17" width="35" style="3" customWidth="1"/>
    <x:col min="18" max="18" width="13.3828125" style="3" bestFit="1" customWidth="1"/>
    <x:col min="19" max="19" width="14.23046875" style="3" bestFit="1" customWidth="1"/>
    <x:col min="20" max="20" width="19.23046875" style="3" customWidth="1"/>
    <x:col min="21" max="21" width="11.765625" style="3" bestFit="1" customWidth="1"/>
    <x:col min="22" max="22" width="8" style="3" customWidth="1"/>
    <x:col min="23" max="23" width="11.75" style="3" customWidth="1"/>
    <x:col min="24" max="24" width="25.765625" style="3" bestFit="1" customWidth="1"/>
    <x:col min="25" max="25" width="13" style="2" bestFit="1" customWidth="1"/>
    <x:col min="26" max="26" width="24.61328125" style="2" bestFit="1" customWidth="1"/>
    <x:col min="27" max="27" width="13.15234375" style="2" bestFit="1" customWidth="1"/>
    <x:col min="28" max="16384" width="9.15234375" style="2"/>
  </x:cols>
  <x:sheetData>
    <x:row r="2" spans="1:25" ht="13.949999999999999" customHeight="1">
      <x:c r="A2" s="147" t="s">
        <x:v>83</x:v>
      </x:c>
      <x:c r="B2" s="147" t="s">
        <x:v>164</x:v>
      </x:c>
      <x:c r="C2" s="147" t="s">
        <x:v>172</x:v>
      </x:c>
      <x:c r="D2" s="147" t="s">
        <x:v>85</x:v>
      </x:c>
      <x:c r="E2" s="147" t="s">
        <x:v>57</x:v>
      </x:c>
      <x:c r="F2" s="147" t="s">
        <x:v>137</x:v>
      </x:c>
      <x:c r="G2" s="290" t="s">
        <x:v>166</x:v>
      </x:c>
      <x:c r="H2" s="291"/>
      <x:c r="I2" s="292"/>
      <x:c r="J2" s="290" t="s">
        <x:v>89</x:v>
      </x:c>
      <x:c r="K2" s="291"/>
      <x:c r="L2" s="292"/>
      <x:c r="M2" s="6"/>
      <x:c r="N2" s="293" t="s">
        <x:v>73</x:v>
      </x:c>
      <x:c r="O2" s="303"/>
      <x:c r="P2" s="295"/>
      <x:c r="Q2" s="293" t="s">
        <x:v>211</x:v>
      </x:c>
      <x:c r="R2" s="303"/>
      <x:c r="S2" s="303"/>
      <x:c r="T2" s="303"/>
      <x:c r="U2" s="303"/>
      <x:c r="V2" s="295"/>
      <x:c r="W2" s="135"/>
      <x:c r="X2" s="275" t="s">
        <x:v>88</x:v>
      </x:c>
      <x:c r="Y2" s="193"/>
    </x:row>
    <x:row r="3" spans="1:25" ht="14.300000000000001">
      <x:c r="A3" s="66"/>
      <x:c r="B3" s="148"/>
      <x:c r="C3" s="148"/>
      <x:c r="D3" s="149"/>
      <x:c r="E3" s="149"/>
      <x:c r="F3" s="148"/>
      <x:c r="G3" s="172" t="s">
        <x:v>60</x:v>
      </x:c>
      <x:c r="H3" s="173" t="s">
        <x:v>82</x:v>
      </x:c>
      <x:c r="I3" s="174" t="s">
        <x:v>91</x:v>
      </x:c>
      <x:c r="J3" s="172" t="s">
        <x:v>55</x:v>
      </x:c>
      <x:c r="K3" s="173" t="s">
        <x:v>82</x:v>
      </x:c>
      <x:c r="L3" s="174" t="s">
        <x:v>91</x:v>
      </x:c>
      <x:c r="M3" s="6" t="s">
        <x:v>57</x:v>
      </x:c>
      <x:c r="N3" s="172" t="s">
        <x:v>169</x:v>
      </x:c>
      <x:c r="O3" s="273" t="s">
        <x:v>177</x:v>
      </x:c>
      <x:c r="P3" s="258" t="s">
        <x:v>183</x:v>
      </x:c>
      <x:c r="Q3" s="285"/>
      <x:c r="R3" s="172" t="s">
        <x:v>169</x:v>
      </x:c>
      <x:c r="S3" s="173" t="s">
        <x:v>177</x:v>
      </x:c>
      <x:c r="T3" s="258" t="s">
        <x:v>183</x:v>
      </x:c>
      <x:c r="U3" s="170" t="s">
        <x:v>64</x:v>
      </x:c>
      <x:c r="V3" s="256"/>
      <x:c r="W3" s="2"/>
      <x:c r="X3" s="142" t="s">
        <x:v>141</x:v>
      </x:c>
      <x:c r="Y3" s="143">
        <x:f>parameter!C8</x:f>
        <x:v>5676.9848887954295</x:v>
      </x:c>
    </x:row>
    <x:row r="4" spans="1:25" ht="14.300000000000001">
      <x:c r="A4" s="66"/>
      <x:c r="B4" s="75"/>
      <x:c r="C4" s="75"/>
      <x:c r="D4" s="68"/>
      <x:c r="E4" s="68"/>
      <x:c r="F4" s="75"/>
      <x:c r="G4" s="262"/>
      <x:c r="H4" s="257"/>
      <x:c r="I4" s="265"/>
      <x:c r="J4" s="262"/>
      <x:c r="K4" s="257"/>
      <x:c r="L4" s="265"/>
      <x:c r="M4" s="110" t="s">
        <x:v>72</x:v>
      </x:c>
      <x:c r="N4" s="276">
        <x:f>Y6-Y4</x:f>
        <x:v>2973.1161779686181</x:v>
      </x:c>
      <x:c r="O4" s="274">
        <x:f>Y7</x:f>
        <x:v>2022.8687108268114</x:v>
      </x:c>
      <x:c r="P4" s="268">
        <x:f>Y4</x:f>
        <x:v>681</x:v>
      </x:c>
      <x:c r="Q4" s="344"/>
      <x:c r="R4" s="262"/>
      <x:c r="S4" s="257"/>
      <x:c r="T4" s="265"/>
      <x:c r="U4" s="320"/>
      <x:c r="V4" s="150"/>
      <x:c r="W4" s="2"/>
      <x:c r="X4" s="142" t="s">
        <x:v>138</x:v>
      </x:c>
      <x:c r="Y4" s="143">
        <x:v>681</x:v>
      </x:c>
    </x:row>
    <x:row r="5" spans="1:25">
      <x:c r="A5" s="67" t="s">
        <x:v>52</x:v>
      </x:c>
      <x:c r="B5" s="67" t="s">
        <x:v>81</x:v>
      </x:c>
      <x:c r="C5" s="67"/>
      <x:c r="D5" s="67"/>
      <x:c r="E5" s="67"/>
      <x:c r="F5" s="67">
        <x:v>5</x:v>
      </x:c>
      <x:c r="G5" s="87"/>
      <x:c r="H5" s="65">
        <x:f>K5/F5</x:f>
        <x:v>0.040000000000000002</x:v>
      </x:c>
      <x:c r="I5" s="88"/>
      <x:c r="J5" s="87"/>
      <x:c r="K5" s="65">
        <x:v>0.20000000000000001</x:v>
      </x:c>
      <x:c r="L5" s="88"/>
      <x:c r="M5" s="111"/>
      <x:c r="N5" s="269">
        <x:v>0</x:v>
      </x:c>
      <x:c r="O5" s="270">
        <x:v>0</x:v>
      </x:c>
      <x:c r="P5" s="271">
        <x:v>0</x:v>
      </x:c>
      <x:c r="Q5" s="345"/>
      <x:c r="R5" s="346">
        <x:f>N5*K5</x:f>
        <x:v>0</x:v>
      </x:c>
      <x:c r="S5" s="65">
        <x:f>O5*K5</x:f>
        <x:v>0</x:v>
      </x:c>
      <x:c r="T5" s="88">
        <x:f>P5*K5</x:f>
        <x:v>0</x:v>
      </x:c>
      <x:c r="U5" s="321">
        <x:f>SUM(R5+S5+T5)</x:f>
        <x:v>0</x:v>
      </x:c>
      <x:c r="V5" s="322"/>
      <x:c r="W5" s="2"/>
      <x:c r="X5" s="142" t="s">
        <x:v>128</x:v>
      </x:c>
      <x:c r="Y5" s="143">
        <x:v>661</x:v>
      </x:c>
    </x:row>
    <x:row r="6" spans="1:25">
      <x:c r="A6" s="200" t="s">
        <x:v>106</x:v>
      </x:c>
      <x:c r="B6" s="200" t="s">
        <x:v>46</x:v>
      </x:c>
      <x:c r="C6" s="200"/>
      <x:c r="D6" s="183"/>
      <x:c r="E6" s="183"/>
      <x:c r="F6" s="183">
        <x:v>5</x:v>
      </x:c>
      <x:c r="G6" s="184"/>
      <x:c r="H6" s="185">
        <x:f>K6/F6</x:f>
        <x:v>0.040000000000000002</x:v>
      </x:c>
      <x:c r="I6" s="186">
        <x:f>L6/F6</x:f>
        <x:v>0.40000000000000002</x:v>
      </x:c>
      <x:c r="J6" s="184"/>
      <x:c r="K6" s="185">
        <x:v>0.20000000000000001</x:v>
      </x:c>
      <x:c r="L6" s="186">
        <x:v>2</x:v>
      </x:c>
      <x:c r="M6" s="202"/>
      <x:c r="N6" s="207">
        <x:v>0</x:v>
      </x:c>
      <x:c r="O6" s="209">
        <x:v>0</x:v>
      </x:c>
      <x:c r="P6" s="210">
        <x:f>N6*K6</x:f>
        <x:v>0</x:v>
      </x:c>
      <x:c r="Q6" s="347"/>
      <x:c r="R6" s="348">
        <x:f>N6*K6</x:f>
        <x:v>0</x:v>
      </x:c>
      <x:c r="S6" s="221">
        <x:f>O6*K6</x:f>
        <x:v>0</x:v>
      </x:c>
      <x:c r="T6" s="253">
        <x:f>P6*K6</x:f>
        <x:v>0</x:v>
      </x:c>
      <x:c r="U6" s="323">
        <x:f t="shared" ref="U6:U25" si="0">SUM(R6+S6+T6)</x:f>
        <x:v>0</x:v>
      </x:c>
      <x:c r="V6" s="324"/>
      <x:c r="W6" s="2"/>
      <x:c r="X6" s="142" t="s">
        <x:v>175</x:v>
      </x:c>
      <x:c r="Y6" s="143">
        <x:f>parameter!C10</x:f>
        <x:v>3654.1161779686181</x:v>
      </x:c>
    </x:row>
    <x:row r="7" spans="1:25">
      <x:c r="A7" s="198" t="s">
        <x:v>50</x:v>
      </x:c>
      <x:c r="B7" s="198"/>
      <x:c r="C7" s="198"/>
      <x:c r="D7" s="181"/>
      <x:c r="E7" s="180"/>
      <x:c r="F7" s="180">
        <x:v>3.2999999999999998</x:v>
      </x:c>
      <x:c r="G7" s="228"/>
      <x:c r="H7" s="222">
        <x:f>K7/F7</x:f>
        <x:v>0.060606060606060615</x:v>
      </x:c>
      <x:c r="I7" s="223">
        <x:f>L7/F7</x:f>
        <x:v>0.60606060606060608</x:v>
      </x:c>
      <x:c r="J7" s="228"/>
      <x:c r="K7" s="182">
        <x:v>0.20000000000000001</x:v>
      </x:c>
      <x:c r="L7" s="201">
        <x:v>2</x:v>
      </x:c>
      <x:c r="M7" s="181"/>
      <x:c r="N7" s="208">
        <x:v>0</x:v>
      </x:c>
      <x:c r="O7" s="211">
        <x:v>0</x:v>
      </x:c>
      <x:c r="P7" s="212">
        <x:f>N7*K7</x:f>
        <x:v>0</x:v>
      </x:c>
      <x:c r="Q7" s="349"/>
      <x:c r="R7" s="350">
        <x:f>N7*K7</x:f>
        <x:v>0</x:v>
      </x:c>
      <x:c r="S7" s="182">
        <x:f>O7*K7</x:f>
        <x:v>0</x:v>
      </x:c>
      <x:c r="T7" s="201">
        <x:f>P7*K7</x:f>
        <x:v>0</x:v>
      </x:c>
      <x:c r="U7" s="325">
        <x:f t="shared" si="0"/>
        <x:v>0</x:v>
      </x:c>
      <x:c r="V7" s="326"/>
      <x:c r="X7" s="142" t="s">
        <x:v>113</x:v>
      </x:c>
      <x:c r="Y7" s="143">
        <x:f>parameter!C11</x:f>
        <x:v>2022.8687108268114</x:v>
      </x:c>
    </x:row>
    <x:row r="8" spans="1:25">
      <x:c r="A8" s="69" t="s">
        <x:v>87</x:v>
      </x:c>
      <x:c r="B8" s="69" t="s">
        <x:v>66</x:v>
      </x:c>
      <x:c r="C8" s="69" t="s">
        <x:v>193</x:v>
      </x:c>
      <x:c r="D8" s="69" t="s">
        <x:v>133</x:v>
      </x:c>
      <x:c r="E8" s="69"/>
      <x:c r="F8" s="69">
        <x:v>3.2999999999999998</x:v>
      </x:c>
      <x:c r="G8" s="89">
        <x:v>0.115</x:v>
      </x:c>
      <x:c r="H8" s="61">
        <x:v>0.24199999999999999</x:v>
      </x:c>
      <x:c r="I8" s="90">
        <x:v>0.39400000000000002</x:v>
      </x:c>
      <x:c r="J8" s="89">
        <x:f>F8*G8</x:f>
        <x:v>0.3795</x:v>
      </x:c>
      <x:c r="K8" s="62">
        <x:v>0.80000000000000004</x:v>
      </x:c>
      <x:c r="L8" s="90">
        <x:f>I8*F8</x:f>
        <x:v>1.3002</x:v>
      </x:c>
      <x:c r="M8" s="114"/>
      <x:c r="N8" s="115">
        <x:v>0</x:v>
      </x:c>
      <x:c r="O8" s="63">
        <x:v>0</x:v>
      </x:c>
      <x:c r="P8" s="116">
        <x:v>0</x:v>
      </x:c>
      <x:c r="Q8" s="351"/>
      <x:c r="R8" s="214">
        <x:f t="shared" ref="R8:R25" si="1">N8*K8</x:f>
        <x:v>0</x:v>
      </x:c>
      <x:c r="S8" s="61">
        <x:f t="shared" ref="S8:S22" si="2">O8*K8</x:f>
        <x:v>0</x:v>
      </x:c>
      <x:c r="T8" s="90">
        <x:f>P8*L8</x:f>
        <x:v>0</x:v>
      </x:c>
      <x:c r="U8" s="327">
        <x:f t="shared" si="0"/>
        <x:v>0</x:v>
      </x:c>
      <x:c r="V8" s="328"/>
      <x:c r="W8" s="2"/>
      <x:c r="X8" s="142" t="s">
        <x:v>212</x:v>
      </x:c>
      <x:c r="Y8" s="143">
        <x:v>0.29999999999999999</x:v>
      </x:c>
    </x:row>
    <x:row r="9" spans="1:25">
      <x:c r="A9" s="296" t="s">
        <x:v>42</x:v>
      </x:c>
      <x:c r="B9" s="76" t="s">
        <x:v>56</x:v>
      </x:c>
      <x:c r="C9" s="78" t="s">
        <x:v>184</x:v>
      </x:c>
      <x:c r="D9" s="73" t="s">
        <x:v>135</x:v>
      </x:c>
      <x:c r="E9" s="73"/>
      <x:c r="F9" s="73">
        <x:v>3.2999999999999998</x:v>
      </x:c>
      <x:c r="G9" s="91"/>
      <x:c r="H9" s="24">
        <x:f>0.12/F9</x:f>
        <x:v>0.036363636363636362</x:v>
      </x:c>
      <x:c r="I9" s="92">
        <x:f>0.2/F9</x:f>
        <x:v>0.060606060606060615</x:v>
      </x:c>
      <x:c r="J9" s="91"/>
      <x:c r="K9" s="55">
        <x:f t="shared" ref="K9:K15" si="3">H9*F9</x:f>
        <x:v>0.11999999999999998</x:v>
      </x:c>
      <x:c r="L9" s="92">
        <x:f>I9*F9</x:f>
        <x:v>0.20000000000000001</x:v>
      </x:c>
      <x:c r="M9" s="117"/>
      <x:c r="N9" s="118">
        <x:v>1</x:v>
      </x:c>
      <x:c r="O9" s="25">
        <x:v>1</x:v>
      </x:c>
      <x:c r="P9" s="119">
        <x:v>1</x:v>
      </x:c>
      <x:c r="Q9" s="352"/>
      <x:c r="R9" s="215">
        <x:f>N9*K9</x:f>
        <x:v>0.11999999999999998</x:v>
      </x:c>
      <x:c r="S9" s="24">
        <x:f t="shared" si="2"/>
        <x:v>0.11999999999999998</x:v>
      </x:c>
      <x:c r="T9" s="92">
        <x:f>P9*$L$9+(1-P9)*K9</x:f>
        <x:v>0.20000000000000001</x:v>
      </x:c>
      <x:c r="U9" s="329">
        <x:f t="shared" si="0"/>
        <x:v>0.43999999999999995</x:v>
      </x:c>
      <x:c r="V9" s="330"/>
      <x:c r="W9" s="2"/>
      <x:c r="X9" s="142" t="s">
        <x:v>79</x:v>
      </x:c>
      <x:c r="Y9" s="143">
        <x:v>0.59999999999999998</x:v>
      </x:c>
    </x:row>
    <x:row r="10" spans="1:25">
      <x:c r="A10" s="298"/>
      <x:c r="B10" s="71"/>
      <x:c r="C10" s="71"/>
      <x:c r="D10" s="73" t="s">
        <x:v>123</x:v>
      </x:c>
      <x:c r="E10" s="73"/>
      <x:c r="F10" s="73">
        <x:v>3.2999999999999998</x:v>
      </x:c>
      <x:c r="G10" s="91"/>
      <x:c r="H10" s="24">
        <x:f>0.2/F10</x:f>
        <x:v>0.060606060606060615</x:v>
      </x:c>
      <x:c r="I10" s="92">
        <x:f>0.4/F10</x:f>
        <x:v>0.12121212121212123</x:v>
      </x:c>
      <x:c r="J10" s="91"/>
      <x:c r="K10" s="55">
        <x:f t="shared" si="3"/>
        <x:v>0.20000000000000001</x:v>
      </x:c>
      <x:c r="L10" s="92">
        <x:f>I10*F10</x:f>
        <x:v>0.40000000000000002</x:v>
      </x:c>
      <x:c r="M10" s="117"/>
      <x:c r="N10" s="118">
        <x:v>1</x:v>
      </x:c>
      <x:c r="O10" s="25">
        <x:v>1</x:v>
      </x:c>
      <x:c r="P10" s="119">
        <x:v>1</x:v>
      </x:c>
      <x:c r="Q10" s="352"/>
      <x:c r="R10" s="215">
        <x:f>N10*K10</x:f>
        <x:v>0.20000000000000001</x:v>
      </x:c>
      <x:c r="S10" s="24">
        <x:f t="shared" si="2"/>
        <x:v>0.20000000000000001</x:v>
      </x:c>
      <x:c r="T10" s="92">
        <x:f>P10*$L$10+(1-P10)*K10</x:f>
        <x:v>0.40000000000000002</x:v>
      </x:c>
      <x:c r="U10" s="329">
        <x:f t="shared" si="0"/>
        <x:v>0.80000000000000004</x:v>
      </x:c>
      <x:c r="V10" s="330"/>
      <x:c r="W10" s="2"/>
      <x:c r="X10" s="142" t="s">
        <x:v>44</x:v>
      </x:c>
      <x:c r="Y10" s="143">
        <x:v>0.80000000000000004</x:v>
      </x:c>
    </x:row>
    <x:row r="11" spans="1:25">
      <x:c r="A11" s="299" t="s">
        <x:v>186</x:v>
      </x:c>
      <x:c r="B11" s="77"/>
      <x:c r="C11" s="77"/>
      <x:c r="D11" s="83" t="s">
        <x:v>121</x:v>
      </x:c>
      <x:c r="E11" s="83"/>
      <x:c r="F11" s="83">
        <x:v>5</x:v>
      </x:c>
      <x:c r="G11" s="93"/>
      <x:c r="H11" s="56">
        <x:f>0.07*5/5</x:f>
        <x:v>0.070000000000000007</x:v>
      </x:c>
      <x:c r="I11" s="94">
        <x:f>0.167*5/5</x:f>
        <x:v>0.16700000000000001</x:v>
      </x:c>
      <x:c r="J11" s="93"/>
      <x:c r="K11" s="26">
        <x:f>H11*F11</x:f>
        <x:v>0.35000000000000003</x:v>
      </x:c>
      <x:c r="L11" s="94">
        <x:f>I11*F11</x:f>
        <x:v>0.83500000000000008</x:v>
      </x:c>
      <x:c r="M11" s="120"/>
      <x:c r="N11" s="121">
        <x:v>1</x:v>
      </x:c>
      <x:c r="O11" s="27">
        <x:v>1</x:v>
      </x:c>
      <x:c r="P11" s="122">
        <x:v>1</x:v>
      </x:c>
      <x:c r="Q11" s="353"/>
      <x:c r="R11" s="216">
        <x:f t="shared" si="1"/>
        <x:v>0.35000000000000003</x:v>
      </x:c>
      <x:c r="S11" s="26">
        <x:f t="shared" si="2"/>
        <x:v>0.35000000000000003</x:v>
      </x:c>
      <x:c r="T11" s="94">
        <x:f>P11*$L$11+(1-P11)*K11</x:f>
        <x:v>0.83500000000000008</x:v>
      </x:c>
      <x:c r="U11" s="331">
        <x:f t="shared" si="0"/>
        <x:v>1.5350000000000001</x:v>
      </x:c>
      <x:c r="V11" s="332"/>
      <x:c r="W11" s="2"/>
      <x:c r="X11" s="142" t="s">
        <x:v>96</x:v>
      </x:c>
      <x:c r="Y11" s="143">
        <x:v>0.80000000000000004</x:v>
      </x:c>
    </x:row>
    <x:row r="12" spans="1:25">
      <x:c r="A12" s="299"/>
      <x:c r="B12" s="77"/>
      <x:c r="C12" s="77"/>
      <x:c r="D12" s="83" t="s">
        <x:v>116</x:v>
      </x:c>
      <x:c r="E12" s="83"/>
      <x:c r="F12" s="83">
        <x:v>5</x:v>
      </x:c>
      <x:c r="G12" s="93"/>
      <x:c r="H12" s="26">
        <x:f>0.064/F12</x:f>
        <x:v>0.0128</x:v>
      </x:c>
      <x:c r="I12" s="94"/>
      <x:c r="J12" s="93"/>
      <x:c r="K12" s="56">
        <x:f t="shared" si="3"/>
        <x:v>0.064000000000000001</x:v>
      </x:c>
      <x:c r="L12" s="94"/>
      <x:c r="M12" s="120"/>
      <x:c r="N12" s="121">
        <x:v>1</x:v>
      </x:c>
      <x:c r="O12" s="27">
        <x:v>1</x:v>
      </x:c>
      <x:c r="P12" s="122">
        <x:v>1</x:v>
      </x:c>
      <x:c r="Q12" s="353"/>
      <x:c r="R12" s="216">
        <x:f t="shared" si="1"/>
        <x:v>0.064000000000000001</x:v>
      </x:c>
      <x:c r="S12" s="26">
        <x:f t="shared" si="2"/>
        <x:v>0.064000000000000001</x:v>
      </x:c>
      <x:c r="T12" s="94">
        <x:f>P12*$K$12</x:f>
        <x:v>0.064000000000000001</x:v>
      </x:c>
      <x:c r="U12" s="331">
        <x:f t="shared" si="0"/>
        <x:v>0.192</x:v>
      </x:c>
      <x:c r="V12" s="332"/>
      <x:c r="W12" s="2"/>
      <x:c r="X12" s="144"/>
      <x:c r="Y12" s="143"/>
    </x:row>
    <x:row r="13" spans="1:25">
      <x:c r="A13" s="298" t="s">
        <x:v>42</x:v>
      </x:c>
      <x:c r="B13" s="71"/>
      <x:c r="C13" s="71"/>
      <x:c r="D13" s="73" t="s">
        <x:v>157</x:v>
      </x:c>
      <x:c r="E13" s="73"/>
      <x:c r="F13" s="73">
        <x:v>3.2999999999999998</x:v>
      </x:c>
      <x:c r="G13" s="91"/>
      <x:c r="H13" s="24">
        <x:f>0.2/F13</x:f>
        <x:v>0.060606060606060615</x:v>
      </x:c>
      <x:c r="I13" s="92"/>
      <x:c r="J13" s="91"/>
      <x:c r="K13" s="55">
        <x:f t="shared" si="3"/>
        <x:v>0.20000000000000001</x:v>
      </x:c>
      <x:c r="L13" s="92"/>
      <x:c r="M13" s="117"/>
      <x:c r="N13" s="118">
        <x:v>1</x:v>
      </x:c>
      <x:c r="O13" s="25">
        <x:v>1</x:v>
      </x:c>
      <x:c r="P13" s="119">
        <x:v>1</x:v>
      </x:c>
      <x:c r="Q13" s="352"/>
      <x:c r="R13" s="215">
        <x:f t="shared" si="1"/>
        <x:v>0.20000000000000001</x:v>
      </x:c>
      <x:c r="S13" s="24">
        <x:f t="shared" si="2"/>
        <x:v>0.20000000000000001</x:v>
      </x:c>
      <x:c r="T13" s="92">
        <x:f>P13*$K$13</x:f>
        <x:v>0.20000000000000001</x:v>
      </x:c>
      <x:c r="U13" s="329">
        <x:f t="shared" si="0"/>
        <x:v>0.60000000000000009</x:v>
      </x:c>
      <x:c r="V13" s="330"/>
      <x:c r="W13" s="2"/>
      <x:c r="X13" s="144"/>
      <x:c r="Y13" s="143"/>
    </x:row>
    <x:row r="14" spans="1:25">
      <x:c r="A14" s="298"/>
      <x:c r="B14" s="71"/>
      <x:c r="C14" s="71"/>
      <x:c r="D14" s="73" t="s">
        <x:v>62</x:v>
      </x:c>
      <x:c r="E14" s="73"/>
      <x:c r="F14" s="73">
        <x:v>3.2999999999999998</x:v>
      </x:c>
      <x:c r="G14" s="91"/>
      <x:c r="H14" s="24">
        <x:f>0.035/F14</x:f>
        <x:v>0.010606060606060608</x:v>
      </x:c>
      <x:c r="I14" s="92"/>
      <x:c r="J14" s="91"/>
      <x:c r="K14" s="55">
        <x:f t="shared" si="3"/>
        <x:v>0.035000000000000003</x:v>
      </x:c>
      <x:c r="L14" s="92"/>
      <x:c r="M14" s="117"/>
      <x:c r="N14" s="118">
        <x:v>1</x:v>
      </x:c>
      <x:c r="O14" s="25">
        <x:v>1</x:v>
      </x:c>
      <x:c r="P14" s="119">
        <x:v>1</x:v>
      </x:c>
      <x:c r="Q14" s="352"/>
      <x:c r="R14" s="215">
        <x:f t="shared" si="1"/>
        <x:v>0.035000000000000003</x:v>
      </x:c>
      <x:c r="S14" s="24">
        <x:f t="shared" si="2"/>
        <x:v>0.035000000000000003</x:v>
      </x:c>
      <x:c r="T14" s="92">
        <x:f>P14*$K$14</x:f>
        <x:v>0.035000000000000003</x:v>
      </x:c>
      <x:c r="U14" s="329">
        <x:f t="shared" si="0"/>
        <x:v>0.10500000000000001</x:v>
      </x:c>
      <x:c r="V14" s="330"/>
      <x:c r="W14" s="2"/>
      <x:c r="X14" s="142" t="s">
        <x:v>125</x:v>
      </x:c>
      <x:c r="Y14" s="143">
        <x:v>0.20000000000000001</x:v>
      </x:c>
    </x:row>
    <x:row r="15" spans="1:25">
      <x:c r="A15" s="70" t="s">
        <x:v>75</x:v>
      </x:c>
      <x:c r="B15" s="70"/>
      <x:c r="C15" s="79"/>
      <x:c r="D15" s="84" t="s">
        <x:v>158</x:v>
      </x:c>
      <x:c r="E15" s="84"/>
      <x:c r="F15" s="84">
        <x:v>8.2599999999999998</x:v>
      </x:c>
      <x:c r="G15" s="95">
        <x:f>0.065*3/F15</x:f>
        <x:v>0.023607748184019371</x:v>
      </x:c>
      <x:c r="H15" s="9">
        <x:f>0.19*3/F15</x:f>
        <x:v>0.069007263922518172</x:v>
      </x:c>
      <x:c r="I15" s="96">
        <x:f>2.3*3/F15</x:f>
        <x:v>0.83535108958837767</x:v>
      </x:c>
      <x:c r="J15" s="95">
        <x:f>F15*G15</x:f>
        <x:v>0.19500000000000001</x:v>
      </x:c>
      <x:c r="K15" s="57">
        <x:f t="shared" si="3"/>
        <x:v>0.57000000000000006</x:v>
      </x:c>
      <x:c r="L15" s="96">
        <x:f>I15*F15</x:f>
        <x:v>6.8999999999999995</x:v>
      </x:c>
      <x:c r="M15" s="123"/>
      <x:c r="N15" s="124">
        <x:v>1</x:v>
      </x:c>
      <x:c r="O15" s="31">
        <x:v>1</x:v>
      </x:c>
      <x:c r="P15" s="125">
        <x:v>1</x:v>
      </x:c>
      <x:c r="Q15" s="354"/>
      <x:c r="R15" s="217">
        <x:f t="shared" si="1"/>
        <x:v>0.57000000000000006</x:v>
      </x:c>
      <x:c r="S15" s="9">
        <x:f t="shared" si="2"/>
        <x:v>0.57000000000000006</x:v>
      </x:c>
      <x:c r="T15" s="96">
        <x:f>P15*$L$15+(1-P15)*K15</x:f>
        <x:v>6.8999999999999995</x:v>
      </x:c>
      <x:c r="U15" s="333">
        <x:f t="shared" si="0"/>
        <x:v>8.0399999999999991</x:v>
      </x:c>
      <x:c r="V15" s="334"/>
      <x:c r="W15" s="2"/>
      <x:c r="X15" s="142" t="s">
        <x:v>208</x:v>
      </x:c>
      <x:c r="Y15" s="143">
        <x:v>0.90000000000000002</x:v>
      </x:c>
    </x:row>
    <x:row r="16" spans="1:25" ht="13.949999999999999">
      <x:c r="A16" s="71" t="s">
        <x:v>42</x:v>
      </x:c>
      <x:c r="B16" s="71"/>
      <x:c r="C16" s="73" t="s">
        <x:v>180</x:v>
      </x:c>
      <x:c r="D16" s="73" t="s">
        <x:v>58</x:v>
      </x:c>
      <x:c r="E16" s="73"/>
      <x:c r="F16" s="73">
        <x:v>3.2999999999999998</x:v>
      </x:c>
      <x:c r="G16" s="91"/>
      <x:c r="H16" s="55">
        <x:v>0</x:v>
      </x:c>
      <x:c r="I16" s="92"/>
      <x:c r="J16" s="91"/>
      <x:c r="K16" s="24">
        <x:v>0</x:v>
      </x:c>
      <x:c r="L16" s="92"/>
      <x:c r="M16" s="117"/>
      <x:c r="N16" s="118">
        <x:v>1</x:v>
      </x:c>
      <x:c r="O16" s="25">
        <x:v>1</x:v>
      </x:c>
      <x:c r="P16" s="119">
        <x:v>1</x:v>
      </x:c>
      <x:c r="Q16" s="352"/>
      <x:c r="R16" s="215">
        <x:f t="shared" si="1"/>
        <x:v>0</x:v>
      </x:c>
      <x:c r="S16" s="24">
        <x:f t="shared" si="2"/>
        <x:v>0</x:v>
      </x:c>
      <x:c r="T16" s="92">
        <x:f>P16*K16</x:f>
        <x:v>0</x:v>
      </x:c>
      <x:c r="U16" s="329">
        <x:f t="shared" si="0"/>
        <x:v>0</x:v>
      </x:c>
      <x:c r="V16" s="330"/>
      <x:c r="W16" s="2"/>
      <x:c r="X16" s="145" t="s">
        <x:v>144</x:v>
      </x:c>
      <x:c r="Y16" s="146">
        <x:v>0.40000000000000002</x:v>
      </x:c>
    </x:row>
    <x:row r="17" spans="1:24">
      <x:c r="A17" s="72" t="s">
        <x:v>54</x:v>
      </x:c>
      <x:c r="B17" s="72"/>
      <x:c r="C17" s="80" t="s">
        <x:v>77</x:v>
      </x:c>
      <x:c r="D17" s="80" t="s">
        <x:v>95</x:v>
      </x:c>
      <x:c r="E17" s="80"/>
      <x:c r="F17" s="80">
        <x:v>3.2999999999999998</x:v>
      </x:c>
      <x:c r="G17" s="97"/>
      <x:c r="H17" s="58">
        <x:v>0.39400000000000002</x:v>
      </x:c>
      <x:c r="I17" s="98"/>
      <x:c r="J17" s="97"/>
      <x:c r="K17" s="59">
        <x:v>1.3</x:v>
      </x:c>
      <x:c r="L17" s="98"/>
      <x:c r="M17" s="126"/>
      <x:c r="N17" s="127">
        <x:v>1</x:v>
      </x:c>
      <x:c r="O17" s="60">
        <x:v>1</x:v>
      </x:c>
      <x:c r="P17" s="128">
        <x:v>1</x:v>
      </x:c>
      <x:c r="Q17" s="355"/>
      <x:c r="R17" s="218">
        <x:f t="shared" si="1"/>
        <x:v>1.3</x:v>
      </x:c>
      <x:c r="S17" s="58">
        <x:f t="shared" si="2"/>
        <x:v>1.3</x:v>
      </x:c>
      <x:c r="T17" s="98">
        <x:f>P17*K17</x:f>
        <x:v>1.3</x:v>
      </x:c>
      <x:c r="U17" s="335">
        <x:f t="shared" si="0"/>
        <x:v>3.9000000000000004</x:v>
      </x:c>
      <x:c r="V17" s="336"/>
      <x:c r="W17" s="2"/>
      <x:c r="X17" s="2"/>
    </x:row>
    <x:row r="18" spans="1:24">
      <x:c r="A18" s="66"/>
      <x:c r="B18" s="300" t="s">
        <x:v>202</x:v>
      </x:c>
      <x:c r="C18" s="75" t="s">
        <x:v>98</x:v>
      </x:c>
      <x:c r="D18" s="68" t="s">
        <x:v>163</x:v>
      </x:c>
      <x:c r="E18" s="68"/>
      <x:c r="F18" s="81"/>
      <x:c r="G18" s="99"/>
      <x:c r="H18" s="32"/>
      <x:c r="I18" s="100"/>
      <x:c r="J18" s="99"/>
      <x:c r="K18" s="32">
        <x:v>0.10000000000000001</x:v>
      </x:c>
      <x:c r="L18" s="100"/>
      <x:c r="M18" s="106"/>
      <x:c r="N18" s="112">
        <x:v>1</x:v>
      </x:c>
      <x:c r="O18" s="64">
        <x:v>1</x:v>
      </x:c>
      <x:c r="P18" s="113">
        <x:v>1</x:v>
      </x:c>
      <x:c r="Q18" s="356"/>
      <x:c r="R18" s="213">
        <x:f t="shared" si="1"/>
        <x:v>0.10000000000000001</x:v>
      </x:c>
      <x:c r="S18" s="4">
        <x:f t="shared" si="2"/>
        <x:v>0.10000000000000001</x:v>
      </x:c>
      <x:c r="T18" s="86">
        <x:f>P18*K18</x:f>
        <x:v>0.10000000000000001</x:v>
      </x:c>
      <x:c r="U18" s="337">
        <x:f t="shared" si="0"/>
        <x:v>0.30000000000000004</x:v>
      </x:c>
      <x:c r="V18" s="338"/>
      <x:c r="W18" s="2"/>
      <x:c r="X18" s="2"/>
    </x:row>
    <x:row r="19" spans="1:24">
      <x:c r="A19" s="66"/>
      <x:c r="B19" s="301"/>
      <x:c r="C19" s="75" t="s">
        <x:v>59</x:v>
      </x:c>
      <x:c r="D19" s="68" t="s">
        <x:v>117</x:v>
      </x:c>
      <x:c r="E19" s="68"/>
      <x:c r="F19" s="81"/>
      <x:c r="G19" s="99"/>
      <x:c r="H19" s="32"/>
      <x:c r="I19" s="100"/>
      <x:c r="J19" s="99"/>
      <x:c r="K19" s="32">
        <x:v>0.20000000000000001</x:v>
      </x:c>
      <x:c r="L19" s="100"/>
      <x:c r="M19" s="106"/>
      <x:c r="N19" s="112">
        <x:v>1</x:v>
      </x:c>
      <x:c r="O19" s="64">
        <x:v>1</x:v>
      </x:c>
      <x:c r="P19" s="113">
        <x:v>1</x:v>
      </x:c>
      <x:c r="Q19" s="356"/>
      <x:c r="R19" s="213">
        <x:f t="shared" si="1"/>
        <x:v>0.20000000000000001</x:v>
      </x:c>
      <x:c r="S19" s="4">
        <x:f t="shared" si="2"/>
        <x:v>0.20000000000000001</x:v>
      </x:c>
      <x:c r="T19" s="86">
        <x:f>P19*K19</x:f>
        <x:v>0.20000000000000001</x:v>
      </x:c>
      <x:c r="U19" s="337">
        <x:f t="shared" si="0"/>
        <x:v>0.60000000000000009</x:v>
      </x:c>
      <x:c r="V19" s="338"/>
      <x:c r="W19" s="2"/>
      <x:c r="X19" s="2"/>
    </x:row>
    <x:row r="20" spans="1:24">
      <x:c r="A20" s="66"/>
      <x:c r="B20" s="302"/>
      <x:c r="C20" s="81" t="s">
        <x:v>162</x:v>
      </x:c>
      <x:c r="D20" s="81" t="s">
        <x:v>182</x:v>
      </x:c>
      <x:c r="E20" s="81"/>
      <x:c r="F20" s="81"/>
      <x:c r="G20" s="99"/>
      <x:c r="H20" s="32"/>
      <x:c r="I20" s="100"/>
      <x:c r="J20" s="99"/>
      <x:c r="K20" s="32">
        <x:f>H20*F20</x:f>
        <x:v>0</x:v>
      </x:c>
      <x:c r="L20" s="100"/>
      <x:c r="M20" s="129"/>
      <x:c r="N20" s="130">
        <x:v>1</x:v>
      </x:c>
      <x:c r="O20" s="33">
        <x:v>0</x:v>
      </x:c>
      <x:c r="P20" s="131">
        <x:v>1</x:v>
      </x:c>
      <x:c r="Q20" s="357"/>
      <x:c r="R20" s="219">
        <x:f t="shared" si="1"/>
        <x:v>0</x:v>
      </x:c>
      <x:c r="S20" s="32">
        <x:f t="shared" si="2"/>
        <x:v>0</x:v>
      </x:c>
      <x:c r="T20" s="100">
        <x:f>P20*K20</x:f>
        <x:v>0</x:v>
      </x:c>
      <x:c r="U20" s="337">
        <x:f t="shared" si="0"/>
        <x:v>0</x:v>
      </x:c>
      <x:c r="V20" s="339"/>
      <x:c r="W20" s="2"/>
      <x:c r="X20" s="2"/>
    </x:row>
    <x:row r="21" spans="1:24">
      <x:c r="A21" s="73" t="s">
        <x:v>42</x:v>
      </x:c>
      <x:c r="B21" s="73" t="s">
        <x:v>61</x:v>
      </x:c>
      <x:c r="C21" s="73" t="s">
        <x:v>187</x:v>
      </x:c>
      <x:c r="D21" s="73" t="s">
        <x:v>204</x:v>
      </x:c>
      <x:c r="E21" s="73"/>
      <x:c r="F21" s="73">
        <x:v>3.2999999999999998</x:v>
      </x:c>
      <x:c r="G21" s="91"/>
      <x:c r="H21" s="55">
        <x:f>0.13</x:f>
        <x:v>0.13</x:v>
      </x:c>
      <x:c r="I21" s="92">
        <x:f>1/F21</x:f>
        <x:v>0.30303030303030304</x:v>
      </x:c>
      <x:c r="J21" s="91"/>
      <x:c r="K21" s="24">
        <x:f>H21*F21</x:f>
        <x:v>0.42899999999999999</x:v>
      </x:c>
      <x:c r="L21" s="92">
        <x:f>I21*F21</x:f>
        <x:v>1</x:v>
      </x:c>
      <x:c r="M21" s="117"/>
      <x:c r="N21" s="118">
        <x:v>1</x:v>
      </x:c>
      <x:c r="O21" s="25">
        <x:v>1</x:v>
      </x:c>
      <x:c r="P21" s="119">
        <x:v>1</x:v>
      </x:c>
      <x:c r="Q21" s="352"/>
      <x:c r="R21" s="215">
        <x:f t="shared" si="1"/>
        <x:v>0.42899999999999999</x:v>
      </x:c>
      <x:c r="S21" s="24">
        <x:f t="shared" si="2"/>
        <x:v>0.42899999999999999</x:v>
      </x:c>
      <x:c r="T21" s="92">
        <x:f>P21*L21</x:f>
        <x:v>1</x:v>
      </x:c>
      <x:c r="U21" s="329">
        <x:f t="shared" si="0"/>
        <x:v>1.8580000000000001</x:v>
      </x:c>
      <x:c r="V21" s="330"/>
      <x:c r="W21" s="2"/>
      <x:c r="X21" s="2"/>
    </x:row>
    <x:row r="22" spans="1:24">
      <x:c r="A22" s="296" t="s">
        <x:v>42</x:v>
      </x:c>
      <x:c r="B22" s="76" t="s">
        <x:v>63</x:v>
      </x:c>
      <x:c r="C22" s="73" t="s">
        <x:v>178</x:v>
      </x:c>
      <x:c r="D22" s="73" t="s">
        <x:v>90</x:v>
      </x:c>
      <x:c r="E22" s="73"/>
      <x:c r="F22" s="73">
        <x:v>3.2999999999999998</x:v>
      </x:c>
      <x:c r="G22" s="91"/>
      <x:c r="H22" s="24">
        <x:f>0.04/F22</x:f>
        <x:v>0.012121212121212123</x:v>
      </x:c>
      <x:c r="I22" s="92">
        <x:f>2/F22</x:f>
        <x:v>0.60606060606060608</x:v>
      </x:c>
      <x:c r="J22" s="91"/>
      <x:c r="K22" s="55">
        <x:f>H22*F22</x:f>
        <x:v>0.040000000000000002</x:v>
      </x:c>
      <x:c r="L22" s="92">
        <x:f>I22*F22</x:f>
        <x:v>2</x:v>
      </x:c>
      <x:c r="M22" s="117"/>
      <x:c r="N22" s="118">
        <x:v>0</x:v>
      </x:c>
      <x:c r="O22" s="25">
        <x:v>0</x:v>
      </x:c>
      <x:c r="P22" s="119">
        <x:v>0</x:v>
      </x:c>
      <x:c r="Q22" s="352"/>
      <x:c r="R22" s="215">
        <x:f t="shared" si="1"/>
        <x:v>0</x:v>
      </x:c>
      <x:c r="S22" s="24">
        <x:f t="shared" si="2"/>
        <x:v>0</x:v>
      </x:c>
      <x:c r="T22" s="92">
        <x:f>P22*K22</x:f>
        <x:v>0</x:v>
      </x:c>
      <x:c r="U22" s="329">
        <x:f t="shared" si="0"/>
        <x:v>0</x:v>
      </x:c>
      <x:c r="V22" s="330"/>
      <x:c r="W22" s="2"/>
      <x:c r="X22" s="2"/>
    </x:row>
    <x:row r="23" spans="1:24">
      <x:c r="A23" s="298"/>
      <x:c r="B23" s="71"/>
      <x:c r="C23" s="296" t="s">
        <x:v>104</x:v>
      </x:c>
      <x:c r="D23" s="296" t="s">
        <x:v>139</x:v>
      </x:c>
      <x:c r="E23" s="73" t="s">
        <x:v>196</x:v>
      </x:c>
      <x:c r="F23" s="73">
        <x:v>3.2999999999999998</x:v>
      </x:c>
      <x:c r="G23" s="101">
        <x:v>0.044999999999999996</x:v>
      </x:c>
      <x:c r="H23" s="55">
        <x:v>0.055000000000000004</x:v>
      </x:c>
      <x:c r="I23" s="102">
        <x:v>0.12</x:v>
      </x:c>
      <x:c r="J23" s="91">
        <x:f>F23*G23</x:f>
        <x:v>0.14849999999999999</x:v>
      </x:c>
      <x:c r="K23" s="24">
        <x:f>H23*F23</x:f>
        <x:v>0.18150000000000002</x:v>
      </x:c>
      <x:c r="L23" s="92">
        <x:f>I23*F23</x:f>
        <x:v>0.39599999999999996</x:v>
      </x:c>
      <x:c r="M23" s="117"/>
      <x:c r="N23" s="118">
        <x:v>1</x:v>
      </x:c>
      <x:c r="O23" s="25">
        <x:v>1</x:v>
      </x:c>
      <x:c r="P23" s="119">
        <x:v>1</x:v>
      </x:c>
      <x:c r="Q23" s="352"/>
      <x:c r="R23" s="215">
        <x:f t="shared" si="1"/>
        <x:v>0.18150000000000002</x:v>
      </x:c>
      <x:c r="S23" s="24">
        <x:f>O23*L23</x:f>
        <x:v>0.39599999999999996</x:v>
      </x:c>
      <x:c r="T23" s="92">
        <x:f>P23*K23</x:f>
        <x:v>0.18150000000000002</x:v>
      </x:c>
      <x:c r="U23" s="329">
        <x:f t="shared" si="0"/>
        <x:v>0.75900000000000001</x:v>
      </x:c>
      <x:c r="V23" s="330"/>
      <x:c r="W23" s="2"/>
      <x:c r="X23" s="2"/>
    </x:row>
    <x:row r="24" spans="1:24" ht="15" customHeight="1">
      <x:c r="A24" s="298"/>
      <x:c r="B24" s="71"/>
      <x:c r="C24" s="297"/>
      <x:c r="D24" s="297"/>
      <x:c r="E24" s="73" t="s">
        <x:v>199</x:v>
      </x:c>
      <x:c r="F24" s="73">
        <x:v>3.2999999999999998</x:v>
      </x:c>
      <x:c r="G24" s="101">
        <x:v>0.59999999999999998</x:v>
      </x:c>
      <x:c r="H24" s="24"/>
      <x:c r="I24" s="92">
        <x:v>1</x:v>
      </x:c>
      <x:c r="J24" s="91">
        <x:f>F24*G24</x:f>
        <x:v>1.9799999999999998</x:v>
      </x:c>
      <x:c r="K24" s="24"/>
      <x:c r="L24" s="92">
        <x:f>I24*F24</x:f>
        <x:v>3.2999999999999998</x:v>
      </x:c>
      <x:c r="M24" s="117"/>
      <x:c r="N24" s="118">
        <x:f>1-N23</x:f>
        <x:v>0</x:v>
      </x:c>
      <x:c r="O24" s="25">
        <x:f>1-O23</x:f>
        <x:v>0</x:v>
      </x:c>
      <x:c r="P24" s="119">
        <x:f>1-P23</x:f>
        <x:v>0</x:v>
      </x:c>
      <x:c r="Q24" s="352"/>
      <x:c r="R24" s="215">
        <x:f t="shared" si="1"/>
        <x:v>0</x:v>
      </x:c>
      <x:c r="S24" s="24">
        <x:f>O24*K24</x:f>
        <x:v>0</x:v>
      </x:c>
      <x:c r="T24" s="92">
        <x:f>P24*K24</x:f>
        <x:v>0</x:v>
      </x:c>
      <x:c r="U24" s="329">
        <x:f t="shared" si="0"/>
        <x:v>0</x:v>
      </x:c>
      <x:c r="V24" s="330"/>
      <x:c r="W24" s="2"/>
      <x:c r="X24" s="2"/>
    </x:row>
    <x:row r="25" spans="1:25" ht="13.949999999999999">
      <x:c r="A25" s="74" t="s">
        <x:v>186</x:v>
      </x:c>
      <x:c r="B25" s="74"/>
      <x:c r="C25" s="82" t="s">
        <x:v>181</x:v>
      </x:c>
      <x:c r="D25" s="82" t="s">
        <x:v>156</x:v>
      </x:c>
      <x:c r="E25" s="82" t="s">
        <x:v>199</x:v>
      </x:c>
      <x:c r="F25" s="82">
        <x:v>5</x:v>
      </x:c>
      <x:c r="G25" s="103">
        <x:f>J25/5</x:f>
        <x:v>0.122</x:v>
      </x:c>
      <x:c r="H25" s="104">
        <x:f>K25/5</x:f>
        <x:v>0.54000000000000004</x:v>
      </x:c>
      <x:c r="I25" s="105">
        <x:f>L25/5</x:f>
        <x:v>1</x:v>
      </x:c>
      <x:c r="J25" s="107">
        <x:v>0.60999999999999999</x:v>
      </x:c>
      <x:c r="K25" s="108">
        <x:v>2.7000000000000002</x:v>
      </x:c>
      <x:c r="L25" s="109">
        <x:v>5</x:v>
      </x:c>
      <x:c r="M25" s="120"/>
      <x:c r="N25" s="132">
        <x:v>0</x:v>
      </x:c>
      <x:c r="O25" s="133">
        <x:v>0</x:v>
      </x:c>
      <x:c r="P25" s="134">
        <x:v>1</x:v>
      </x:c>
      <x:c r="Q25" s="353"/>
      <x:c r="R25" s="216">
        <x:f t="shared" si="1"/>
        <x:v>0</x:v>
      </x:c>
      <x:c r="S25" s="26">
        <x:f>O25*K25</x:f>
        <x:v>0</x:v>
      </x:c>
      <x:c r="T25" s="94">
        <x:f>P25*L25</x:f>
        <x:v>5</x:v>
      </x:c>
      <x:c r="U25" s="331">
        <x:f t="shared" si="0"/>
        <x:v>5</x:v>
      </x:c>
      <x:c r="V25" s="332"/>
      <x:c r="W25" s="2"/>
      <x:c r="Y25" s="3"/>
    </x:row>
    <x:row r="26" spans="2:24">
      <x:c r="B26" s="5"/>
      <x:c r="C26" s="5"/>
      <x:c r="D26" s="5"/>
      <x:c r="E26" s="5"/>
      <x:c r="F26" s="5"/>
      <x:c r="G26" s="106"/>
      <x:c r="H26" s="106"/>
      <x:c r="I26" s="106"/>
      <x:c r="J26" s="106"/>
      <x:c r="K26" s="106"/>
      <x:c r="L26" s="2"/>
      <x:c r="M26" s="12"/>
      <x:c r="Q26" s="358" t="s">
        <x:v>209</x:v>
      </x:c>
      <x:c r="R26" s="217">
        <x:f>SUM(R5:R25)/Y15</x:f>
        <x:v>4.1661111111111122</x:v>
      </x:c>
      <x:c r="S26" s="9">
        <x:f>SUM(S5:S25)/Y15</x:f>
        <x:v>4.4044444444444446</x:v>
      </x:c>
      <x:c r="T26" s="96">
        <x:f>SUM(T5:T25)/Y15</x:f>
        <x:v>18.239444444444445</x:v>
      </x:c>
      <x:c r="U26" s="340">
        <x:f>SUM(R26+S26+T26)</x:f>
        <x:v>26.810000000000002</x:v>
      </x:c>
      <x:c r="V26" s="341" t="s">
        <x:v>203</x:v>
      </x:c>
      <x:c r="W26" s="3" t="s">
        <x:v>159</x:v>
      </x:c>
      <x:c r="X26" s="2"/>
    </x:row>
    <x:row r="27" spans="2:24">
      <x:c r="B27" s="5"/>
      <x:c r="C27" s="5"/>
      <x:c r="D27" s="5"/>
      <x:c r="E27" s="5"/>
      <x:c r="F27" s="5"/>
      <x:c r="G27" s="6"/>
      <x:c r="H27" s="6"/>
      <x:c r="I27" s="6"/>
      <x:c r="J27" s="6"/>
      <x:c r="K27" s="6"/>
      <x:c r="L27" s="2"/>
      <x:c r="M27" s="7"/>
      <x:c r="Q27" s="358" t="s">
        <x:v>150</x:v>
      </x:c>
      <x:c r="R27" s="359">
        <x:f>1.135*20*N4/3600</x:f>
        <x:v>18.747149233302121</x:v>
      </x:c>
      <x:c r="S27" s="23">
        <x:v>0</x:v>
      </x:c>
      <x:c r="T27" s="360">
        <x:v>0</x:v>
      </x:c>
      <x:c r="U27" s="340">
        <x:f t="shared" ref="U27:U32" si="4">SUM(R27+S27+T27)</x:f>
        <x:v>18.747149233302121</x:v>
      </x:c>
      <x:c r="V27" s="341" t="s">
        <x:v>188</x:v>
      </x:c>
      <x:c r="W27" s="8"/>
      <x:c r="X27" s="2"/>
    </x:row>
    <x:row r="28" spans="12:24">
      <x:c r="L28" s="2"/>
      <x:c r="M28" s="7"/>
      <x:c r="Q28" s="358" t="s">
        <x:v>217</x:v>
      </x:c>
      <x:c r="R28" s="361">
        <x:f>R26*N4/3600</x:f>
        <x:v>3.4406478732386843</x:v>
      </x:c>
      <x:c r="S28" s="11">
        <x:f>S26*O4/3600</x:f>
        <x:v>2.4748924597893458</x:v>
      </x:c>
      <x:c r="T28" s="362">
        <x:f>T26*P4/3600</x:f>
        <x:v>3.4502949074074074</x:v>
      </x:c>
      <x:c r="U28" s="340">
        <x:f t="shared" si="4"/>
        <x:v>9.3658352404354375</x:v>
      </x:c>
      <x:c r="V28" s="341" t="s">
        <x:v>188</x:v>
      </x:c>
      <x:c r="W28" s="8"/>
      <x:c r="X28" s="2"/>
    </x:row>
    <x:row r="29" spans="12:24">
      <x:c r="L29" s="2"/>
      <x:c r="M29" s="7"/>
      <x:c r="Q29" s="358" t="s">
        <x:v>151</x:v>
      </x:c>
      <x:c r="R29" s="363">
        <x:f>U27-U28</x:f>
        <x:v>9.3813139928666835</x:v>
      </x:c>
      <x:c r="S29" s="11"/>
      <x:c r="T29" s="362"/>
      <x:c r="U29" s="340">
        <x:f t="shared" si="4"/>
        <x:v>9.3813139928666835</x:v>
      </x:c>
      <x:c r="V29" s="341" t="s">
        <x:v>188</x:v>
      </x:c>
      <x:c r="X29" s="2"/>
    </x:row>
    <x:row r="30" spans="12:24">
      <x:c r="L30" s="2"/>
      <x:c r="M30" s="7"/>
      <x:c r="Q30" s="358" t="s">
        <x:v>154</x:v>
      </x:c>
      <x:c r="R30" s="364">
        <x:f>100*($U$27/U28-1)</x:f>
        <x:v>100.16526825460713</x:v>
      </x:c>
      <x:c r="S30" s="11"/>
      <x:c r="T30" s="362"/>
      <x:c r="U30" s="340">
        <x:f t="shared" si="4"/>
        <x:v>100.16526825460713</x:v>
      </x:c>
      <x:c r="V30" s="341" t="s">
        <x:v>189</x:v>
      </x:c>
      <x:c r="X30" s="2"/>
    </x:row>
    <x:row r="31" spans="12:24">
      <x:c r="L31" s="2"/>
      <x:c r="M31" s="7"/>
      <x:c r="Q31" s="358" t="s">
        <x:v>118</x:v>
      </x:c>
      <x:c r="R31" s="364">
        <x:f>U29/$U$27*100</x:f>
        <x:v>50.041282949846448</x:v>
      </x:c>
      <x:c r="S31" s="11"/>
      <x:c r="T31" s="362"/>
      <x:c r="U31" s="340">
        <x:f t="shared" si="4"/>
        <x:v>50.041282949846448</x:v>
      </x:c>
      <x:c r="V31" s="341" t="s">
        <x:v>189</x:v>
      </x:c>
      <x:c r="W31" s="30" t="s">
        <x:v>76</x:v>
      </x:c>
      <x:c r="X31" s="2"/>
    </x:row>
    <x:row r="32" spans="12:24" ht="13.949999999999999">
      <x:c r="L32" s="2"/>
      <x:c r="M32" s="7"/>
      <x:c r="Q32" s="365" t="s">
        <x:v>126</x:v>
      </x:c>
      <x:c r="R32" s="366">
        <x:f>(R27-R28)/40*100</x:f>
        <x:v>38.26625340015859</x:v>
      </x:c>
      <x:c r="S32" s="140">
        <x:f>(S27-S28)/40*100</x:f>
        <x:v>-6.1872311494733641</x:v>
      </x:c>
      <x:c r="T32" s="367">
        <x:f>(T27-T28)/40*100</x:f>
        <x:v>-8.6257372685185185</x:v>
      </x:c>
      <x:c r="U32" s="342">
        <x:f t="shared" si="4"/>
        <x:v>23.453284982166707</x:v>
      </x:c>
      <x:c r="V32" s="343" t="s">
        <x:v>189</x:v>
      </x:c>
      <x:c r="X32" s="2"/>
    </x:row>
    <x:row r="33" spans="12:24">
      <x:c r="L33" s="2"/>
      <x:c r="M33" s="7"/>
      <x:c r="X33" s="2"/>
    </x:row>
    <x:row r="34" spans="12:24">
      <x:c r="L34" s="2"/>
      <x:c r="M34" s="7"/>
      <x:c r="X34" s="2"/>
    </x:row>
    <x:row r="41" spans="17:19">
      <x:c r="Q41" s="12"/>
      <x:c r="R41" s="12"/>
      <x:c r="S41" s="12"/>
    </x:row>
    <x:row r="42" spans="17:19">
      <x:c r="Q42" s="12"/>
      <x:c r="R42" s="12"/>
      <x:c r="S42" s="12"/>
    </x:row>
    <x:row r="43" spans="15:19">
      <x:c r="O43" s="12"/>
      <x:c r="P43" s="12"/>
      <x:c r="Q43" s="12"/>
      <x:c r="R43" s="12"/>
      <x:c r="S43" s="12"/>
    </x:row>
    <x:row r="44" spans="15:19">
      <x:c r="O44" s="12"/>
      <x:c r="P44" s="12"/>
      <x:c r="Q44" s="12"/>
      <x:c r="R44" s="12"/>
      <x:c r="S44" s="12"/>
    </x:row>
    <x:row r="45" spans="15:19">
      <x:c r="O45" s="12"/>
      <x:c r="P45" s="12"/>
      <x:c r="Q45" s="12"/>
      <x:c r="R45" s="12"/>
      <x:c r="S45" s="12"/>
    </x:row>
    <x:row r="46" spans="15:19">
      <x:c r="O46" s="12"/>
      <x:c r="P46" s="12"/>
      <x:c r="Q46" s="12"/>
      <x:c r="R46" s="12"/>
      <x:c r="S46" s="12"/>
    </x:row>
    <x:row r="47" spans="15:19">
      <x:c r="O47" s="12"/>
      <x:c r="P47" s="12"/>
      <x:c r="Q47" s="12"/>
      <x:c r="R47" s="12"/>
      <x:c r="S47" s="12"/>
    </x:row>
    <x:row r="48" spans="15:19">
      <x:c r="O48" s="12"/>
      <x:c r="P48" s="12"/>
      <x:c r="Q48" s="12"/>
      <x:c r="R48" s="12"/>
      <x:c r="S48" s="12"/>
    </x:row>
    <x:row r="49" spans="15:19">
      <x:c r="O49" s="12"/>
      <x:c r="P49" s="12"/>
      <x:c r="Q49" s="12"/>
      <x:c r="R49" s="12"/>
      <x:c r="S49" s="12"/>
    </x:row>
    <x:row r="50" spans="15:19">
      <x:c r="O50" s="12"/>
      <x:c r="P50" s="12"/>
      <x:c r="Q50" s="12"/>
      <x:c r="R50" s="12"/>
      <x:c r="S50" s="12"/>
    </x:row>
    <x:row r="51" spans="15:16">
      <x:c r="O51" s="12"/>
      <x:c r="P51" s="12"/>
    </x:row>
    <x:row r="52" spans="15:16">
      <x:c r="O52" s="12"/>
      <x:c r="P52" s="12"/>
    </x:row>
  </x:sheetData>
  <x:mergeCells count="11">
    <x:mergeCell ref="G2:I2"/>
    <x:mergeCell ref="J2:L2"/>
    <x:mergeCell ref="N2:P2"/>
    <x:mergeCell ref="C23:C24"/>
    <x:mergeCell ref="D23:D24"/>
    <x:mergeCell ref="A9:A10"/>
    <x:mergeCell ref="A11:A12"/>
    <x:mergeCell ref="A13:A14"/>
    <x:mergeCell ref="A22:A24"/>
    <x:mergeCell ref="B18:B20"/>
    <x:mergeCell ref="Q2:V2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2:Y52"/>
  <x:sheetViews>
    <x:sheetView tabSelected="1" topLeftCell="A1" zoomScaleNormal="100" zoomScaleSheetLayoutView="75" workbookViewId="0">
      <x:pane xSplit="4" ySplit="3" topLeftCell="E4" activePane="bottomRight" state="frozen"/>
      <x:selection pane="bottomRight" activeCell="W37" activeCellId="0" sqref="W37:W37"/>
    </x:sheetView>
  </x:sheetViews>
  <x:sheetFormatPr defaultColWidth="9.15234375" defaultRowHeight="13.550000000000001"/>
  <x:cols>
    <x:col min="1" max="1" width="9.15234375" style="2"/>
    <x:col min="2" max="2" width="10.765625" style="2" bestFit="1" customWidth="1"/>
    <x:col min="3" max="3" width="16.3828125" style="2" bestFit="1" customWidth="1"/>
    <x:col min="4" max="4" width="31" style="2" bestFit="1" customWidth="1"/>
    <x:col min="5" max="5" width="17" style="2" bestFit="1" customWidth="1"/>
    <x:col min="6" max="6" width="15.23046875" style="2" bestFit="1" customWidth="1"/>
    <x:col min="7" max="12" width="10.84375" style="3" bestFit="1" customWidth="1"/>
    <x:col min="13" max="13" width="10.84375" style="3" customWidth="1"/>
    <x:col min="14" max="15" width="15.765625" style="3" customWidth="1"/>
    <x:col min="16" max="16" width="22" style="3" customWidth="1"/>
    <x:col min="17" max="17" width="35" style="3" customWidth="1"/>
    <x:col min="18" max="18" width="13.3828125" style="3" bestFit="1" customWidth="1"/>
    <x:col min="19" max="19" width="14.23046875" style="3" customWidth="1"/>
    <x:col min="20" max="20" width="11.75" style="3" customWidth="1"/>
    <x:col min="21" max="21" width="8" style="3" customWidth="1"/>
    <x:col min="22" max="22" width="11.75" style="3" customWidth="1"/>
    <x:col min="23" max="23" width="17.15234375" style="3" customWidth="1"/>
    <x:col min="24" max="24" width="25.765625" style="3" bestFit="1" customWidth="1"/>
    <x:col min="25" max="25" width="12.84375" style="2" bestFit="1" customWidth="1"/>
    <x:col min="26" max="26" width="24.61328125" style="2" bestFit="1" customWidth="1"/>
    <x:col min="27" max="27" width="13.15234375" style="2" bestFit="1" customWidth="1"/>
    <x:col min="28" max="16384" width="9.15234375" style="2"/>
  </x:cols>
  <x:sheetData>
    <x:row r="2" spans="1:25" ht="13.949999999999999" customHeight="1">
      <x:c r="A2" s="147" t="s">
        <x:v>83</x:v>
      </x:c>
      <x:c r="B2" s="147" t="s">
        <x:v>164</x:v>
      </x:c>
      <x:c r="C2" s="147" t="s">
        <x:v>172</x:v>
      </x:c>
      <x:c r="D2" s="147" t="s">
        <x:v>85</x:v>
      </x:c>
      <x:c r="E2" s="147" t="s">
        <x:v>57</x:v>
      </x:c>
      <x:c r="F2" s="147" t="s">
        <x:v>137</x:v>
      </x:c>
      <x:c r="G2" s="290" t="s">
        <x:v>166</x:v>
      </x:c>
      <x:c r="H2" s="291"/>
      <x:c r="I2" s="292"/>
      <x:c r="J2" s="290" t="s">
        <x:v>89</x:v>
      </x:c>
      <x:c r="K2" s="291"/>
      <x:c r="L2" s="292"/>
      <x:c r="M2" s="6"/>
      <x:c r="N2" s="293" t="s">
        <x:v>73</x:v>
      </x:c>
      <x:c r="O2" s="295"/>
      <x:c r="Q2" s="293" t="s">
        <x:v>211</x:v>
      </x:c>
      <x:c r="R2" s="303"/>
      <x:c r="S2" s="303"/>
      <x:c r="T2" s="303"/>
      <x:c r="U2" s="295"/>
      <x:c r="X2" s="275" t="s">
        <x:v>88</x:v>
      </x:c>
      <x:c r="Y2" s="193"/>
    </x:row>
    <x:row r="3" spans="1:25" ht="14.300000000000001">
      <x:c r="A3" s="66"/>
      <x:c r="B3" s="148"/>
      <x:c r="C3" s="148"/>
      <x:c r="D3" s="149"/>
      <x:c r="E3" s="149"/>
      <x:c r="F3" s="148"/>
      <x:c r="G3" s="172" t="s">
        <x:v>60</x:v>
      </x:c>
      <x:c r="H3" s="173" t="s">
        <x:v>82</x:v>
      </x:c>
      <x:c r="I3" s="174" t="s">
        <x:v>91</x:v>
      </x:c>
      <x:c r="J3" s="172" t="s">
        <x:v>55</x:v>
      </x:c>
      <x:c r="K3" s="173" t="s">
        <x:v>82</x:v>
      </x:c>
      <x:c r="L3" s="174" t="s">
        <x:v>91</x:v>
      </x:c>
      <x:c r="M3" s="6" t="s">
        <x:v>57</x:v>
      </x:c>
      <x:c r="N3" s="172" t="s">
        <x:v>169</x:v>
      </x:c>
      <x:c r="O3" s="174" t="s">
        <x:v>177</x:v>
      </x:c>
      <x:c r="Q3" s="375"/>
      <x:c r="R3" s="376" t="s">
        <x:v>169</x:v>
      </x:c>
      <x:c r="S3" s="377" t="s">
        <x:v>177</x:v>
      </x:c>
      <x:c r="T3" s="373" t="s">
        <x:v>64</x:v>
      </x:c>
      <x:c r="U3" s="193"/>
      <x:c r="X3" s="142" t="s">
        <x:v>141</x:v>
      </x:c>
      <x:c r="Y3" s="143">
        <x:f>parameter!C8</x:f>
        <x:v>5676.9848887954295</x:v>
      </x:c>
    </x:row>
    <x:row r="4" spans="1:25" ht="14.300000000000001">
      <x:c r="A4" s="66"/>
      <x:c r="B4" s="75"/>
      <x:c r="C4" s="75"/>
      <x:c r="D4" s="68"/>
      <x:c r="E4" s="68"/>
      <x:c r="F4" s="75"/>
      <x:c r="G4" s="262"/>
      <x:c r="H4" s="257"/>
      <x:c r="I4" s="265"/>
      <x:c r="J4" s="262"/>
      <x:c r="K4" s="257"/>
      <x:c r="L4" s="265"/>
      <x:c r="M4" s="110" t="s">
        <x:v>72</x:v>
      </x:c>
      <x:c r="N4" s="266">
        <x:f>Y6</x:f>
        <x:v>3654.1161779686181</x:v>
      </x:c>
      <x:c r="O4" s="268">
        <x:f>Y7</x:f>
        <x:v>2022.8687108268114</x:v>
      </x:c>
      <x:c r="Q4" s="378"/>
      <x:c r="R4" s="85"/>
      <x:c r="S4" s="86"/>
      <x:c r="T4" s="320"/>
      <x:c r="U4" s="136"/>
      <x:c r="X4" s="142" t="s">
        <x:v>138</x:v>
      </x:c>
      <x:c r="Y4" s="143">
        <x:v>681</x:v>
      </x:c>
    </x:row>
    <x:row r="5" spans="1:25">
      <x:c r="A5" s="67" t="s">
        <x:v>52</x:v>
      </x:c>
      <x:c r="B5" s="67" t="s">
        <x:v>81</x:v>
      </x:c>
      <x:c r="C5" s="67"/>
      <x:c r="D5" s="67"/>
      <x:c r="E5" s="67"/>
      <x:c r="F5" s="67">
        <x:v>5</x:v>
      </x:c>
      <x:c r="G5" s="87"/>
      <x:c r="H5" s="65">
        <x:f>K5/F5</x:f>
        <x:v>0.040000000000000002</x:v>
      </x:c>
      <x:c r="I5" s="88"/>
      <x:c r="J5" s="87"/>
      <x:c r="K5" s="65">
        <x:v>0.20000000000000001</x:v>
      </x:c>
      <x:c r="L5" s="88"/>
      <x:c r="M5" s="111"/>
      <x:c r="N5" s="269">
        <x:v>0</x:v>
      </x:c>
      <x:c r="O5" s="271">
        <x:v>0</x:v>
      </x:c>
      <x:c r="Q5" s="345"/>
      <x:c r="R5" s="346">
        <x:f>N5*K5</x:f>
        <x:v>0</x:v>
      </x:c>
      <x:c r="S5" s="88">
        <x:f>O5*K5</x:f>
        <x:v>0</x:v>
      </x:c>
      <x:c r="T5" s="321">
        <x:f>SUM(Q5+R5+S5)</x:f>
        <x:v>0</x:v>
      </x:c>
      <x:c r="U5" s="322"/>
      <x:c r="X5" s="142" t="s">
        <x:v>128</x:v>
      </x:c>
      <x:c r="Y5" s="143">
        <x:v>661</x:v>
      </x:c>
    </x:row>
    <x:row r="6" spans="1:25">
      <x:c r="A6" s="200" t="s">
        <x:v>106</x:v>
      </x:c>
      <x:c r="B6" s="200" t="s">
        <x:v>46</x:v>
      </x:c>
      <x:c r="C6" s="200"/>
      <x:c r="D6" s="183"/>
      <x:c r="E6" s="183"/>
      <x:c r="F6" s="183">
        <x:v>5</x:v>
      </x:c>
      <x:c r="G6" s="184"/>
      <x:c r="H6" s="185">
        <x:f>K6/F6</x:f>
        <x:v>0.040000000000000002</x:v>
      </x:c>
      <x:c r="I6" s="186">
        <x:f>L6/F6</x:f>
        <x:v>0.40000000000000002</x:v>
      </x:c>
      <x:c r="J6" s="184"/>
      <x:c r="K6" s="185">
        <x:v>0.20000000000000001</x:v>
      </x:c>
      <x:c r="L6" s="186">
        <x:v>2</x:v>
      </x:c>
      <x:c r="M6" s="202"/>
      <x:c r="N6" s="207">
        <x:v>0</x:v>
      </x:c>
      <x:c r="O6" s="210">
        <x:v>0</x:v>
      </x:c>
      <x:c r="Q6" s="347"/>
      <x:c r="R6" s="348">
        <x:f>N6*K6</x:f>
        <x:v>0</x:v>
      </x:c>
      <x:c r="S6" s="253">
        <x:f>O6*K6</x:f>
        <x:v>0</x:v>
      </x:c>
      <x:c r="T6" s="323">
        <x:f t="shared" ref="T6:T25" si="0">SUM(Q6+R6+S6)</x:f>
        <x:v>0</x:v>
      </x:c>
      <x:c r="U6" s="374"/>
      <x:c r="X6" s="142" t="s">
        <x:v>175</x:v>
      </x:c>
      <x:c r="Y6" s="143">
        <x:f>parameter!C10</x:f>
        <x:v>3654.1161779686181</x:v>
      </x:c>
    </x:row>
    <x:row r="7" spans="1:25">
      <x:c r="A7" s="198" t="s">
        <x:v>50</x:v>
      </x:c>
      <x:c r="B7" s="198"/>
      <x:c r="C7" s="198"/>
      <x:c r="D7" s="181"/>
      <x:c r="E7" s="180"/>
      <x:c r="F7" s="180">
        <x:v>3.2999999999999998</x:v>
      </x:c>
      <x:c r="G7" s="228"/>
      <x:c r="H7" s="222">
        <x:f>K7/F7</x:f>
        <x:v>0.060606060606060615</x:v>
      </x:c>
      <x:c r="I7" s="223">
        <x:f>L7/F7</x:f>
        <x:v>0.60606060606060608</x:v>
      </x:c>
      <x:c r="J7" s="228"/>
      <x:c r="K7" s="182">
        <x:v>0.20000000000000001</x:v>
      </x:c>
      <x:c r="L7" s="201">
        <x:v>2</x:v>
      </x:c>
      <x:c r="M7" s="181"/>
      <x:c r="N7" s="208">
        <x:v>0</x:v>
      </x:c>
      <x:c r="O7" s="252">
        <x:v>0</x:v>
      </x:c>
      <x:c r="Q7" s="349"/>
      <x:c r="R7" s="350">
        <x:f>N7*K7</x:f>
        <x:v>0</x:v>
      </x:c>
      <x:c r="S7" s="201">
        <x:f>O7*K7</x:f>
        <x:v>0</x:v>
      </x:c>
      <x:c r="T7" s="325">
        <x:f t="shared" si="0"/>
        <x:v>0</x:v>
      </x:c>
      <x:c r="U7" s="326"/>
      <x:c r="X7" s="142" t="s">
        <x:v>113</x:v>
      </x:c>
      <x:c r="Y7" s="143">
        <x:f>parameter!C11</x:f>
        <x:v>2022.8687108268114</x:v>
      </x:c>
    </x:row>
    <x:row r="8" spans="1:25">
      <x:c r="A8" s="69" t="s">
        <x:v>87</x:v>
      </x:c>
      <x:c r="B8" s="69" t="s">
        <x:v>66</x:v>
      </x:c>
      <x:c r="C8" s="69" t="s">
        <x:v>193</x:v>
      </x:c>
      <x:c r="D8" s="69" t="s">
        <x:v>133</x:v>
      </x:c>
      <x:c r="E8" s="69"/>
      <x:c r="F8" s="69">
        <x:v>3.2999999999999998</x:v>
      </x:c>
      <x:c r="G8" s="89">
        <x:v>0.115</x:v>
      </x:c>
      <x:c r="H8" s="61">
        <x:v>0.24199999999999999</x:v>
      </x:c>
      <x:c r="I8" s="90">
        <x:v>0.39400000000000002</x:v>
      </x:c>
      <x:c r="J8" s="89">
        <x:f>F8*G8</x:f>
        <x:v>0.3795</x:v>
      </x:c>
      <x:c r="K8" s="62">
        <x:v>0.80000000000000004</x:v>
      </x:c>
      <x:c r="L8" s="90">
        <x:f>I8*F8</x:f>
        <x:v>1.3002</x:v>
      </x:c>
      <x:c r="M8" s="114"/>
      <x:c r="N8" s="115">
        <x:v>0</x:v>
      </x:c>
      <x:c r="O8" s="116">
        <x:v>0</x:v>
      </x:c>
      <x:c r="Q8" s="351"/>
      <x:c r="R8" s="214">
        <x:f t="shared" ref="R8:R25" si="1">N8*K8</x:f>
        <x:v>0</x:v>
      </x:c>
      <x:c r="S8" s="90">
        <x:f t="shared" ref="S8:S22" si="2">O8*K8</x:f>
        <x:v>0</x:v>
      </x:c>
      <x:c r="T8" s="327">
        <x:f t="shared" si="0"/>
        <x:v>0</x:v>
      </x:c>
      <x:c r="U8" s="328"/>
      <x:c r="X8" s="142" t="s">
        <x:v>212</x:v>
      </x:c>
      <x:c r="Y8" s="143">
        <x:v>0.29999999999999999</x:v>
      </x:c>
    </x:row>
    <x:row r="9" spans="1:25">
      <x:c r="A9" s="296" t="s">
        <x:v>42</x:v>
      </x:c>
      <x:c r="B9" s="76" t="s">
        <x:v>56</x:v>
      </x:c>
      <x:c r="C9" s="78" t="s">
        <x:v>184</x:v>
      </x:c>
      <x:c r="D9" s="73" t="s">
        <x:v>135</x:v>
      </x:c>
      <x:c r="E9" s="73"/>
      <x:c r="F9" s="73">
        <x:v>3.2999999999999998</x:v>
      </x:c>
      <x:c r="G9" s="91"/>
      <x:c r="H9" s="24">
        <x:f>0.12/F9</x:f>
        <x:v>0.036363636363636362</x:v>
      </x:c>
      <x:c r="I9" s="92">
        <x:f>0.2/F9</x:f>
        <x:v>0.060606060606060615</x:v>
      </x:c>
      <x:c r="J9" s="91"/>
      <x:c r="K9" s="55">
        <x:f t="shared" ref="K9:K16" si="3">H9*F9</x:f>
        <x:v>0.11999999999999998</x:v>
      </x:c>
      <x:c r="L9" s="92">
        <x:f>I9*F9</x:f>
        <x:v>0.20000000000000001</x:v>
      </x:c>
      <x:c r="M9" s="117"/>
      <x:c r="N9" s="118">
        <x:v>1</x:v>
      </x:c>
      <x:c r="O9" s="119">
        <x:v>1</x:v>
      </x:c>
      <x:c r="Q9" s="352"/>
      <x:c r="R9" s="215">
        <x:f>N9*K9</x:f>
        <x:v>0.11999999999999998</x:v>
      </x:c>
      <x:c r="S9" s="92">
        <x:f t="shared" si="2"/>
        <x:v>0.11999999999999998</x:v>
      </x:c>
      <x:c r="T9" s="329">
        <x:f t="shared" si="0"/>
        <x:v>0.23999999999999996</x:v>
      </x:c>
      <x:c r="U9" s="330"/>
      <x:c r="X9" s="142" t="s">
        <x:v>79</x:v>
      </x:c>
      <x:c r="Y9" s="143">
        <x:v>0.59999999999999998</x:v>
      </x:c>
    </x:row>
    <x:row r="10" spans="1:25">
      <x:c r="A10" s="298"/>
      <x:c r="B10" s="71"/>
      <x:c r="C10" s="71"/>
      <x:c r="D10" s="73" t="s">
        <x:v>123</x:v>
      </x:c>
      <x:c r="E10" s="73"/>
      <x:c r="F10" s="73">
        <x:v>3.2999999999999998</x:v>
      </x:c>
      <x:c r="G10" s="91"/>
      <x:c r="H10" s="24">
        <x:f>0.2/F10</x:f>
        <x:v>0.060606060606060615</x:v>
      </x:c>
      <x:c r="I10" s="92">
        <x:f>0.4/F10</x:f>
        <x:v>0.12121212121212123</x:v>
      </x:c>
      <x:c r="J10" s="91"/>
      <x:c r="K10" s="55">
        <x:f t="shared" si="3"/>
        <x:v>0.20000000000000001</x:v>
      </x:c>
      <x:c r="L10" s="92">
        <x:f>I10*F10</x:f>
        <x:v>0.40000000000000002</x:v>
      </x:c>
      <x:c r="M10" s="117"/>
      <x:c r="N10" s="118">
        <x:v>1</x:v>
      </x:c>
      <x:c r="O10" s="119">
        <x:v>0.5</x:v>
      </x:c>
      <x:c r="Q10" s="352"/>
      <x:c r="R10" s="215">
        <x:f>N10*K10</x:f>
        <x:v>0.20000000000000001</x:v>
      </x:c>
      <x:c r="S10" s="92">
        <x:f t="shared" si="2"/>
        <x:v>0.10000000000000001</x:v>
      </x:c>
      <x:c r="T10" s="329">
        <x:f t="shared" si="0"/>
        <x:v>0.30000000000000004</x:v>
      </x:c>
      <x:c r="U10" s="330"/>
      <x:c r="X10" s="142" t="s">
        <x:v>44</x:v>
      </x:c>
      <x:c r="Y10" s="143">
        <x:v>0.80000000000000004</x:v>
      </x:c>
    </x:row>
    <x:row r="11" spans="1:25">
      <x:c r="A11" s="299" t="s">
        <x:v>186</x:v>
      </x:c>
      <x:c r="B11" s="77"/>
      <x:c r="C11" s="77"/>
      <x:c r="D11" s="83" t="s">
        <x:v>121</x:v>
      </x:c>
      <x:c r="E11" s="83"/>
      <x:c r="F11" s="83">
        <x:v>5</x:v>
      </x:c>
      <x:c r="G11" s="93"/>
      <x:c r="H11" s="56">
        <x:f>0.07*5/5</x:f>
        <x:v>0.070000000000000007</x:v>
      </x:c>
      <x:c r="I11" s="94">
        <x:f>0.167*5/5</x:f>
        <x:v>0.16700000000000001</x:v>
      </x:c>
      <x:c r="J11" s="93"/>
      <x:c r="K11" s="26">
        <x:f>H11*F11</x:f>
        <x:v>0.35000000000000003</x:v>
      </x:c>
      <x:c r="L11" s="94">
        <x:f>I11*F11</x:f>
        <x:v>0.83500000000000008</x:v>
      </x:c>
      <x:c r="M11" s="120"/>
      <x:c r="N11" s="121">
        <x:v>1</x:v>
      </x:c>
      <x:c r="O11" s="122">
        <x:v>1</x:v>
      </x:c>
      <x:c r="Q11" s="353"/>
      <x:c r="R11" s="216">
        <x:f t="shared" si="1"/>
        <x:v>0.35000000000000003</x:v>
      </x:c>
      <x:c r="S11" s="94">
        <x:f t="shared" si="2"/>
        <x:v>0.35000000000000003</x:v>
      </x:c>
      <x:c r="T11" s="331">
        <x:f t="shared" si="0"/>
        <x:v>0.70000000000000007</x:v>
      </x:c>
      <x:c r="U11" s="332"/>
      <x:c r="X11" s="142" t="s">
        <x:v>96</x:v>
      </x:c>
      <x:c r="Y11" s="143">
        <x:v>0.80000000000000004</x:v>
      </x:c>
    </x:row>
    <x:row r="12" spans="1:25">
      <x:c r="A12" s="299"/>
      <x:c r="B12" s="77"/>
      <x:c r="C12" s="77"/>
      <x:c r="D12" s="83" t="s">
        <x:v>116</x:v>
      </x:c>
      <x:c r="E12" s="83"/>
      <x:c r="F12" s="83">
        <x:v>5</x:v>
      </x:c>
      <x:c r="G12" s="93"/>
      <x:c r="H12" s="26">
        <x:f>0.064/F12</x:f>
        <x:v>0.0128</x:v>
      </x:c>
      <x:c r="I12" s="94"/>
      <x:c r="J12" s="93"/>
      <x:c r="K12" s="56">
        <x:f t="shared" si="3"/>
        <x:v>0.064000000000000001</x:v>
      </x:c>
      <x:c r="L12" s="94"/>
      <x:c r="M12" s="120"/>
      <x:c r="N12" s="121">
        <x:v>1</x:v>
      </x:c>
      <x:c r="O12" s="122">
        <x:v>1</x:v>
      </x:c>
      <x:c r="Q12" s="353"/>
      <x:c r="R12" s="216">
        <x:f t="shared" si="1"/>
        <x:v>0.064000000000000001</x:v>
      </x:c>
      <x:c r="S12" s="94">
        <x:f t="shared" si="2"/>
        <x:v>0.064000000000000001</x:v>
      </x:c>
      <x:c r="T12" s="331">
        <x:f t="shared" si="0"/>
        <x:v>0.128</x:v>
      </x:c>
      <x:c r="U12" s="332"/>
      <x:c r="X12" s="144"/>
      <x:c r="Y12" s="143"/>
    </x:row>
    <x:row r="13" spans="1:25">
      <x:c r="A13" s="298" t="s">
        <x:v>42</x:v>
      </x:c>
      <x:c r="B13" s="71"/>
      <x:c r="C13" s="71"/>
      <x:c r="D13" s="73" t="s">
        <x:v>157</x:v>
      </x:c>
      <x:c r="E13" s="73"/>
      <x:c r="F13" s="73">
        <x:v>3.2999999999999998</x:v>
      </x:c>
      <x:c r="G13" s="91"/>
      <x:c r="H13" s="24">
        <x:f>0.2/F13</x:f>
        <x:v>0.060606060606060615</x:v>
      </x:c>
      <x:c r="I13" s="92"/>
      <x:c r="J13" s="91"/>
      <x:c r="K13" s="55">
        <x:f t="shared" si="3"/>
        <x:v>0.20000000000000001</x:v>
      </x:c>
      <x:c r="L13" s="92"/>
      <x:c r="M13" s="117"/>
      <x:c r="N13" s="118">
        <x:v>1</x:v>
      </x:c>
      <x:c r="O13" s="119">
        <x:v>1</x:v>
      </x:c>
      <x:c r="Q13" s="352"/>
      <x:c r="R13" s="215">
        <x:f t="shared" si="1"/>
        <x:v>0.20000000000000001</x:v>
      </x:c>
      <x:c r="S13" s="92">
        <x:f t="shared" si="2"/>
        <x:v>0.20000000000000001</x:v>
      </x:c>
      <x:c r="T13" s="329">
        <x:f t="shared" si="0"/>
        <x:v>0.40000000000000002</x:v>
      </x:c>
      <x:c r="U13" s="330"/>
      <x:c r="X13" s="144"/>
      <x:c r="Y13" s="143"/>
    </x:row>
    <x:row r="14" spans="1:25">
      <x:c r="A14" s="298"/>
      <x:c r="B14" s="71"/>
      <x:c r="C14" s="71"/>
      <x:c r="D14" s="73" t="s">
        <x:v>62</x:v>
      </x:c>
      <x:c r="E14" s="73"/>
      <x:c r="F14" s="73">
        <x:v>3.2999999999999998</x:v>
      </x:c>
      <x:c r="G14" s="91"/>
      <x:c r="H14" s="24">
        <x:f>0.035/F14</x:f>
        <x:v>0.010606060606060608</x:v>
      </x:c>
      <x:c r="I14" s="92"/>
      <x:c r="J14" s="91"/>
      <x:c r="K14" s="55">
        <x:f t="shared" si="3"/>
        <x:v>0.035000000000000003</x:v>
      </x:c>
      <x:c r="L14" s="92"/>
      <x:c r="M14" s="117"/>
      <x:c r="N14" s="118">
        <x:v>1</x:v>
      </x:c>
      <x:c r="O14" s="119">
        <x:v>1</x:v>
      </x:c>
      <x:c r="Q14" s="352"/>
      <x:c r="R14" s="215">
        <x:f t="shared" si="1"/>
        <x:v>0.035000000000000003</x:v>
      </x:c>
      <x:c r="S14" s="92">
        <x:f t="shared" si="2"/>
        <x:v>0.035000000000000003</x:v>
      </x:c>
      <x:c r="T14" s="329">
        <x:f t="shared" si="0"/>
        <x:v>0.070000000000000007</x:v>
      </x:c>
      <x:c r="U14" s="330"/>
      <x:c r="X14" s="142" t="s">
        <x:v>125</x:v>
      </x:c>
      <x:c r="Y14" s="143">
        <x:v>0.20000000000000001</x:v>
      </x:c>
    </x:row>
    <x:row r="15" spans="1:25">
      <x:c r="A15" s="70" t="s">
        <x:v>75</x:v>
      </x:c>
      <x:c r="B15" s="70"/>
      <x:c r="C15" s="79"/>
      <x:c r="D15" s="84" t="s">
        <x:v>158</x:v>
      </x:c>
      <x:c r="E15" s="84"/>
      <x:c r="F15" s="84">
        <x:v>8.2599999999999998</x:v>
      </x:c>
      <x:c r="G15" s="95">
        <x:f>0.065*3/F15</x:f>
        <x:v>0.023607748184019371</x:v>
      </x:c>
      <x:c r="H15" s="9">
        <x:f>0.19*3/F15</x:f>
        <x:v>0.069007263922518172</x:v>
      </x:c>
      <x:c r="I15" s="96">
        <x:f>2.3*3/F15</x:f>
        <x:v>0.83535108958837767</x:v>
      </x:c>
      <x:c r="J15" s="95">
        <x:f>F15*G15</x:f>
        <x:v>0.19500000000000001</x:v>
      </x:c>
      <x:c r="K15" s="57">
        <x:f t="shared" si="3"/>
        <x:v>0.57000000000000006</x:v>
      </x:c>
      <x:c r="L15" s="96">
        <x:f>I15*F15</x:f>
        <x:v>6.8999999999999995</x:v>
      </x:c>
      <x:c r="M15" s="123"/>
      <x:c r="N15" s="124">
        <x:v>1</x:v>
      </x:c>
      <x:c r="O15" s="125">
        <x:v>1</x:v>
      </x:c>
      <x:c r="Q15" s="354"/>
      <x:c r="R15" s="217">
        <x:f t="shared" si="1"/>
        <x:v>0.57000000000000006</x:v>
      </x:c>
      <x:c r="S15" s="96">
        <x:f t="shared" si="2"/>
        <x:v>0.57000000000000006</x:v>
      </x:c>
      <x:c r="T15" s="333">
        <x:f t="shared" si="0"/>
        <x:v>1.1400000000000001</x:v>
      </x:c>
      <x:c r="U15" s="334"/>
      <x:c r="X15" s="142" t="s">
        <x:v>208</x:v>
      </x:c>
      <x:c r="Y15" s="143">
        <x:v>0.90000000000000002</x:v>
      </x:c>
    </x:row>
    <x:row r="16" spans="1:25" ht="13.949999999999999">
      <x:c r="A16" s="71" t="s">
        <x:v>42</x:v>
      </x:c>
      <x:c r="B16" s="71"/>
      <x:c r="C16" s="73" t="s">
        <x:v>180</x:v>
      </x:c>
      <x:c r="D16" s="73" t="s">
        <x:v>58</x:v>
      </x:c>
      <x:c r="E16" s="73"/>
      <x:c r="F16" s="73">
        <x:v>3.2999999999999998</x:v>
      </x:c>
      <x:c r="G16" s="91"/>
      <x:c r="H16" s="55">
        <x:v>0</x:v>
      </x:c>
      <x:c r="I16" s="92"/>
      <x:c r="J16" s="91"/>
      <x:c r="K16" s="24">
        <x:f t="shared" si="3"/>
        <x:v>0</x:v>
      </x:c>
      <x:c r="L16" s="92"/>
      <x:c r="M16" s="117"/>
      <x:c r="N16" s="118">
        <x:v>1</x:v>
      </x:c>
      <x:c r="O16" s="119">
        <x:v>1</x:v>
      </x:c>
      <x:c r="Q16" s="352"/>
      <x:c r="R16" s="215">
        <x:f t="shared" si="1"/>
        <x:v>0</x:v>
      </x:c>
      <x:c r="S16" s="92">
        <x:f t="shared" si="2"/>
        <x:v>0</x:v>
      </x:c>
      <x:c r="T16" s="329">
        <x:f t="shared" si="0"/>
        <x:v>0</x:v>
      </x:c>
      <x:c r="U16" s="330"/>
      <x:c r="X16" s="145" t="s">
        <x:v>144</x:v>
      </x:c>
      <x:c r="Y16" s="146">
        <x:v>0.40000000000000002</x:v>
      </x:c>
    </x:row>
    <x:row r="17" spans="1:24">
      <x:c r="A17" s="72" t="s">
        <x:v>54</x:v>
      </x:c>
      <x:c r="B17" s="72"/>
      <x:c r="C17" s="80" t="s">
        <x:v>77</x:v>
      </x:c>
      <x:c r="D17" s="80" t="s">
        <x:v>95</x:v>
      </x:c>
      <x:c r="E17" s="80"/>
      <x:c r="F17" s="80">
        <x:v>3.2999999999999998</x:v>
      </x:c>
      <x:c r="G17" s="97"/>
      <x:c r="H17" s="58">
        <x:v>0.39400000000000002</x:v>
      </x:c>
      <x:c r="I17" s="98"/>
      <x:c r="J17" s="97"/>
      <x:c r="K17" s="59">
        <x:v>1.3</x:v>
      </x:c>
      <x:c r="L17" s="98"/>
      <x:c r="M17" s="126"/>
      <x:c r="N17" s="127">
        <x:v>1</x:v>
      </x:c>
      <x:c r="O17" s="128">
        <x:v>1</x:v>
      </x:c>
      <x:c r="Q17" s="355"/>
      <x:c r="R17" s="218">
        <x:f t="shared" si="1"/>
        <x:v>1.3</x:v>
      </x:c>
      <x:c r="S17" s="98">
        <x:f t="shared" si="2"/>
        <x:v>1.3</x:v>
      </x:c>
      <x:c r="T17" s="335">
        <x:f t="shared" si="0"/>
        <x:v>2.6000000000000001</x:v>
      </x:c>
      <x:c r="U17" s="336"/>
      <x:c r="X17" s="2"/>
    </x:row>
    <x:row r="18" spans="1:24">
      <x:c r="A18" s="66"/>
      <x:c r="B18" s="300" t="s">
        <x:v>202</x:v>
      </x:c>
      <x:c r="C18" s="75" t="s">
        <x:v>98</x:v>
      </x:c>
      <x:c r="D18" s="68" t="s">
        <x:v>163</x:v>
      </x:c>
      <x:c r="E18" s="68"/>
      <x:c r="F18" s="81"/>
      <x:c r="G18" s="99"/>
      <x:c r="H18" s="32"/>
      <x:c r="I18" s="100"/>
      <x:c r="J18" s="99"/>
      <x:c r="K18" s="32">
        <x:v>0.10000000000000001</x:v>
      </x:c>
      <x:c r="L18" s="100"/>
      <x:c r="M18" s="106"/>
      <x:c r="N18" s="112">
        <x:v>1</x:v>
      </x:c>
      <x:c r="O18" s="113">
        <x:v>1</x:v>
      </x:c>
      <x:c r="Q18" s="356"/>
      <x:c r="R18" s="213">
        <x:f t="shared" si="1"/>
        <x:v>0.10000000000000001</x:v>
      </x:c>
      <x:c r="S18" s="86">
        <x:f t="shared" si="2"/>
        <x:v>0.10000000000000001</x:v>
      </x:c>
      <x:c r="T18" s="337">
        <x:f t="shared" si="0"/>
        <x:v>0.20000000000000001</x:v>
      </x:c>
      <x:c r="U18" s="338"/>
      <x:c r="X18" s="2"/>
    </x:row>
    <x:row r="19" spans="1:24">
      <x:c r="A19" s="66"/>
      <x:c r="B19" s="301"/>
      <x:c r="C19" s="75" t="s">
        <x:v>59</x:v>
      </x:c>
      <x:c r="D19" s="68" t="s">
        <x:v>117</x:v>
      </x:c>
      <x:c r="E19" s="68"/>
      <x:c r="F19" s="81"/>
      <x:c r="G19" s="99"/>
      <x:c r="H19" s="32"/>
      <x:c r="I19" s="100"/>
      <x:c r="J19" s="99"/>
      <x:c r="K19" s="32">
        <x:v>0.20000000000000001</x:v>
      </x:c>
      <x:c r="L19" s="100"/>
      <x:c r="M19" s="106"/>
      <x:c r="N19" s="112">
        <x:v>1</x:v>
      </x:c>
      <x:c r="O19" s="113">
        <x:v>1</x:v>
      </x:c>
      <x:c r="Q19" s="356"/>
      <x:c r="R19" s="213">
        <x:f t="shared" si="1"/>
        <x:v>0.20000000000000001</x:v>
      </x:c>
      <x:c r="S19" s="86">
        <x:f t="shared" si="2"/>
        <x:v>0.20000000000000001</x:v>
      </x:c>
      <x:c r="T19" s="337">
        <x:f t="shared" si="0"/>
        <x:v>0.40000000000000002</x:v>
      </x:c>
      <x:c r="U19" s="338"/>
      <x:c r="X19" s="2"/>
    </x:row>
    <x:row r="20" spans="1:24">
      <x:c r="A20" s="66"/>
      <x:c r="B20" s="302"/>
      <x:c r="C20" s="81" t="s">
        <x:v>162</x:v>
      </x:c>
      <x:c r="D20" s="81" t="s">
        <x:v>182</x:v>
      </x:c>
      <x:c r="E20" s="81"/>
      <x:c r="F20" s="81"/>
      <x:c r="G20" s="99"/>
      <x:c r="H20" s="32"/>
      <x:c r="I20" s="100"/>
      <x:c r="J20" s="99"/>
      <x:c r="K20" s="32">
        <x:f>H20*F20</x:f>
        <x:v>0</x:v>
      </x:c>
      <x:c r="L20" s="100"/>
      <x:c r="M20" s="129"/>
      <x:c r="N20" s="130">
        <x:v>1</x:v>
      </x:c>
      <x:c r="O20" s="131">
        <x:v>1</x:v>
      </x:c>
      <x:c r="Q20" s="357"/>
      <x:c r="R20" s="219">
        <x:f t="shared" si="1"/>
        <x:v>0</x:v>
      </x:c>
      <x:c r="S20" s="100">
        <x:f t="shared" si="2"/>
        <x:v>0</x:v>
      </x:c>
      <x:c r="T20" s="337">
        <x:f t="shared" si="0"/>
        <x:v>0</x:v>
      </x:c>
      <x:c r="U20" s="339"/>
      <x:c r="X20" s="2"/>
    </x:row>
    <x:row r="21" spans="1:24">
      <x:c r="A21" s="73" t="s">
        <x:v>42</x:v>
      </x:c>
      <x:c r="B21" s="73" t="s">
        <x:v>61</x:v>
      </x:c>
      <x:c r="C21" s="73" t="s">
        <x:v>187</x:v>
      </x:c>
      <x:c r="D21" s="73" t="s">
        <x:v>204</x:v>
      </x:c>
      <x:c r="E21" s="73"/>
      <x:c r="F21" s="73">
        <x:v>3.2999999999999998</x:v>
      </x:c>
      <x:c r="G21" s="91"/>
      <x:c r="H21" s="55">
        <x:f>0.13</x:f>
        <x:v>0.13</x:v>
      </x:c>
      <x:c r="I21" s="92">
        <x:f>1/F21</x:f>
        <x:v>0.30303030303030304</x:v>
      </x:c>
      <x:c r="J21" s="91"/>
      <x:c r="K21" s="24">
        <x:f>H21*F21</x:f>
        <x:v>0.42899999999999999</x:v>
      </x:c>
      <x:c r="L21" s="92">
        <x:f>I21*F21</x:f>
        <x:v>1</x:v>
      </x:c>
      <x:c r="M21" s="117"/>
      <x:c r="N21" s="118">
        <x:v>1</x:v>
      </x:c>
      <x:c r="O21" s="119">
        <x:v>1</x:v>
      </x:c>
      <x:c r="Q21" s="352"/>
      <x:c r="R21" s="215">
        <x:f t="shared" si="1"/>
        <x:v>0.42899999999999999</x:v>
      </x:c>
      <x:c r="S21" s="92">
        <x:f t="shared" si="2"/>
        <x:v>0.42899999999999999</x:v>
      </x:c>
      <x:c r="T21" s="329">
        <x:f t="shared" si="0"/>
        <x:v>0.85799999999999998</x:v>
      </x:c>
      <x:c r="U21" s="330"/>
      <x:c r="X21" s="2"/>
    </x:row>
    <x:row r="22" spans="1:24">
      <x:c r="A22" s="296" t="s">
        <x:v>42</x:v>
      </x:c>
      <x:c r="B22" s="76" t="s">
        <x:v>63</x:v>
      </x:c>
      <x:c r="C22" s="73" t="s">
        <x:v>178</x:v>
      </x:c>
      <x:c r="D22" s="73" t="s">
        <x:v>90</x:v>
      </x:c>
      <x:c r="E22" s="73"/>
      <x:c r="F22" s="73">
        <x:v>3.2999999999999998</x:v>
      </x:c>
      <x:c r="G22" s="91"/>
      <x:c r="H22" s="24">
        <x:f>0.04/F22</x:f>
        <x:v>0.012121212121212123</x:v>
      </x:c>
      <x:c r="I22" s="92">
        <x:f>2/F22</x:f>
        <x:v>0.60606060606060608</x:v>
      </x:c>
      <x:c r="J22" s="91"/>
      <x:c r="K22" s="55">
        <x:f>H22*F22</x:f>
        <x:v>0.040000000000000002</x:v>
      </x:c>
      <x:c r="L22" s="92">
        <x:f>I22*F22</x:f>
        <x:v>2</x:v>
      </x:c>
      <x:c r="M22" s="117"/>
      <x:c r="N22" s="118">
        <x:v>0</x:v>
      </x:c>
      <x:c r="O22" s="119">
        <x:v>0</x:v>
      </x:c>
      <x:c r="Q22" s="352"/>
      <x:c r="R22" s="215">
        <x:f t="shared" si="1"/>
        <x:v>0</x:v>
      </x:c>
      <x:c r="S22" s="92">
        <x:f t="shared" si="2"/>
        <x:v>0</x:v>
      </x:c>
      <x:c r="T22" s="329">
        <x:f t="shared" si="0"/>
        <x:v>0</x:v>
      </x:c>
      <x:c r="U22" s="330"/>
      <x:c r="X22" s="2"/>
    </x:row>
    <x:row r="23" spans="1:24">
      <x:c r="A23" s="298"/>
      <x:c r="B23" s="71"/>
      <x:c r="C23" s="296" t="s">
        <x:v>104</x:v>
      </x:c>
      <x:c r="D23" s="296" t="s">
        <x:v>139</x:v>
      </x:c>
      <x:c r="E23" s="73" t="s">
        <x:v>196</x:v>
      </x:c>
      <x:c r="F23" s="73">
        <x:v>3.2999999999999998</x:v>
      </x:c>
      <x:c r="G23" s="101">
        <x:v>0.044999999999999996</x:v>
      </x:c>
      <x:c r="H23" s="55">
        <x:v>0.055000000000000004</x:v>
      </x:c>
      <x:c r="I23" s="102">
        <x:v>0.12</x:v>
      </x:c>
      <x:c r="J23" s="91">
        <x:f>F23*G23</x:f>
        <x:v>0.14849999999999999</x:v>
      </x:c>
      <x:c r="K23" s="24">
        <x:f>H23*F23</x:f>
        <x:v>0.18150000000000002</x:v>
      </x:c>
      <x:c r="L23" s="92">
        <x:f>I23*F23</x:f>
        <x:v>0.39599999999999996</x:v>
      </x:c>
      <x:c r="M23" s="117"/>
      <x:c r="N23" s="118">
        <x:v>0.90000000000000002</x:v>
      </x:c>
      <x:c r="O23" s="119">
        <x:v>0.90000000000000002</x:v>
      </x:c>
      <x:c r="Q23" s="352"/>
      <x:c r="R23" s="215">
        <x:f t="shared" si="1"/>
        <x:v>0.16335000000000002</x:v>
      </x:c>
      <x:c r="S23" s="92">
        <x:f>O23*L23</x:f>
        <x:v>0.35639999999999999</x:v>
      </x:c>
      <x:c r="T23" s="329">
        <x:f t="shared" si="0"/>
        <x:v>0.51975000000000005</x:v>
      </x:c>
      <x:c r="U23" s="330"/>
      <x:c r="X23" s="2"/>
    </x:row>
    <x:row r="24" spans="1:24" ht="15" customHeight="1">
      <x:c r="A24" s="298"/>
      <x:c r="B24" s="71"/>
      <x:c r="C24" s="297"/>
      <x:c r="D24" s="297"/>
      <x:c r="E24" s="73" t="s">
        <x:v>199</x:v>
      </x:c>
      <x:c r="F24" s="73">
        <x:v>3.2999999999999998</x:v>
      </x:c>
      <x:c r="G24" s="101">
        <x:v>0.59999999999999998</x:v>
      </x:c>
      <x:c r="H24" s="24"/>
      <x:c r="I24" s="92">
        <x:v>1</x:v>
      </x:c>
      <x:c r="J24" s="91">
        <x:f>F24*G24</x:f>
        <x:v>1.9799999999999998</x:v>
      </x:c>
      <x:c r="K24" s="24"/>
      <x:c r="L24" s="92">
        <x:f>I24*F24</x:f>
        <x:v>3.2999999999999998</x:v>
      </x:c>
      <x:c r="M24" s="117"/>
      <x:c r="N24" s="118">
        <x:f>1-N23</x:f>
        <x:v>0.09999999999999998</x:v>
      </x:c>
      <x:c r="O24" s="119">
        <x:f>1-O23</x:f>
        <x:v>0.09999999999999998</x:v>
      </x:c>
      <x:c r="Q24" s="352"/>
      <x:c r="R24" s="215">
        <x:f t="shared" si="1"/>
        <x:v>0</x:v>
      </x:c>
      <x:c r="S24" s="92">
        <x:f>O24*K24</x:f>
        <x:v>0</x:v>
      </x:c>
      <x:c r="T24" s="329">
        <x:f t="shared" si="0"/>
        <x:v>0</x:v>
      </x:c>
      <x:c r="U24" s="330"/>
      <x:c r="X24" s="2"/>
    </x:row>
    <x:row r="25" spans="1:24" ht="13.949999999999999">
      <x:c r="A25" s="74" t="s">
        <x:v>186</x:v>
      </x:c>
      <x:c r="B25" s="74"/>
      <x:c r="C25" s="82" t="s">
        <x:v>181</x:v>
      </x:c>
      <x:c r="D25" s="82" t="s">
        <x:v>156</x:v>
      </x:c>
      <x:c r="E25" s="82" t="s">
        <x:v>199</x:v>
      </x:c>
      <x:c r="F25" s="82">
        <x:v>5</x:v>
      </x:c>
      <x:c r="G25" s="103">
        <x:f>J25/5</x:f>
        <x:v>0.122</x:v>
      </x:c>
      <x:c r="H25" s="104">
        <x:f>K25/5</x:f>
        <x:v>0.54000000000000004</x:v>
      </x:c>
      <x:c r="I25" s="105">
        <x:f>L25/5</x:f>
        <x:v>1</x:v>
      </x:c>
      <x:c r="J25" s="107">
        <x:v>0.60999999999999999</x:v>
      </x:c>
      <x:c r="K25" s="108">
        <x:v>2.7000000000000002</x:v>
      </x:c>
      <x:c r="L25" s="109">
        <x:v>5</x:v>
      </x:c>
      <x:c r="M25" s="120"/>
      <x:c r="N25" s="132">
        <x:v>0</x:v>
      </x:c>
      <x:c r="O25" s="134">
        <x:v>0</x:v>
      </x:c>
      <x:c r="Q25" s="353"/>
      <x:c r="R25" s="216">
        <x:f t="shared" si="1"/>
        <x:v>0</x:v>
      </x:c>
      <x:c r="S25" s="94">
        <x:f>O25*K25</x:f>
        <x:v>0</x:v>
      </x:c>
      <x:c r="T25" s="331">
        <x:f t="shared" si="0"/>
        <x:v>0</x:v>
      </x:c>
      <x:c r="U25" s="332"/>
      <x:c r="X25" s="2"/>
    </x:row>
    <x:row r="26" spans="2:24">
      <x:c r="B26" s="5"/>
      <x:c r="C26" s="5"/>
      <x:c r="D26" s="5"/>
      <x:c r="E26" s="5"/>
      <x:c r="F26" s="5"/>
      <x:c r="G26" s="106"/>
      <x:c r="H26" s="106"/>
      <x:c r="I26" s="106"/>
      <x:c r="J26" s="106"/>
      <x:c r="K26" s="106"/>
      <x:c r="L26" s="2"/>
      <x:c r="M26" s="12"/>
      <x:c r="Q26" s="358" t="s">
        <x:v>209</x:v>
      </x:c>
      <x:c r="R26" s="217">
        <x:f>SUM(R5:R24)/Y15</x:f>
        <x:v>4.1459444444444449</x:v>
      </x:c>
      <x:c r="S26" s="96">
        <x:f>SUM(S5:S24)/Y15</x:f>
        <x:v>4.2493333333333334</x:v>
      </x:c>
      <x:c r="T26" s="340">
        <x:f>SUM(R26+S26)</x:f>
        <x:v>8.3952777777777783</x:v>
      </x:c>
      <x:c r="U26" s="341" t="s">
        <x:v>203</x:v>
      </x:c>
      <x:c r="V26" s="2" t="s">
        <x:v>159</x:v>
      </x:c>
      <x:c r="X26" s="2"/>
    </x:row>
    <x:row r="27" spans="2:24">
      <x:c r="B27" s="5"/>
      <x:c r="C27" s="5"/>
      <x:c r="D27" s="5"/>
      <x:c r="E27" s="5"/>
      <x:c r="F27" s="5"/>
      <x:c r="G27" s="6"/>
      <x:c r="H27" s="6"/>
      <x:c r="I27" s="6"/>
      <x:c r="J27" s="6"/>
      <x:c r="K27" s="6"/>
      <x:c r="L27" s="2"/>
      <x:c r="M27" s="7"/>
      <x:c r="Q27" s="358" t="s">
        <x:v>150</x:v>
      </x:c>
      <x:c r="R27" s="359">
        <x:f>1.135*20*N4/3600</x:f>
        <x:v>23.041232566635454</x:v>
      </x:c>
      <x:c r="S27" s="360">
        <x:v>0</x:v>
      </x:c>
      <x:c r="T27" s="340">
        <x:f t="shared" ref="T27:T32" si="4">SUM(R27+S27)</x:f>
        <x:v>23.041232566635454</x:v>
      </x:c>
      <x:c r="U27" s="341" t="s">
        <x:v>188</x:v>
      </x:c>
      <x:c r="V27" s="8"/>
      <x:c r="X27" s="2"/>
    </x:row>
    <x:row r="28" spans="12:24">
      <x:c r="L28" s="2"/>
      <x:c r="M28" s="7"/>
      <x:c r="Q28" s="358" t="s">
        <x:v>217</x:v>
      </x:c>
      <x:c r="R28" s="361">
        <x:f>R26*N4/3600</x:f>
        <x:v>4.2082674076120998</x:v>
      </x:c>
      <x:c r="S28" s="362">
        <x:f>S26*O4/3600</x:f>
        <x:v>2.387734289409277</x:v>
      </x:c>
      <x:c r="T28" s="340">
        <x:f t="shared" si="4"/>
        <x:v>6.5960016970213768</x:v>
      </x:c>
      <x:c r="U28" s="341" t="s">
        <x:v>188</x:v>
      </x:c>
      <x:c r="V28" s="8"/>
      <x:c r="X28" s="2"/>
    </x:row>
    <x:row r="29" spans="12:24">
      <x:c r="L29" s="2"/>
      <x:c r="M29" s="7"/>
      <x:c r="Q29" s="358" t="s">
        <x:v>151</x:v>
      </x:c>
      <x:c r="R29" s="363">
        <x:f>T27-T28</x:f>
        <x:v>16.445230869614079</x:v>
      </x:c>
      <x:c r="S29" s="362"/>
      <x:c r="T29" s="340">
        <x:f t="shared" si="4"/>
        <x:v>16.445230869614079</x:v>
      </x:c>
      <x:c r="U29" s="341" t="s">
        <x:v>188</x:v>
      </x:c>
      <x:c r="X29" s="2"/>
    </x:row>
    <x:row r="30" spans="12:24">
      <x:c r="L30" s="2"/>
      <x:c r="M30" s="7"/>
      <x:c r="Q30" s="358" t="s">
        <x:v>154</x:v>
      </x:c>
      <x:c r="R30" s="364">
        <x:f>100*($T$27/T28-1)</x:f>
        <x:v>249.32120434475351</x:v>
      </x:c>
      <x:c r="S30" s="362"/>
      <x:c r="T30" s="340">
        <x:f t="shared" si="4"/>
        <x:v>249.32120434475351</x:v>
      </x:c>
      <x:c r="U30" s="341" t="s">
        <x:v>189</x:v>
      </x:c>
      <x:c r="X30" s="2"/>
    </x:row>
    <x:row r="31" spans="12:24">
      <x:c r="L31" s="2"/>
      <x:c r="M31" s="7"/>
      <x:c r="Q31" s="358" t="s">
        <x:v>118</x:v>
      </x:c>
      <x:c r="R31" s="364">
        <x:f>T29/$T$27*100</x:f>
        <x:v>71.373051862804303</x:v>
      </x:c>
      <x:c r="S31" s="362"/>
      <x:c r="T31" s="340">
        <x:f t="shared" si="4"/>
        <x:v>71.373051862804303</x:v>
      </x:c>
      <x:c r="U31" s="341" t="s">
        <x:v>189</x:v>
      </x:c>
      <x:c r="V31" s="30" t="s">
        <x:v>76</x:v>
      </x:c>
      <x:c r="X31" s="2"/>
    </x:row>
    <x:row r="32" spans="12:24" ht="13.949999999999999">
      <x:c r="L32" s="2"/>
      <x:c r="M32" s="7"/>
      <x:c r="Q32" s="365" t="s">
        <x:v>126</x:v>
      </x:c>
      <x:c r="R32" s="366">
        <x:f>(R27-R28)/40*100</x:f>
        <x:v>47.082412897558378</x:v>
      </x:c>
      <x:c r="S32" s="141">
        <x:f>(S27-S28)/40*100</x:f>
        <x:v>-5.9693357235231925</x:v>
      </x:c>
      <x:c r="T32" s="342">
        <x:f t="shared" si="4"/>
        <x:v>41.113077174035183</x:v>
      </x:c>
      <x:c r="U32" s="343" t="s">
        <x:v>189</x:v>
      </x:c>
      <x:c r="X32" s="2"/>
    </x:row>
    <x:row r="33" spans="12:24">
      <x:c r="L33" s="2"/>
      <x:c r="M33" s="7"/>
      <x:c r="X33" s="2"/>
    </x:row>
    <x:row r="34" spans="12:24">
      <x:c r="L34" s="2"/>
      <x:c r="M34" s="7"/>
      <x:c r="X34" s="2"/>
    </x:row>
    <x:row r="41" spans="17:19">
      <x:c r="Q41" s="12"/>
      <x:c r="R41" s="12"/>
      <x:c r="S41" s="12"/>
    </x:row>
    <x:row r="42" spans="17:19">
      <x:c r="Q42" s="12"/>
      <x:c r="R42" s="12"/>
      <x:c r="S42" s="12"/>
    </x:row>
    <x:row r="43" spans="15:19">
      <x:c r="O43" s="12"/>
      <x:c r="P43" s="12"/>
      <x:c r="Q43" s="12"/>
      <x:c r="R43" s="12"/>
      <x:c r="S43" s="12"/>
    </x:row>
    <x:row r="44" spans="15:19">
      <x:c r="O44" s="12"/>
      <x:c r="P44" s="12"/>
      <x:c r="Q44" s="12"/>
      <x:c r="R44" s="12"/>
      <x:c r="S44" s="12"/>
    </x:row>
    <x:row r="45" spans="15:19">
      <x:c r="O45" s="12"/>
      <x:c r="P45" s="12"/>
      <x:c r="Q45" s="12"/>
      <x:c r="R45" s="12"/>
      <x:c r="S45" s="12"/>
    </x:row>
    <x:row r="46" spans="15:19">
      <x:c r="O46" s="12"/>
      <x:c r="P46" s="12"/>
      <x:c r="Q46" s="12"/>
      <x:c r="R46" s="12"/>
      <x:c r="S46" s="12"/>
    </x:row>
    <x:row r="47" spans="15:19">
      <x:c r="O47" s="12"/>
      <x:c r="P47" s="12"/>
      <x:c r="Q47" s="12"/>
      <x:c r="R47" s="12"/>
      <x:c r="S47" s="12"/>
    </x:row>
    <x:row r="48" spans="15:19">
      <x:c r="O48" s="12"/>
      <x:c r="P48" s="12"/>
      <x:c r="Q48" s="12"/>
      <x:c r="R48" s="12"/>
      <x:c r="S48" s="12"/>
    </x:row>
    <x:row r="49" spans="15:19">
      <x:c r="O49" s="12"/>
      <x:c r="P49" s="12"/>
      <x:c r="Q49" s="12"/>
      <x:c r="R49" s="12"/>
      <x:c r="S49" s="12"/>
    </x:row>
    <x:row r="50" spans="15:19">
      <x:c r="O50" s="12"/>
      <x:c r="P50" s="12"/>
      <x:c r="Q50" s="12"/>
      <x:c r="R50" s="12"/>
      <x:c r="S50" s="12"/>
    </x:row>
    <x:row r="51" spans="15:16">
      <x:c r="O51" s="12"/>
      <x:c r="P51" s="12"/>
    </x:row>
    <x:row r="52" spans="15:16">
      <x:c r="O52" s="12"/>
      <x:c r="P52" s="12"/>
    </x:row>
  </x:sheetData>
  <x:mergeCells count="11">
    <x:mergeCell ref="G2:I2"/>
    <x:mergeCell ref="J2:L2"/>
    <x:mergeCell ref="N2:O2"/>
    <x:mergeCell ref="C23:C24"/>
    <x:mergeCell ref="D23:D24"/>
    <x:mergeCell ref="A9:A10"/>
    <x:mergeCell ref="A11:A12"/>
    <x:mergeCell ref="A13:A14"/>
    <x:mergeCell ref="A22:A24"/>
    <x:mergeCell ref="B18:B20"/>
    <x:mergeCell ref="Q2:U2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H28"/>
  <x:sheetViews>
    <x:sheetView topLeftCell="A1" zoomScaleNormal="100" zoomScaleSheetLayoutView="75" workbookViewId="0">
      <x:selection activeCell="I29" activeCellId="0" sqref="I29:I29"/>
    </x:sheetView>
  </x:sheetViews>
  <x:sheetFormatPr defaultColWidth="9" defaultRowHeight="13.550000000000001"/>
  <x:cols>
    <x:col min="2" max="2" width="54.765625" style="1" bestFit="1" customWidth="1"/>
    <x:col min="5" max="5" width="6.3828125" style="1" customWidth="1"/>
    <x:col min="6" max="6" width="9.23046875" style="1" customWidth="1"/>
    <x:col min="7" max="7" width="9.15234375" style="1" bestFit="1" customWidth="1"/>
    <x:col min="8" max="8" width="14.15234375" style="1" bestFit="1" customWidth="1"/>
  </x:cols>
  <x:sheetData>
    <x:row r="2" spans="2:2">
      <x:c r="B2" s="2" t="s">
        <x:v>155</x:v>
      </x:c>
    </x:row>
    <x:row r="4" spans="2:8">
      <x:c r="B4" s="1" t="s">
        <x:v>131</x:v>
      </x:c>
      <x:c r="C4" s="1">
        <x:v>500</x:v>
      </x:c>
      <x:c r="E4" s="1" t="s">
        <x:v>97</x:v>
      </x:c>
      <x:c r="F4" s="20">
        <x:v>22</x:v>
      </x:c>
      <x:c r="G4" s="20">
        <x:v>0</x:v>
      </x:c>
      <x:c r="H4" s="1">
        <x:v>3.3342999503020398</x:v>
      </x:c>
    </x:row>
    <x:row r="5" spans="2:8">
      <x:c r="B5" s="1" t="s">
        <x:v>142</x:v>
      </x:c>
      <x:c r="C5" s="1">
        <x:f>INDEX(G4:H28,MATCH(F4,G4:G28,0),2)</x:f>
        <x:v>30.893332021598599</x:v>
      </x:c>
      <x:c r="G5" s="20">
        <x:v>1</x:v>
      </x:c>
      <x:c r="H5" s="1">
        <x:v>-10.271498329457399</x:v>
      </x:c>
    </x:row>
    <x:row r="6" spans="2:8">
      <x:c r="B6" s="1" t="s">
        <x:v>0</x:v>
      </x:c>
      <x:c r="C6" s="1">
        <x:v>398600</x:v>
      </x:c>
      <x:c r="G6" s="20">
        <x:v>2</x:v>
      </x:c>
      <x:c r="H6" s="1">
        <x:v>-23.528290252111699</x:v>
      </x:c>
    </x:row>
    <x:row r="7" spans="2:8">
      <x:c r="B7" s="1" t="s">
        <x:v>206</x:v>
      </x:c>
      <x:c r="C7" s="1">
        <x:v>6378.1400000000003</x:v>
      </x:c>
      <x:c r="G7" s="20">
        <x:v>3</x:v>
      </x:c>
      <x:c r="H7" s="1">
        <x:v>-36.118151262630199</x:v>
      </x:c>
    </x:row>
    <x:row r="8" spans="2:8">
      <x:c r="B8" s="1" t="s">
        <x:v>215</x:v>
      </x:c>
      <x:c r="C8" s="1">
        <x:f>2*PI()*SQRT(($C$7+$C$4)^3/$C$6)</x:f>
        <x:v>5676.9848887954295</x:v>
      </x:c>
      <x:c r="G8" s="20">
        <x:v>4</x:v>
      </x:c>
      <x:c r="H8" s="1">
        <x:v>-47.400155406867697</x:v>
      </x:c>
    </x:row>
    <x:row r="9" spans="7:8">
      <x:c r="G9" s="20">
        <x:v>5</x:v>
      </x:c>
      <x:c r="H9" s="21">
        <x:v>-56.011313651595202</x:v>
      </x:c>
    </x:row>
    <x:row r="10" spans="2:8">
      <x:c r="B10" s="1" t="s">
        <x:v>136</x:v>
      </x:c>
      <x:c r="C10" s="1">
        <x:f>IF(C5&lt;ASIN(C7/(C7+C4))*180/PI(),(360-2*ASIN((((1/COS(C5*PI()/180))^2)*(((C7/(C7+C4))^2-(SIN(C5*PI()/180))^2)))^0.5)*180/PI())/360*C8,C8)</x:f>
        <x:v>3654.1161779686181</x:v>
      </x:c>
      <x:c r="G10" s="20">
        <x:v>6</x:v>
      </x:c>
      <x:c r="H10" s="21">
        <x:v>-59.571099866250798</x:v>
      </x:c>
    </x:row>
    <x:row r="11" spans="2:8">
      <x:c r="B11" s="1" t="s">
        <x:v>130</x:v>
      </x:c>
      <x:c r="C11" s="1">
        <x:f>C8-C10</x:f>
        <x:v>2022.8687108268114</x:v>
      </x:c>
      <x:c r="G11" s="20">
        <x:v>7</x:v>
      </x:c>
      <x:c r="H11" s="21">
        <x:v>-56.426129695037702</x:v>
      </x:c>
    </x:row>
    <x:row r="12" spans="2:8">
      <x:c r="B12" s="1" t="s">
        <x:v>207</x:v>
      </x:c>
      <x:c r="C12" s="1">
        <x:f>90</x:f>
        <x:v>90</x:v>
      </x:c>
      <x:c r="G12" s="20">
        <x:v>8</x:v>
      </x:c>
      <x:c r="H12" s="1">
        <x:v>-48.062620260921399</x:v>
      </x:c>
    </x:row>
    <x:row r="13" spans="7:8">
      <x:c r="G13" s="20">
        <x:v>9</x:v>
      </x:c>
      <x:c r="H13" s="1">
        <x:v>-36.902155799572</x:v>
      </x:c>
    </x:row>
    <x:row r="14" spans="2:8">
      <x:c r="B14" s="1" t="s">
        <x:v>127</x:v>
      </x:c>
      <x:c r="C14" s="1">
        <x:v>0.20000000000000001</x:v>
      </x:c>
      <x:c r="G14" s="20">
        <x:v>10</x:v>
      </x:c>
      <x:c r="H14" s="1">
        <x:v>-24.37277069061</x:v>
      </x:c>
    </x:row>
    <x:row r="15" spans="2:8">
      <x:c r="B15" s="1" t="s">
        <x:v>208</x:v>
      </x:c>
      <x:c r="C15" s="1">
        <x:v>0.90000000000000002</x:v>
      </x:c>
      <x:c r="G15" s="20">
        <x:v>11</x:v>
      </x:c>
      <x:c r="H15" s="1">
        <x:v>-11.147552962117</x:v>
      </x:c>
    </x:row>
    <x:row r="16" spans="2:8">
      <x:c r="B16" s="1" t="s">
        <x:v>144</x:v>
      </x:c>
      <x:c r="C16" s="1">
        <x:v>0.40000000000000002</x:v>
      </x:c>
      <x:c r="G16" s="20">
        <x:v>12</x:v>
      </x:c>
      <x:c r="H16" s="1">
        <x:v>2.4420052163108199</x:v>
      </x:c>
    </x:row>
    <x:row r="17" spans="7:8">
      <x:c r="G17" s="20">
        <x:v>13</x:v>
      </x:c>
      <x:c r="H17" s="1">
        <x:v>16.205456724665702</x:v>
      </x:c>
    </x:row>
    <x:row r="18" spans="7:8">
      <x:c r="G18" s="20">
        <x:v>14</x:v>
      </x:c>
      <x:c r="H18" s="1">
        <x:v>29.998122792946798</x:v>
      </x:c>
    </x:row>
    <x:row r="19" spans="7:8">
      <x:c r="G19" s="20">
        <x:v>15</x:v>
      </x:c>
      <x:c r="H19" s="1">
        <x:v>43.647692426302797</x:v>
      </x:c>
    </x:row>
    <x:row r="20" spans="7:8">
      <x:c r="G20" s="20">
        <x:v>16</x:v>
      </x:c>
      <x:c r="H20" s="21">
        <x:v>56.810926741248501</x:v>
      </x:c>
    </x:row>
    <x:row r="21" spans="7:8">
      <x:c r="G21" s="20">
        <x:v>17</x:v>
      </x:c>
      <x:c r="H21" s="21">
        <x:v>68.422001172795902</x:v>
      </x:c>
    </x:row>
    <x:row r="22" spans="7:8">
      <x:c r="G22" s="20">
        <x:v>18</x:v>
      </x:c>
      <x:c r="H22" s="21">
        <x:v>74.371379328089901</x:v>
      </x:c>
    </x:row>
    <x:row r="23" spans="7:8">
      <x:c r="G23" s="20">
        <x:v>19</x:v>
      </x:c>
      <x:c r="H23" s="21">
        <x:v>69.058097270869794</x:v>
      </x:c>
    </x:row>
    <x:row r="24" spans="7:8">
      <x:c r="G24" s="20">
        <x:v>20</x:v>
      </x:c>
      <x:c r="H24" s="21">
        <x:v>57.633973354615897</x:v>
      </x:c>
    </x:row>
    <x:row r="25" spans="7:8">
      <x:c r="G25" s="20">
        <x:v>21</x:v>
      </x:c>
      <x:c r="H25" s="21">
        <x:v>44.524976015620197</x:v>
      </x:c>
    </x:row>
    <x:row r="26" spans="7:8">
      <x:c r="G26" s="20">
        <x:v>22</x:v>
      </x:c>
      <x:c r="H26" s="1">
        <x:v>30.893332021598599</x:v>
      </x:c>
    </x:row>
    <x:row r="27" spans="7:8">
      <x:c r="G27" s="20">
        <x:v>23</x:v>
      </x:c>
      <x:c r="H27" s="1">
        <x:v>17.103944718787101</x:v>
      </x:c>
    </x:row>
    <x:row r="28" spans="7:8">
      <x:c r="G28" s="20">
        <x:v>24</x:v>
      </x:c>
      <x:c r="H28" s="1">
        <x:v>3.3342999503020398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10"/>
  <x:sheetViews>
    <x:sheetView topLeftCell="A1" zoomScale="145" zoomScaleNormal="145" zoomScaleSheetLayoutView="75" workbookViewId="0">
      <x:selection activeCell="A6" activeCellId="0" sqref="A6:C6"/>
    </x:sheetView>
  </x:sheetViews>
  <x:sheetFormatPr defaultColWidth="9" defaultRowHeight="13.550000000000001"/>
  <x:cols>
    <x:col min="3" max="3" width="33.3828125" style="1" customWidth="1"/>
  </x:cols>
  <x:sheetData>
    <x:row r="1" spans="1:9">
      <x:c r="A1" s="304" t="s">
        <x:v>147</x:v>
      </x:c>
      <x:c r="B1" s="305"/>
      <x:c r="C1" s="306"/>
      <x:c r="D1" s="29"/>
      <x:c r="E1" s="11" t="e">
        <x:f>Detumbling!#REF!-Detumbling!#REF!</x:f>
        <x:v>#REF!</x:v>
      </x:c>
      <x:c r="F1" s="11"/>
      <x:c r="G1" s="11"/>
      <x:c r="H1" s="10" t="s">
        <x:v>188</x:v>
      </x:c>
      <x:c r="I1" s="3"/>
    </x:row>
    <x:row r="2" spans="1:9">
      <x:c r="A2" s="304" t="s">
        <x:v>214</x:v>
      </x:c>
      <x:c r="B2" s="305"/>
      <x:c r="C2" s="306"/>
      <x:c r="D2" s="29"/>
      <x:c r="E2" s="11" t="e">
        <x:f>E1/40*100</x:f>
        <x:v>#REF!</x:v>
      </x:c>
      <x:c r="F2" s="11"/>
      <x:c r="G2" s="11"/>
      <x:c r="H2" s="10" t="s">
        <x:v>189</x:v>
      </x:c>
      <x:c r="I2" s="3"/>
    </x:row>
    <x:row r="3" spans="1:9">
      <x:c r="A3" s="304" t="s">
        <x:v>149</x:v>
      </x:c>
      <x:c r="B3" s="305"/>
      <x:c r="C3" s="306"/>
      <x:c r="D3" s="29"/>
      <x:c r="E3" s="11" t="e">
        <x:f>100/E2</x:f>
        <x:v>#REF!</x:v>
      </x:c>
      <x:c r="F3" s="11"/>
      <x:c r="G3" s="11"/>
      <x:c r="H3" s="10" t="s">
        <x:v>185</x:v>
      </x:c>
      <x:c r="I3" s="3"/>
    </x:row>
    <x:row r="4" spans="1:9">
      <x:c r="A4" s="304" t="s">
        <x:v>152</x:v>
      </x:c>
      <x:c r="B4" s="305"/>
      <x:c r="C4" s="306"/>
      <x:c r="D4" s="29"/>
      <x:c r="E4" s="11" t="e">
        <x:f>IF(E2*6&gt;100,100,E2*6)</x:f>
        <x:v>#REF!</x:v>
      </x:c>
      <x:c r="F4" s="11"/>
      <x:c r="G4" s="11"/>
      <x:c r="H4" s="10" t="s">
        <x:v>189</x:v>
      </x:c>
      <x:c r="I4" s="3"/>
    </x:row>
    <x:row r="5" spans="1:9">
      <x:c r="A5" s="304" t="s">
        <x:v>146</x:v>
      </x:c>
      <x:c r="B5" s="305"/>
      <x:c r="C5" s="306"/>
      <x:c r="D5" s="29"/>
      <x:c r="E5" s="11"/>
      <x:c r="F5" s="11" t="e">
        <x:f>40*$E$4/100-Detumbling!#REF!</x:f>
        <x:v>#REF!</x:v>
      </x:c>
      <x:c r="G5" s="11" t="e">
        <x:f>40*$E$4/100-Detumbling!#REF!</x:f>
        <x:v>#REF!</x:v>
      </x:c>
      <x:c r="H5" s="10" t="s">
        <x:v>188</x:v>
      </x:c>
      <x:c r="I5" s="3"/>
    </x:row>
    <x:row r="6" spans="1:9">
      <x:c r="A6" s="304" t="s">
        <x:v>153</x:v>
      </x:c>
      <x:c r="B6" s="305"/>
      <x:c r="C6" s="306"/>
      <x:c r="D6" s="29"/>
      <x:c r="E6" s="11"/>
      <x:c r="F6" s="11" t="e">
        <x:f>F5/40*100</x:f>
        <x:v>#REF!</x:v>
      </x:c>
      <x:c r="G6" s="11" t="e">
        <x:f>G5/40*100</x:f>
        <x:v>#REF!</x:v>
      </x:c>
      <x:c r="H6" s="10" t="s">
        <x:v>189</x:v>
      </x:c>
      <x:c r="I6" s="22" t="s">
        <x:v>115</x:v>
      </x:c>
    </x:row>
    <x:row r="7" spans="1:9">
      <x:c r="A7" s="304" t="s">
        <x:v>145</x:v>
      </x:c>
      <x:c r="B7" s="305"/>
      <x:c r="C7" s="306"/>
      <x:c r="D7" s="29"/>
      <x:c r="E7" s="11"/>
      <x:c r="F7" s="11" t="e">
        <x:f>F5/40*100-40</x:f>
        <x:v>#REF!</x:v>
      </x:c>
      <x:c r="G7" s="11" t="e">
        <x:f>G5/40*100-40</x:f>
        <x:v>#REF!</x:v>
      </x:c>
      <x:c r="H7" s="10" t="s">
        <x:v>189</x:v>
      </x:c>
      <x:c r="I7" s="22" t="s">
        <x:v>115</x:v>
      </x:c>
    </x:row>
    <x:row r="8" spans="1:9">
      <x:c r="A8" s="18" t="s">
        <x:v>161</x:v>
      </x:c>
      <x:c r="B8" s="14"/>
      <x:c r="C8" s="13" t="s">
        <x:v>42</x:v>
      </x:c>
      <x:c r="D8" s="28"/>
      <x:c r="E8" s="9" t="e">
        <x:f>(Detumbling!#REF!+Detumbling!#REF!+Detumbling!#REF!+Detumbling!#REF!+Detumbling!#REF!+Detumbling!#REF!+Detumbling!#REF!+Detumbling!#REF!+Detumbling!#REF!+Detumbling!#REF!+Detumbling!#REF!+Detumbling!#REF!)/3.3</x:f>
        <x:v>#REF!</x:v>
      </x:c>
      <x:c r="F8" s="9" t="e">
        <x:f>(Detumbling!#REF!+Detumbling!#REF!+Detumbling!#REF!+Detumbling!#REF!+Detumbling!#REF!+Detumbling!#REF!+Detumbling!#REF!+Detumbling!#REF!+Detumbling!#REF!+Detumbling!#REF!+Detumbling!#REF!+Detumbling!#REF!)/3.3</x:f>
        <x:v>#REF!</x:v>
      </x:c>
      <x:c r="G8" s="9" t="e">
        <x:f>(Detumbling!#REF!+Detumbling!#REF!+Detumbling!#REF!+Detumbling!#REF!+Detumbling!#REF!+Detumbling!#REF!+Detumbling!#REF!+Detumbling!#REF!+Detumbling!#REF!+Detumbling!#REF!+Detumbling!#REF!+Detumbling!#REF!)/3.3</x:f>
        <x:v>#REF!</x:v>
      </x:c>
      <x:c r="H8" s="10"/>
      <x:c r="I8" s="8" t="s">
        <x:v>71</x:v>
      </x:c>
    </x:row>
    <x:row r="9" spans="1:9">
      <x:c r="A9" s="16"/>
      <x:c r="B9" s="15"/>
      <x:c r="C9" s="13" t="s">
        <x:v>69</x:v>
      </x:c>
      <x:c r="D9" s="28"/>
      <x:c r="E9" s="9" t="e">
        <x:f>(Detumbling!#REF!+Detumbling!#REF!+Detumbling!#REF!+Detumbling!#REF!+Detumbling!#REF!)/5</x:f>
        <x:v>#REF!</x:v>
      </x:c>
      <x:c r="F9" s="9" t="e">
        <x:f>(Detumbling!#REF!+Detumbling!#REF!+Detumbling!#REF!+Detumbling!#REF!+Detumbling!#REF!)/5</x:f>
        <x:v>#REF!</x:v>
      </x:c>
      <x:c r="G9" s="9" t="e">
        <x:f>(Detumbling!#REF!+Detumbling!#REF!+Detumbling!#REF!+Detumbling!#REF!+Detumbling!#REF!)/5</x:f>
        <x:v>#REF!</x:v>
      </x:c>
      <x:c r="H9" s="10"/>
      <x:c r="I9" s="8" t="s">
        <x:v>71</x:v>
      </x:c>
    </x:row>
    <x:row r="10" spans="1:9">
      <x:c r="A10" s="17"/>
      <x:c r="B10" s="19"/>
      <x:c r="C10" s="13" t="s">
        <x:v>47</x:v>
      </x:c>
      <x:c r="D10" s="28"/>
      <x:c r="E10" s="9" t="e">
        <x:f>(Detumbling!#REF!+Detumbling!#REF!+Detumbling!#REF!)/8.26</x:f>
        <x:v>#REF!</x:v>
      </x:c>
      <x:c r="F10" s="9" t="e">
        <x:f>(Detumbling!#REF!+Detumbling!#REF!+Detumbling!#REF!)/8.26</x:f>
        <x:v>#REF!</x:v>
      </x:c>
      <x:c r="G10" s="9" t="e">
        <x:f>(Detumbling!#REF!+Detumbling!#REF!+Detumbling!#REF!)/8.26</x:f>
        <x:v>#REF!</x:v>
      </x:c>
      <x:c r="H10" s="10"/>
      <x:c r="I10" s="8" t="s">
        <x:v>68</x:v>
      </x:c>
    </x:row>
  </x:sheetData>
  <x:mergeCells count="7">
    <x:mergeCell ref="A5:C5"/>
    <x:mergeCell ref="A7:C7"/>
    <x:mergeCell ref="A1:C1"/>
    <x:mergeCell ref="A2:C2"/>
    <x:mergeCell ref="A3:C3"/>
    <x:mergeCell ref="A4:C4"/>
    <x:mergeCell ref="A6:C6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P21"/>
  <x:sheetViews>
    <x:sheetView topLeftCell="A1" zoomScaleNormal="100" zoomScaleSheetLayoutView="75" workbookViewId="0">
      <x:selection activeCell="K26" activeCellId="0" sqref="K26:K26"/>
    </x:sheetView>
  </x:sheetViews>
  <x:sheetFormatPr defaultColWidth="9" defaultRowHeight="13.550000000000001"/>
  <x:cols>
    <x:col min="1" max="1" width="23.5" style="1" customWidth="1"/>
    <x:col min="2" max="2" width="12.4609375" style="1" customWidth="1"/>
    <x:col min="3" max="16" width="13.765625" style="1" customWidth="1"/>
  </x:cols>
  <x:sheetData>
    <x:row r="1" spans="1:16" ht="16.399999999999999">
      <x:c r="A1" s="35"/>
      <x:c r="B1" s="36" t="s">
        <x:v>200</x:v>
      </x:c>
      <x:c r="C1" s="36" t="s">
        <x:v>197</x:v>
      </x:c>
      <x:c r="D1" s="36" t="s">
        <x:v>194</x:v>
      </x:c>
      <x:c r="E1" s="36" t="s">
        <x:v>195</x:v>
      </x:c>
      <x:c r="F1" s="36" t="s">
        <x:v>201</x:v>
      </x:c>
      <x:c r="G1" s="36" t="s">
        <x:v>190</x:v>
      </x:c>
      <x:c r="H1" s="36" t="s">
        <x:v>198</x:v>
      </x:c>
      <x:c r="I1" s="36" t="s">
        <x:v>191</x:v>
      </x:c>
      <x:c r="J1" s="36" t="s">
        <x:v>192</x:v>
      </x:c>
      <x:c r="K1" s="36" t="s">
        <x:v>94</x:v>
      </x:c>
      <x:c r="L1" s="36" t="s">
        <x:v>92</x:v>
      </x:c>
      <x:c r="M1" s="36" t="s">
        <x:v>114</x:v>
      </x:c>
      <x:c r="N1" s="36" t="s">
        <x:v>80</x:v>
      </x:c>
      <x:c r="O1" s="36" t="s">
        <x:v>86</x:v>
      </x:c>
      <x:c r="P1" s="36" t="s">
        <x:v>105</x:v>
      </x:c>
    </x:row>
    <x:row r="2" spans="1:16" ht="16.399999999999999">
      <x:c r="A2" s="34"/>
      <x:c r="B2" s="41" t="s">
        <x:v>108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 spans="1:16">
      <x:c r="A3" s="34"/>
      <x:c r="B3" s="314" t="s">
        <x:v>78</x:v>
      </x:c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</x:row>
    <x:row r="4" spans="1:16">
      <x:c r="A4" s="34"/>
      <x:c r="B4" s="315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</x:row>
    <x:row r="5" spans="1:16" ht="16.399999999999999">
      <x:c r="A5" s="43" t="s">
        <x:v>124</x:v>
      </x:c>
      <x:c r="B5" s="46" t="s">
        <x:v>205</x:v>
      </x:c>
      <x:c r="C5" s="48" t="s">
        <x:v>170</x:v>
      </x:c>
      <x:c r="D5" s="47" t="s">
        <x:v>1</x:v>
      </x:c>
      <x:c r="E5" s="47" t="s">
        <x:v>12</x:v>
      </x:c>
      <x:c r="F5" s="47" t="s">
        <x:v>10</x:v>
      </x:c>
      <x:c r="G5" s="47" t="s">
        <x:v>6</x:v>
      </x:c>
      <x:c r="H5" s="47" t="s">
        <x:v>2</x:v>
      </x:c>
      <x:c r="I5" s="47" t="s">
        <x:v>7</x:v>
      </x:c>
      <x:c r="J5" s="47" t="s">
        <x:v>4</x:v>
      </x:c>
      <x:c r="K5" s="47" t="s">
        <x:v>11</x:v>
      </x:c>
      <x:c r="L5" s="47" t="s">
        <x:v>5</x:v>
      </x:c>
      <x:c r="M5" s="47" t="s">
        <x:v>3</x:v>
      </x:c>
      <x:c r="N5" s="47" t="s">
        <x:v>8</x:v>
      </x:c>
      <x:c r="O5" s="47" t="s">
        <x:v>13</x:v>
      </x:c>
      <x:c r="P5" s="47" t="s">
        <x:v>9</x:v>
      </x:c>
    </x:row>
    <x:row r="6" spans="1:16" ht="17.149999999999999">
      <x:c r="A6" s="44"/>
      <x:c r="B6" s="316" t="s">
        <x:v>43</x:v>
      </x:c>
      <x:c r="C6" s="53" t="s">
        <x:v>53</x:v>
      </x:c>
      <x:c r="D6" s="311" t="s">
        <x:v>49</x:v>
      </x:c>
      <x:c r="E6" s="311" t="s">
        <x:v>99</x:v>
      </x:c>
      <x:c r="F6" s="311" t="s">
        <x:v>43</x:v>
      </x:c>
      <x:c r="G6" s="311" t="s">
        <x:v>110</x:v>
      </x:c>
      <x:c r="H6" s="311" t="s">
        <x:v>99</x:v>
      </x:c>
      <x:c r="I6" s="311" t="s">
        <x:v>70</x:v>
      </x:c>
      <x:c r="J6" s="311" t="s">
        <x:v>93</x:v>
      </x:c>
      <x:c r="K6" s="308" t="s">
        <x:v>70</x:v>
      </x:c>
      <x:c r="L6" s="308" t="s">
        <x:v>109</x:v>
      </x:c>
      <x:c r="M6" s="308" t="s">
        <x:v>99</x:v>
      </x:c>
      <x:c r="N6" s="308" t="s">
        <x:v>110</x:v>
      </x:c>
      <x:c r="O6" s="308" t="s">
        <x:v>49</x:v>
      </x:c>
      <x:c r="P6" s="308" t="s">
        <x:v>70</x:v>
      </x:c>
    </x:row>
    <x:row r="7" spans="1:16" ht="16.399999999999999">
      <x:c r="A7" s="44" t="s">
        <x:v>213</x:v>
      </x:c>
      <x:c r="B7" s="317"/>
      <x:c r="C7" s="52" t="s">
        <x:v>173</x:v>
      </x:c>
      <x:c r="D7" s="312"/>
      <x:c r="E7" s="312"/>
      <x:c r="F7" s="312"/>
      <x:c r="G7" s="312"/>
      <x:c r="H7" s="312"/>
      <x:c r="I7" s="312"/>
      <x:c r="J7" s="312"/>
      <x:c r="K7" s="309"/>
      <x:c r="L7" s="309"/>
      <x:c r="M7" s="309"/>
      <x:c r="N7" s="309"/>
      <x:c r="O7" s="309"/>
      <x:c r="P7" s="309"/>
    </x:row>
    <x:row r="8" spans="1:16" ht="16.399999999999999">
      <x:c r="A8" s="44"/>
      <x:c r="B8" s="317"/>
      <x:c r="C8" s="45" t="s">
        <x:v>45</x:v>
      </x:c>
      <x:c r="D8" s="312"/>
      <x:c r="E8" s="312"/>
      <x:c r="F8" s="312"/>
      <x:c r="G8" s="312"/>
      <x:c r="H8" s="312"/>
      <x:c r="I8" s="312"/>
      <x:c r="J8" s="312"/>
      <x:c r="K8" s="309"/>
      <x:c r="L8" s="309"/>
      <x:c r="M8" s="309"/>
      <x:c r="N8" s="309"/>
      <x:c r="O8" s="309"/>
      <x:c r="P8" s="309"/>
    </x:row>
    <x:row r="9" spans="1:16" ht="16.399999999999999">
      <x:c r="A9" s="44" t="s">
        <x:v>119</x:v>
      </x:c>
      <x:c r="B9" s="317"/>
      <x:c r="C9" s="49" t="s">
        <x:v>171</x:v>
      </x:c>
      <x:c r="D9" s="312"/>
      <x:c r="E9" s="312"/>
      <x:c r="F9" s="312"/>
      <x:c r="G9" s="312"/>
      <x:c r="H9" s="312"/>
      <x:c r="I9" s="312"/>
      <x:c r="J9" s="312"/>
      <x:c r="K9" s="309"/>
      <x:c r="L9" s="309"/>
      <x:c r="M9" s="309"/>
      <x:c r="N9" s="309"/>
      <x:c r="O9" s="309"/>
      <x:c r="P9" s="309"/>
    </x:row>
    <x:row r="10" spans="1:16" ht="17.149999999999999">
      <x:c r="A10" s="44"/>
      <x:c r="B10" s="318"/>
      <x:c r="C10" s="53" t="s">
        <x:v>48</x:v>
      </x:c>
      <x:c r="D10" s="313"/>
      <x:c r="E10" s="313"/>
      <x:c r="F10" s="313"/>
      <x:c r="G10" s="313"/>
      <x:c r="H10" s="313"/>
      <x:c r="I10" s="313"/>
      <x:c r="J10" s="313"/>
      <x:c r="K10" s="310"/>
      <x:c r="L10" s="310"/>
      <x:c r="M10" s="310"/>
      <x:c r="N10" s="310"/>
      <x:c r="O10" s="310"/>
      <x:c r="P10" s="310"/>
    </x:row>
    <x:row r="11" spans="1:16" ht="16.399999999999999">
      <x:c r="A11" s="38" t="s">
        <x:v>165</x:v>
      </x:c>
      <x:c r="B11" s="50" t="s">
        <x:v>168</x:v>
      </x:c>
      <x:c r="C11" s="50" t="s">
        <x:v>132</x:v>
      </x:c>
      <x:c r="D11" s="51" t="s">
        <x:v>20</x:v>
      </x:c>
      <x:c r="E11" s="51" t="s">
        <x:v>15</x:v>
      </x:c>
      <x:c r="F11" s="51" t="s">
        <x:v>16</x:v>
      </x:c>
      <x:c r="G11" s="51" t="s">
        <x:v>26</x:v>
      </x:c>
      <x:c r="H11" s="51" t="s">
        <x:v>23</x:v>
      </x:c>
      <x:c r="I11" s="51" t="s">
        <x:v>19</x:v>
      </x:c>
      <x:c r="J11" s="51" t="s">
        <x:v>22</x:v>
      </x:c>
      <x:c r="K11" s="51" t="s">
        <x:v>21</x:v>
      </x:c>
      <x:c r="L11" s="51" t="s">
        <x:v>17</x:v>
      </x:c>
      <x:c r="M11" s="51" t="s">
        <x:v>24</x:v>
      </x:c>
      <x:c r="N11" s="51" t="s">
        <x:v>14</x:v>
      </x:c>
      <x:c r="O11" s="51" t="s">
        <x:v>18</x:v>
      </x:c>
      <x:c r="P11" s="51" t="s">
        <x:v>25</x:v>
      </x:c>
    </x:row>
    <x:row r="12" spans="1:16" ht="16.399999999999999">
      <x:c r="A12" s="38"/>
      <x:c r="B12" s="319" t="s">
        <x:v>100</x:v>
      </x:c>
      <x:c r="C12" s="319" t="s">
        <x:v>65</x:v>
      </x:c>
      <x:c r="D12" s="314" t="s">
        <x:v>100</x:v>
      </x:c>
      <x:c r="E12" s="314" t="s">
        <x:v>67</x:v>
      </x:c>
      <x:c r="F12" s="314" t="s">
        <x:v>100</x:v>
      </x:c>
      <x:c r="G12" s="314" t="s">
        <x:v>51</x:v>
      </x:c>
      <x:c r="H12" s="314" t="s">
        <x:v>74</x:v>
      </x:c>
      <x:c r="I12" s="40" t="s">
        <x:v>112</x:v>
      </x:c>
      <x:c r="J12" s="314" t="s">
        <x:v>74</x:v>
      </x:c>
      <x:c r="K12" s="307" t="s">
        <x:v>51</x:v>
      </x:c>
      <x:c r="L12" s="307" t="s">
        <x:v>103</x:v>
      </x:c>
      <x:c r="M12" s="307" t="s">
        <x:v>111</x:v>
      </x:c>
      <x:c r="N12" s="307" t="s">
        <x:v>51</x:v>
      </x:c>
      <x:c r="O12" s="307" t="s">
        <x:v>51</x:v>
      </x:c>
      <x:c r="P12" s="307" t="s">
        <x:v>102</x:v>
      </x:c>
    </x:row>
    <x:row r="13" spans="1:16" ht="16.399999999999999">
      <x:c r="A13" s="38" t="s">
        <x:v>160</x:v>
      </x:c>
      <x:c r="B13" s="319"/>
      <x:c r="C13" s="319"/>
      <x:c r="D13" s="314"/>
      <x:c r="E13" s="314"/>
      <x:c r="F13" s="314"/>
      <x:c r="G13" s="314"/>
      <x:c r="H13" s="314"/>
      <x:c r="I13" s="39" t="s">
        <x:v>29</x:v>
      </x:c>
      <x:c r="J13" s="314"/>
      <x:c r="K13" s="307"/>
      <x:c r="L13" s="307"/>
      <x:c r="M13" s="307"/>
      <x:c r="N13" s="307"/>
      <x:c r="O13" s="307"/>
      <x:c r="P13" s="307"/>
    </x:row>
    <x:row r="14" spans="1:16" ht="16.399999999999999">
      <x:c r="A14" s="38"/>
      <x:c r="B14" s="319"/>
      <x:c r="C14" s="319"/>
      <x:c r="D14" s="314"/>
      <x:c r="E14" s="314"/>
      <x:c r="F14" s="314"/>
      <x:c r="G14" s="314"/>
      <x:c r="H14" s="314"/>
      <x:c r="I14" s="40" t="s">
        <x:v>107</x:v>
      </x:c>
      <x:c r="J14" s="314"/>
      <x:c r="K14" s="307"/>
      <x:c r="L14" s="307"/>
      <x:c r="M14" s="307"/>
      <x:c r="N14" s="307"/>
      <x:c r="O14" s="307"/>
      <x:c r="P14" s="41" t="s">
        <x:v>27</x:v>
      </x:c>
    </x:row>
    <x:row r="15" spans="1:16" ht="16.399999999999999">
      <x:c r="A15" s="38" t="s">
        <x:v>167</x:v>
      </x:c>
      <x:c r="B15" s="319"/>
      <x:c r="C15" s="319"/>
      <x:c r="D15" s="314"/>
      <x:c r="E15" s="314"/>
      <x:c r="F15" s="314"/>
      <x:c r="G15" s="314"/>
      <x:c r="H15" s="314"/>
      <x:c r="I15" s="39" t="s">
        <x:v>28</x:v>
      </x:c>
      <x:c r="J15" s="314"/>
      <x:c r="K15" s="307"/>
      <x:c r="L15" s="307"/>
      <x:c r="M15" s="307"/>
      <x:c r="N15" s="307"/>
      <x:c r="O15" s="307"/>
      <x:c r="P15" s="42"/>
    </x:row>
    <x:row r="16" spans="1:16" ht="16.399999999999999">
      <x:c r="A16" s="38"/>
      <x:c r="B16" s="319"/>
      <x:c r="C16" s="319"/>
      <x:c r="D16" s="314"/>
      <x:c r="E16" s="314"/>
      <x:c r="F16" s="314"/>
      <x:c r="G16" s="314"/>
      <x:c r="H16" s="314"/>
      <x:c r="I16" s="40" t="s">
        <x:v>84</x:v>
      </x:c>
      <x:c r="J16" s="314"/>
      <x:c r="K16" s="307"/>
      <x:c r="L16" s="307"/>
      <x:c r="M16" s="307"/>
      <x:c r="N16" s="307"/>
      <x:c r="O16" s="307"/>
      <x:c r="P16" s="42"/>
    </x:row>
    <x:row r="17" spans="1:16" ht="16.399999999999999">
      <x:c r="A17" s="38" t="s">
        <x:v>101</x:v>
      </x:c>
      <x:c r="B17" s="37" t="s">
        <x:v>174</x:v>
      </x:c>
      <x:c r="C17" s="37" t="s">
        <x:v>143</x:v>
      </x:c>
      <x:c r="D17" s="39" t="s">
        <x:v>35</x:v>
      </x:c>
      <x:c r="E17" s="39" t="s">
        <x:v>39</x:v>
      </x:c>
      <x:c r="F17" s="39" t="s">
        <x:v>32</x:v>
      </x:c>
      <x:c r="G17" s="39" t="s">
        <x:v>41</x:v>
      </x:c>
      <x:c r="H17" s="39" t="s">
        <x:v>36</x:v>
      </x:c>
      <x:c r="I17" s="39" t="s">
        <x:v>33</x:v>
      </x:c>
      <x:c r="J17" s="39" t="s">
        <x:v>38</x:v>
      </x:c>
      <x:c r="K17" s="39" t="s">
        <x:v>40</x:v>
      </x:c>
      <x:c r="L17" s="39" t="s">
        <x:v>37</x:v>
      </x:c>
      <x:c r="M17" s="39" t="s">
        <x:v>34</x:v>
      </x:c>
      <x:c r="N17" s="39" t="s">
        <x:v>30</x:v>
      </x:c>
      <x:c r="O17" s="39" t="s">
        <x:v>31</x:v>
      </x:c>
      <x:c r="P17" s="42"/>
    </x:row>
    <x:row r="18" spans="1:16" ht="16.399999999999999">
      <x:c r="A18" s="54" t="s">
        <x:v>134</x:v>
      </x:c>
      <x:c r="B18" s="283" t="s">
        <x:v>179</x:v>
      </x:c>
      <x:c r="C18" s="283">
        <x:v>5674</x:v>
      </x:c>
      <x:c r="D18" s="283">
        <x:v>5667</x:v>
      </x:c>
      <x:c r="E18" s="283">
        <x:v>5659</x:v>
      </x:c>
      <x:c r="F18" s="283">
        <x:v>5668</x:v>
      </x:c>
      <x:c r="G18" s="283">
        <x:v>5668</x:v>
      </x:c>
      <x:c r="H18" s="283">
        <x:v>5667</x:v>
      </x:c>
      <x:c r="I18" s="283">
        <x:v>5667</x:v>
      </x:c>
      <x:c r="J18" s="283">
        <x:v>5664</x:v>
      </x:c>
      <x:c r="K18" s="283">
        <x:v>5664</x:v>
      </x:c>
      <x:c r="L18" s="283">
        <x:v>5675</x:v>
      </x:c>
      <x:c r="M18" s="283">
        <x:v>5665</x:v>
      </x:c>
      <x:c r="N18" s="283">
        <x:v>5668</x:v>
      </x:c>
      <x:c r="O18" s="283">
        <x:v>5667</x:v>
      </x:c>
      <x:c r="P18" s="283">
        <x:v>5620</x:v>
      </x:c>
    </x:row>
    <x:row r="19" spans="1:16" ht="16.399999999999999">
      <x:c r="A19" s="54" t="s">
        <x:v>210</x:v>
      </x:c>
      <x:c r="B19" s="283">
        <x:v>23.041</x:v>
      </x:c>
      <x:c r="C19" s="283">
        <x:v>18.747</x:v>
      </x:c>
      <x:c r="D19" s="283">
        <x:v>23.041</x:v>
      </x:c>
      <x:c r="E19" s="283">
        <x:v>23.041</x:v>
      </x:c>
      <x:c r="F19" s="283">
        <x:v>23.041</x:v>
      </x:c>
      <x:c r="G19" s="283">
        <x:v>23.041</x:v>
      </x:c>
      <x:c r="H19" s="283">
        <x:v>23.041</x:v>
      </x:c>
      <x:c r="I19" s="283">
        <x:v>23.041</x:v>
      </x:c>
      <x:c r="J19" s="283">
        <x:v>23.041</x:v>
      </x:c>
      <x:c r="K19" s="283">
        <x:v>23.041</x:v>
      </x:c>
      <x:c r="L19" s="283">
        <x:v>23.041</x:v>
      </x:c>
      <x:c r="M19" s="283">
        <x:v>23.041</x:v>
      </x:c>
      <x:c r="N19" s="283">
        <x:v>23.041</x:v>
      </x:c>
      <x:c r="O19" s="283">
        <x:v>23.041</x:v>
      </x:c>
      <x:c r="P19" s="283">
        <x:v>23.041</x:v>
      </x:c>
    </x:row>
    <x:row r="20" spans="1:16" ht="16.399999999999999">
      <x:c r="A20" s="54" t="s">
        <x:v>216</x:v>
      </x:c>
      <x:c r="B20" s="283">
        <x:v>6.5960000000000001</x:v>
      </x:c>
      <x:c r="C20" s="283">
        <x:v>9.4499999999999993</x:v>
      </x:c>
      <x:c r="D20" s="283">
        <x:v>6.5960000000000001</x:v>
      </x:c>
      <x:c r="E20" s="283">
        <x:v>6.5960000000000001</x:v>
      </x:c>
      <x:c r="F20" s="283">
        <x:v>6.5960000000000001</x:v>
      </x:c>
      <x:c r="G20" s="283">
        <x:v>6.5960000000000001</x:v>
      </x:c>
      <x:c r="H20" s="283">
        <x:v>6.5960000000000001</x:v>
      </x:c>
      <x:c r="I20" s="283">
        <x:v>9.2439999999999998</x:v>
      </x:c>
      <x:c r="J20" s="283">
        <x:v>6.5960000000000001</x:v>
      </x:c>
      <x:c r="K20" s="283">
        <x:v>6.5960000000000001</x:v>
      </x:c>
      <x:c r="L20" s="283">
        <x:v>6.5960000000000001</x:v>
      </x:c>
      <x:c r="M20" s="283">
        <x:v>6.5960000000000001</x:v>
      </x:c>
      <x:c r="N20" s="283">
        <x:v>6.5960000000000001</x:v>
      </x:c>
      <x:c r="O20" s="283">
        <x:v>6.5960000000000001</x:v>
      </x:c>
      <x:c r="P20" s="283">
        <x:v>8.3952000000000009</x:v>
      </x:c>
    </x:row>
    <x:row r="21" spans="1:16" ht="16.399999999999999">
      <x:c r="A21" s="284" t="s">
        <x:v>129</x:v>
      </x:c>
      <x:c r="B21" s="283">
        <x:f>B19-B20</x:f>
        <x:v>16.445</x:v>
      </x:c>
      <x:c r="C21" s="283">
        <x:f t="shared" ref="C21:P21" si="0">C19-C20</x:f>
        <x:v>9.2970000000000006</x:v>
      </x:c>
      <x:c r="D21" s="283">
        <x:f t="shared" si="0"/>
        <x:v>16.445</x:v>
      </x:c>
      <x:c r="E21" s="283">
        <x:f t="shared" si="0"/>
        <x:v>16.445</x:v>
      </x:c>
      <x:c r="F21" s="283">
        <x:f t="shared" si="0"/>
        <x:v>16.445</x:v>
      </x:c>
      <x:c r="G21" s="283">
        <x:f t="shared" si="0"/>
        <x:v>16.445</x:v>
      </x:c>
      <x:c r="H21" s="283">
        <x:f t="shared" si="0"/>
        <x:v>16.445</x:v>
      </x:c>
      <x:c r="I21" s="283">
        <x:f t="shared" si="0"/>
        <x:v>13.797000000000001</x:v>
      </x:c>
      <x:c r="J21" s="283">
        <x:f t="shared" si="0"/>
        <x:v>16.445</x:v>
      </x:c>
      <x:c r="K21" s="283">
        <x:f t="shared" si="0"/>
        <x:v>16.445</x:v>
      </x:c>
      <x:c r="L21" s="283">
        <x:f t="shared" si="0"/>
        <x:v>16.445</x:v>
      </x:c>
      <x:c r="M21" s="283">
        <x:f t="shared" si="0"/>
        <x:v>16.445</x:v>
      </x:c>
      <x:c r="N21" s="283">
        <x:f t="shared" si="0"/>
        <x:v>16.445</x:v>
      </x:c>
      <x:c r="O21" s="283">
        <x:f t="shared" si="0"/>
        <x:v>16.445</x:v>
      </x:c>
      <x:c r="P21" s="283">
        <x:f t="shared" si="0"/>
        <x:v>14.645799999999999</x:v>
      </x:c>
    </x:row>
  </x:sheetData>
  <x:mergeCells count="29">
    <x:mergeCell ref="M12:M16"/>
    <x:mergeCell ref="M6:M10"/>
    <x:mergeCell ref="I6:I10"/>
    <x:mergeCell ref="P12:P13"/>
    <x:mergeCell ref="L12:L16"/>
    <x:mergeCell ref="L6:L10"/>
    <x:mergeCell ref="K12:K16"/>
    <x:mergeCell ref="K6:K10"/>
    <x:mergeCell ref="J12:J16"/>
    <x:mergeCell ref="J6:J10"/>
    <x:mergeCell ref="P6:P10"/>
    <x:mergeCell ref="O12:O16"/>
    <x:mergeCell ref="O6:O10"/>
    <x:mergeCell ref="N12:N16"/>
    <x:mergeCell ref="N6:N10"/>
    <x:mergeCell ref="B3:B4"/>
    <x:mergeCell ref="B6:B10"/>
    <x:mergeCell ref="B12:B16"/>
    <x:mergeCell ref="C12:C16"/>
    <x:mergeCell ref="H12:H16"/>
    <x:mergeCell ref="H6:H10"/>
    <x:mergeCell ref="G12:G16"/>
    <x:mergeCell ref="G6:G10"/>
    <x:mergeCell ref="F12:F16"/>
    <x:mergeCell ref="F6:F10"/>
    <x:mergeCell ref="E12:E16"/>
    <x:mergeCell ref="E6:E10"/>
    <x:mergeCell ref="D12:D16"/>
    <x:mergeCell ref="D6:D10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8" baseType="lpstr">
      <vt:lpstr>Detumbling</vt:lpstr>
      <vt:lpstr>① 2주기(Mission&amp;UHF)</vt:lpstr>
      <vt:lpstr>② 8주기(S-band)</vt:lpstr>
      <vt:lpstr>③ 2주기(S-band)</vt:lpstr>
      <vt:lpstr>④ 그 외</vt:lpstr>
      <vt:lpstr>parameter</vt:lpstr>
      <vt:lpstr>Sheet1</vt:lpstr>
      <vt:lpstr>Sheet2</vt:lpstr>
    </vt:vector>
  </ep:TitlesOfParts>
  <ep:TotalTime>1515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56</cp:revision>
  <dcterms:created xsi:type="dcterms:W3CDTF">2022-05-05T15:04:23.000</dcterms:created>
  <dcterms:modified xsi:type="dcterms:W3CDTF">2022-09-13T13:23:24.080</dcterms:modified>
  <cp:version>1000.0100.01</cp:version>
</cp:coreProperties>
</file>