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대학원\HYVRID\Power Budget excel\"/>
    </mc:Choice>
  </mc:AlternateContent>
  <xr:revisionPtr revIDLastSave="0" documentId="13_ncr:1_{69138612-E7D3-4F54-BCF4-98F7B78C7DFE}" xr6:coauthVersionLast="47" xr6:coauthVersionMax="47" xr10:uidLastSave="{00000000-0000-0000-0000-000000000000}"/>
  <bookViews>
    <workbookView xWindow="-120" yWindow="-120" windowWidth="29040" windowHeight="15840" tabRatio="861" activeTab="13" xr2:uid="{00000000-000D-0000-FFFF-FFFF00000000}"/>
  </bookViews>
  <sheets>
    <sheet name="Detumbling" sheetId="1" r:id="rId1"/>
    <sheet name="① 2주기(Mission&amp;UHF)" sheetId="2" r:id="rId2"/>
    <sheet name="② 8주기(S-band)" sheetId="3" r:id="rId3"/>
    <sheet name="③ 2주기(S-band)" sheetId="4" r:id="rId4"/>
    <sheet name="④ 그 외" sheetId="5" r:id="rId5"/>
    <sheet name="parameter" sheetId="6" r:id="rId6"/>
    <sheet name="Sheet1" sheetId="7" r:id="rId7"/>
    <sheet name="Sheet2" sheetId="8" r:id="rId8"/>
    <sheet name="0(new)" sheetId="9" r:id="rId9"/>
    <sheet name="1(new)" sheetId="11" r:id="rId10"/>
    <sheet name="2(new)" sheetId="13" r:id="rId11"/>
    <sheet name="3(new)" sheetId="14" r:id="rId12"/>
    <sheet name="4(new)" sheetId="15" r:id="rId13"/>
    <sheet name="Sheet3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16" l="1"/>
  <c r="AI17" i="16"/>
  <c r="AI18" i="16"/>
  <c r="AI19" i="16"/>
  <c r="AI20" i="16"/>
  <c r="AI21" i="16"/>
  <c r="AI15" i="16"/>
  <c r="V38" i="15"/>
  <c r="U38" i="15"/>
  <c r="W38" i="15"/>
  <c r="Y38" i="14"/>
  <c r="W7" i="15"/>
  <c r="W8" i="15"/>
  <c r="W9" i="15"/>
  <c r="W10" i="15"/>
  <c r="W11" i="15"/>
  <c r="W12" i="15"/>
  <c r="W13" i="15"/>
  <c r="W14" i="15"/>
  <c r="W15" i="15"/>
  <c r="W16" i="15"/>
  <c r="W19" i="15"/>
  <c r="W20" i="15"/>
  <c r="W21" i="15"/>
  <c r="W22" i="15"/>
  <c r="W23" i="15"/>
  <c r="W24" i="15"/>
  <c r="W25" i="15"/>
  <c r="W26" i="15"/>
  <c r="W27" i="15"/>
  <c r="W28" i="15"/>
  <c r="W30" i="15"/>
  <c r="W31" i="15"/>
  <c r="W32" i="15"/>
  <c r="W33" i="15"/>
  <c r="W34" i="15"/>
  <c r="W35" i="15"/>
  <c r="W36" i="15"/>
  <c r="W37" i="15"/>
  <c r="W6" i="15"/>
  <c r="W5" i="15"/>
  <c r="Y6" i="14"/>
  <c r="Y7" i="14"/>
  <c r="Y8" i="14"/>
  <c r="Y9" i="14"/>
  <c r="Y10" i="14"/>
  <c r="Y11" i="14"/>
  <c r="Y12" i="14"/>
  <c r="Y13" i="14"/>
  <c r="Y14" i="14"/>
  <c r="Y15" i="14"/>
  <c r="Y16" i="14"/>
  <c r="Y19" i="14"/>
  <c r="Y20" i="14"/>
  <c r="Y21" i="14"/>
  <c r="Y22" i="14"/>
  <c r="Y23" i="14"/>
  <c r="Y24" i="14"/>
  <c r="Y25" i="14"/>
  <c r="Y26" i="14"/>
  <c r="Y27" i="14"/>
  <c r="Y28" i="14"/>
  <c r="Y30" i="14"/>
  <c r="Y31" i="14"/>
  <c r="Y32" i="14"/>
  <c r="Y33" i="14"/>
  <c r="Y34" i="14"/>
  <c r="Y35" i="14"/>
  <c r="Y36" i="14"/>
  <c r="Y37" i="14"/>
  <c r="Y5" i="14"/>
  <c r="Y39" i="14"/>
  <c r="V39" i="14"/>
  <c r="X37" i="14"/>
  <c r="W37" i="14"/>
  <c r="V37" i="14"/>
  <c r="X36" i="14"/>
  <c r="W36" i="14"/>
  <c r="V36" i="14"/>
  <c r="X35" i="14"/>
  <c r="W35" i="14"/>
  <c r="V35" i="14"/>
  <c r="X34" i="14"/>
  <c r="W34" i="14"/>
  <c r="V34" i="14"/>
  <c r="X33" i="14"/>
  <c r="W33" i="14"/>
  <c r="V33" i="14"/>
  <c r="X32" i="14"/>
  <c r="W32" i="14"/>
  <c r="V32" i="14"/>
  <c r="X31" i="14"/>
  <c r="W31" i="14"/>
  <c r="V31" i="14"/>
  <c r="X30" i="14"/>
  <c r="W30" i="14"/>
  <c r="V30" i="14"/>
  <c r="X28" i="14"/>
  <c r="W28" i="14"/>
  <c r="V28" i="14"/>
  <c r="T28" i="14"/>
  <c r="S28" i="14"/>
  <c r="R28" i="14"/>
  <c r="X27" i="14"/>
  <c r="W27" i="14"/>
  <c r="V27" i="14"/>
  <c r="X26" i="14"/>
  <c r="W26" i="14"/>
  <c r="V26" i="14"/>
  <c r="X25" i="14"/>
  <c r="W25" i="14"/>
  <c r="V25" i="14"/>
  <c r="X24" i="14"/>
  <c r="W24" i="14"/>
  <c r="V24" i="14"/>
  <c r="X23" i="14"/>
  <c r="W23" i="14"/>
  <c r="V23" i="14"/>
  <c r="X22" i="14"/>
  <c r="W22" i="14"/>
  <c r="V22" i="14"/>
  <c r="X21" i="14"/>
  <c r="W21" i="14"/>
  <c r="V21" i="14"/>
  <c r="X20" i="14"/>
  <c r="W20" i="14"/>
  <c r="V20" i="14"/>
  <c r="X19" i="14"/>
  <c r="W19" i="14"/>
  <c r="V19" i="14"/>
  <c r="X16" i="14"/>
  <c r="W16" i="14"/>
  <c r="V16" i="14"/>
  <c r="X14" i="14"/>
  <c r="W14" i="14"/>
  <c r="V14" i="14"/>
  <c r="X13" i="14"/>
  <c r="W13" i="14"/>
  <c r="V13" i="14"/>
  <c r="T13" i="14"/>
  <c r="S13" i="14"/>
  <c r="R13" i="14"/>
  <c r="T12" i="14"/>
  <c r="X12" i="14" s="1"/>
  <c r="S12" i="14"/>
  <c r="W12" i="14" s="1"/>
  <c r="R12" i="14"/>
  <c r="V12" i="14" s="1"/>
  <c r="X11" i="14"/>
  <c r="W11" i="14"/>
  <c r="V11" i="14"/>
  <c r="X10" i="14"/>
  <c r="W10" i="14"/>
  <c r="V10" i="14"/>
  <c r="X9" i="14"/>
  <c r="W9" i="14"/>
  <c r="V9" i="14"/>
  <c r="X8" i="14"/>
  <c r="W8" i="14"/>
  <c r="V8" i="14"/>
  <c r="X7" i="14"/>
  <c r="W7" i="14"/>
  <c r="V7" i="14"/>
  <c r="X6" i="14"/>
  <c r="W6" i="14"/>
  <c r="V6" i="14"/>
  <c r="X5" i="14"/>
  <c r="X38" i="14" s="1"/>
  <c r="X40" i="14" s="1"/>
  <c r="X44" i="14" s="1"/>
  <c r="W5" i="14"/>
  <c r="W38" i="14" s="1"/>
  <c r="W40" i="14" s="1"/>
  <c r="W44" i="14" s="1"/>
  <c r="V5" i="14"/>
  <c r="Y6" i="13"/>
  <c r="Y7" i="13"/>
  <c r="Y8" i="13"/>
  <c r="Y9" i="13"/>
  <c r="Y10" i="13"/>
  <c r="Y11" i="13"/>
  <c r="Y12" i="13"/>
  <c r="Y13" i="13"/>
  <c r="Y14" i="13"/>
  <c r="Y15" i="13"/>
  <c r="Y16" i="13"/>
  <c r="Y19" i="13"/>
  <c r="Y20" i="13"/>
  <c r="Y21" i="13"/>
  <c r="Y22" i="13"/>
  <c r="Y23" i="13"/>
  <c r="Y24" i="13"/>
  <c r="Y25" i="13"/>
  <c r="Y26" i="13"/>
  <c r="Y27" i="13"/>
  <c r="Y28" i="13"/>
  <c r="Y30" i="13"/>
  <c r="Y31" i="13"/>
  <c r="Y32" i="13"/>
  <c r="Y33" i="13"/>
  <c r="Y34" i="13"/>
  <c r="Y35" i="13"/>
  <c r="Y36" i="13"/>
  <c r="Y37" i="13"/>
  <c r="Y5" i="13"/>
  <c r="Y39" i="13"/>
  <c r="V39" i="13"/>
  <c r="X37" i="13"/>
  <c r="W37" i="13"/>
  <c r="V37" i="13"/>
  <c r="X36" i="13"/>
  <c r="W36" i="13"/>
  <c r="V36" i="13"/>
  <c r="X35" i="13"/>
  <c r="W35" i="13"/>
  <c r="V35" i="13"/>
  <c r="X34" i="13"/>
  <c r="W34" i="13"/>
  <c r="V34" i="13"/>
  <c r="X33" i="13"/>
  <c r="W33" i="13"/>
  <c r="V33" i="13"/>
  <c r="X32" i="13"/>
  <c r="W32" i="13"/>
  <c r="V32" i="13"/>
  <c r="X31" i="13"/>
  <c r="W31" i="13"/>
  <c r="V31" i="13"/>
  <c r="X30" i="13"/>
  <c r="W30" i="13"/>
  <c r="V30" i="13"/>
  <c r="T28" i="13"/>
  <c r="X28" i="13" s="1"/>
  <c r="S28" i="13"/>
  <c r="W28" i="13" s="1"/>
  <c r="R28" i="13"/>
  <c r="V28" i="13" s="1"/>
  <c r="X27" i="13"/>
  <c r="W27" i="13"/>
  <c r="V27" i="13"/>
  <c r="X26" i="13"/>
  <c r="W26" i="13"/>
  <c r="V26" i="13"/>
  <c r="X25" i="13"/>
  <c r="W25" i="13"/>
  <c r="V25" i="13"/>
  <c r="X24" i="13"/>
  <c r="W24" i="13"/>
  <c r="V24" i="13"/>
  <c r="X23" i="13"/>
  <c r="W23" i="13"/>
  <c r="V23" i="13"/>
  <c r="X22" i="13"/>
  <c r="W22" i="13"/>
  <c r="V22" i="13"/>
  <c r="X21" i="13"/>
  <c r="W21" i="13"/>
  <c r="V21" i="13"/>
  <c r="X20" i="13"/>
  <c r="W20" i="13"/>
  <c r="V20" i="13"/>
  <c r="X19" i="13"/>
  <c r="W19" i="13"/>
  <c r="V19" i="13"/>
  <c r="X16" i="13"/>
  <c r="W16" i="13"/>
  <c r="V16" i="13"/>
  <c r="X14" i="13"/>
  <c r="W14" i="13"/>
  <c r="V14" i="13"/>
  <c r="T13" i="13"/>
  <c r="T12" i="13" s="1"/>
  <c r="X12" i="13" s="1"/>
  <c r="S13" i="13"/>
  <c r="S12" i="13" s="1"/>
  <c r="W12" i="13" s="1"/>
  <c r="R13" i="13"/>
  <c r="R12" i="13" s="1"/>
  <c r="V12" i="13" s="1"/>
  <c r="X11" i="13"/>
  <c r="W11" i="13"/>
  <c r="V11" i="13"/>
  <c r="X10" i="13"/>
  <c r="W10" i="13"/>
  <c r="V10" i="13"/>
  <c r="X9" i="13"/>
  <c r="W9" i="13"/>
  <c r="V9" i="13"/>
  <c r="X8" i="13"/>
  <c r="W8" i="13"/>
  <c r="V8" i="13"/>
  <c r="X7" i="13"/>
  <c r="W7" i="13"/>
  <c r="V7" i="13"/>
  <c r="X6" i="13"/>
  <c r="W6" i="13"/>
  <c r="V6" i="13"/>
  <c r="X5" i="13"/>
  <c r="W5" i="13"/>
  <c r="V5" i="13"/>
  <c r="R4" i="13"/>
  <c r="S4" i="13"/>
  <c r="T4" i="13"/>
  <c r="V4" i="13"/>
  <c r="W4" i="13"/>
  <c r="X4" i="13"/>
  <c r="Y4" i="13"/>
  <c r="Y38" i="11"/>
  <c r="X38" i="11"/>
  <c r="W38" i="11"/>
  <c r="V38" i="11"/>
  <c r="Y31" i="11"/>
  <c r="Y32" i="11"/>
  <c r="Y33" i="11"/>
  <c r="Y34" i="11"/>
  <c r="Y35" i="11"/>
  <c r="Y36" i="11"/>
  <c r="Y37" i="11"/>
  <c r="Y30" i="11"/>
  <c r="Y28" i="11"/>
  <c r="Y20" i="11"/>
  <c r="Y21" i="11"/>
  <c r="Y22" i="11"/>
  <c r="Y23" i="11"/>
  <c r="Y24" i="11"/>
  <c r="Y25" i="11"/>
  <c r="Y26" i="11"/>
  <c r="Y27" i="11"/>
  <c r="Y19" i="11"/>
  <c r="Y16" i="11"/>
  <c r="Y6" i="11"/>
  <c r="Y7" i="11"/>
  <c r="Y8" i="11"/>
  <c r="Y9" i="11"/>
  <c r="Y10" i="11"/>
  <c r="Y11" i="11"/>
  <c r="Y12" i="11"/>
  <c r="Y13" i="11"/>
  <c r="Y14" i="11"/>
  <c r="Y5" i="11"/>
  <c r="V6" i="11"/>
  <c r="W6" i="11"/>
  <c r="X6" i="11"/>
  <c r="V7" i="11"/>
  <c r="W7" i="11"/>
  <c r="X7" i="11"/>
  <c r="X14" i="11"/>
  <c r="X12" i="11"/>
  <c r="X35" i="11"/>
  <c r="X34" i="11"/>
  <c r="V13" i="11"/>
  <c r="W13" i="11"/>
  <c r="T12" i="11"/>
  <c r="S12" i="11"/>
  <c r="R12" i="11"/>
  <c r="R13" i="11"/>
  <c r="S13" i="11"/>
  <c r="T13" i="11"/>
  <c r="M37" i="15"/>
  <c r="L37" i="15"/>
  <c r="K37" i="15"/>
  <c r="M36" i="15"/>
  <c r="L35" i="15"/>
  <c r="L34" i="15"/>
  <c r="M33" i="15"/>
  <c r="L33" i="15"/>
  <c r="L32" i="15"/>
  <c r="L31" i="15"/>
  <c r="P28" i="15"/>
  <c r="O28" i="15"/>
  <c r="N28" i="15"/>
  <c r="P27" i="15"/>
  <c r="O27" i="15"/>
  <c r="V27" i="15" s="1"/>
  <c r="N27" i="15"/>
  <c r="O26" i="15"/>
  <c r="O25" i="15"/>
  <c r="O24" i="15"/>
  <c r="L23" i="15"/>
  <c r="O23" i="15" s="1"/>
  <c r="L22" i="15"/>
  <c r="L21" i="15"/>
  <c r="O20" i="15"/>
  <c r="V20" i="15" s="1"/>
  <c r="M19" i="15"/>
  <c r="P19" i="15" s="1"/>
  <c r="L19" i="15"/>
  <c r="O19" i="15" s="1"/>
  <c r="M16" i="15"/>
  <c r="L16" i="15"/>
  <c r="K16" i="15"/>
  <c r="O15" i="15"/>
  <c r="L14" i="15"/>
  <c r="M13" i="15"/>
  <c r="L13" i="15"/>
  <c r="L12" i="15"/>
  <c r="M11" i="15"/>
  <c r="L11" i="15"/>
  <c r="M10" i="15"/>
  <c r="L10" i="15"/>
  <c r="L9" i="15"/>
  <c r="O8" i="15"/>
  <c r="M37" i="14"/>
  <c r="L37" i="14"/>
  <c r="K37" i="14"/>
  <c r="M36" i="14"/>
  <c r="L35" i="14"/>
  <c r="L34" i="14"/>
  <c r="M33" i="14"/>
  <c r="L33" i="14"/>
  <c r="L32" i="14"/>
  <c r="L31" i="14"/>
  <c r="P28" i="14"/>
  <c r="O28" i="14"/>
  <c r="N28" i="14"/>
  <c r="P27" i="14"/>
  <c r="O27" i="14"/>
  <c r="N27" i="14"/>
  <c r="O26" i="14"/>
  <c r="O25" i="14"/>
  <c r="O24" i="14"/>
  <c r="L23" i="14"/>
  <c r="O23" i="14" s="1"/>
  <c r="L22" i="14"/>
  <c r="L21" i="14"/>
  <c r="O20" i="14"/>
  <c r="M19" i="14"/>
  <c r="P19" i="14" s="1"/>
  <c r="L19" i="14"/>
  <c r="O19" i="14" s="1"/>
  <c r="M16" i="14"/>
  <c r="L16" i="14"/>
  <c r="K16" i="14"/>
  <c r="O15" i="14"/>
  <c r="L14" i="14"/>
  <c r="M13" i="14"/>
  <c r="L13" i="14"/>
  <c r="L12" i="14"/>
  <c r="M11" i="14"/>
  <c r="L11" i="14"/>
  <c r="M10" i="14"/>
  <c r="L10" i="14"/>
  <c r="L9" i="14"/>
  <c r="O8" i="14"/>
  <c r="M37" i="13"/>
  <c r="L37" i="13"/>
  <c r="K37" i="13"/>
  <c r="M36" i="13"/>
  <c r="L35" i="13"/>
  <c r="L34" i="13"/>
  <c r="M33" i="13"/>
  <c r="L33" i="13"/>
  <c r="L32" i="13"/>
  <c r="L31" i="13"/>
  <c r="P28" i="13"/>
  <c r="O28" i="13"/>
  <c r="N28" i="13"/>
  <c r="P27" i="13"/>
  <c r="O27" i="13"/>
  <c r="N27" i="13"/>
  <c r="O26" i="13"/>
  <c r="O25" i="13"/>
  <c r="O24" i="13"/>
  <c r="L23" i="13"/>
  <c r="O23" i="13" s="1"/>
  <c r="L22" i="13"/>
  <c r="L21" i="13"/>
  <c r="O20" i="13"/>
  <c r="M19" i="13"/>
  <c r="P19" i="13" s="1"/>
  <c r="L19" i="13"/>
  <c r="O19" i="13" s="1"/>
  <c r="M16" i="13"/>
  <c r="L16" i="13"/>
  <c r="K16" i="13"/>
  <c r="O15" i="13"/>
  <c r="L14" i="13"/>
  <c r="M13" i="13"/>
  <c r="L13" i="13"/>
  <c r="L12" i="13"/>
  <c r="M11" i="13"/>
  <c r="L11" i="13"/>
  <c r="M10" i="13"/>
  <c r="L10" i="13"/>
  <c r="L9" i="13"/>
  <c r="O8" i="13"/>
  <c r="M37" i="9"/>
  <c r="L37" i="9"/>
  <c r="K37" i="9"/>
  <c r="M36" i="9"/>
  <c r="L35" i="9"/>
  <c r="L34" i="9"/>
  <c r="M33" i="9"/>
  <c r="L33" i="9"/>
  <c r="L32" i="9"/>
  <c r="L31" i="9"/>
  <c r="P28" i="9"/>
  <c r="O28" i="9"/>
  <c r="N28" i="9"/>
  <c r="P27" i="9"/>
  <c r="O27" i="9"/>
  <c r="T27" i="9" s="1"/>
  <c r="N27" i="9"/>
  <c r="O26" i="9"/>
  <c r="O25" i="9"/>
  <c r="O24" i="9"/>
  <c r="L23" i="9"/>
  <c r="O23" i="9" s="1"/>
  <c r="T23" i="9" s="1"/>
  <c r="L22" i="9"/>
  <c r="L21" i="9"/>
  <c r="O20" i="9"/>
  <c r="M19" i="9"/>
  <c r="P19" i="9" s="1"/>
  <c r="L19" i="9"/>
  <c r="O19" i="9" s="1"/>
  <c r="T19" i="9" s="1"/>
  <c r="M16" i="9"/>
  <c r="L16" i="9"/>
  <c r="K16" i="9"/>
  <c r="O15" i="9"/>
  <c r="L14" i="9"/>
  <c r="M13" i="9"/>
  <c r="L13" i="9"/>
  <c r="L12" i="9"/>
  <c r="M11" i="9"/>
  <c r="L11" i="9"/>
  <c r="M10" i="9"/>
  <c r="L10" i="9"/>
  <c r="L9" i="9"/>
  <c r="O8" i="9"/>
  <c r="X9" i="11"/>
  <c r="W9" i="11"/>
  <c r="V9" i="11"/>
  <c r="U28" i="15"/>
  <c r="M37" i="11"/>
  <c r="L37" i="11"/>
  <c r="K37" i="11"/>
  <c r="M36" i="11"/>
  <c r="L35" i="11"/>
  <c r="L34" i="11"/>
  <c r="M33" i="11"/>
  <c r="L33" i="11"/>
  <c r="L32" i="11"/>
  <c r="L31" i="11"/>
  <c r="P28" i="11"/>
  <c r="O28" i="11"/>
  <c r="N28" i="11"/>
  <c r="P27" i="11"/>
  <c r="X27" i="11" s="1"/>
  <c r="O27" i="11"/>
  <c r="W27" i="11" s="1"/>
  <c r="N27" i="11"/>
  <c r="O26" i="11"/>
  <c r="O25" i="11"/>
  <c r="O24" i="11"/>
  <c r="L23" i="11"/>
  <c r="O23" i="11" s="1"/>
  <c r="L22" i="11"/>
  <c r="L21" i="11"/>
  <c r="O20" i="11"/>
  <c r="M19" i="11"/>
  <c r="P19" i="11" s="1"/>
  <c r="L19" i="11"/>
  <c r="O19" i="11" s="1"/>
  <c r="M16" i="11"/>
  <c r="L16" i="11"/>
  <c r="K16" i="11"/>
  <c r="O15" i="11"/>
  <c r="L14" i="11"/>
  <c r="M13" i="11"/>
  <c r="L13" i="11"/>
  <c r="L12" i="11"/>
  <c r="M11" i="11"/>
  <c r="L11" i="11"/>
  <c r="M10" i="11"/>
  <c r="L10" i="11"/>
  <c r="L9" i="11"/>
  <c r="O8" i="11"/>
  <c r="R13" i="9"/>
  <c r="R12" i="9" s="1"/>
  <c r="T12" i="9" s="1"/>
  <c r="T9" i="9"/>
  <c r="W4" i="15"/>
  <c r="V4" i="15"/>
  <c r="U4" i="15"/>
  <c r="Y4" i="14"/>
  <c r="X4" i="14"/>
  <c r="W4" i="14"/>
  <c r="V4" i="14"/>
  <c r="Y4" i="11"/>
  <c r="X4" i="11"/>
  <c r="W4" i="11"/>
  <c r="V4" i="11"/>
  <c r="T4" i="9"/>
  <c r="R4" i="9"/>
  <c r="T39" i="9"/>
  <c r="R28" i="15"/>
  <c r="R4" i="15"/>
  <c r="V37" i="15"/>
  <c r="U37" i="15"/>
  <c r="V36" i="15"/>
  <c r="U36" i="15"/>
  <c r="V35" i="15"/>
  <c r="U35" i="15"/>
  <c r="V34" i="15"/>
  <c r="U34" i="15"/>
  <c r="V33" i="15"/>
  <c r="U33" i="15"/>
  <c r="V32" i="15"/>
  <c r="U32" i="15"/>
  <c r="V31" i="15"/>
  <c r="U31" i="15"/>
  <c r="V30" i="15"/>
  <c r="U30" i="15"/>
  <c r="S28" i="15"/>
  <c r="U26" i="15"/>
  <c r="U25" i="15"/>
  <c r="V22" i="15"/>
  <c r="U22" i="15"/>
  <c r="V21" i="15"/>
  <c r="U21" i="15"/>
  <c r="V16" i="15"/>
  <c r="U16" i="15"/>
  <c r="V14" i="15"/>
  <c r="U14" i="15"/>
  <c r="V12" i="15"/>
  <c r="U12" i="15"/>
  <c r="V11" i="15"/>
  <c r="U11" i="15"/>
  <c r="V10" i="15"/>
  <c r="U10" i="15"/>
  <c r="V9" i="15"/>
  <c r="U9" i="15"/>
  <c r="V8" i="15"/>
  <c r="U8" i="15"/>
  <c r="AA7" i="15"/>
  <c r="V7" i="15"/>
  <c r="U7" i="15"/>
  <c r="AA6" i="15"/>
  <c r="V6" i="15"/>
  <c r="U6" i="15"/>
  <c r="V5" i="15"/>
  <c r="U5" i="15"/>
  <c r="S4" i="15"/>
  <c r="AA3" i="15"/>
  <c r="R4" i="14"/>
  <c r="S4" i="14"/>
  <c r="T4" i="14"/>
  <c r="AC7" i="14"/>
  <c r="AC6" i="14"/>
  <c r="AC3" i="14"/>
  <c r="AC7" i="13"/>
  <c r="AC6" i="13"/>
  <c r="AC3" i="13"/>
  <c r="Y39" i="11"/>
  <c r="W28" i="11"/>
  <c r="V28" i="11"/>
  <c r="T16" i="9"/>
  <c r="W12" i="11"/>
  <c r="W37" i="11"/>
  <c r="W36" i="11"/>
  <c r="W35" i="11"/>
  <c r="W34" i="11"/>
  <c r="W26" i="11"/>
  <c r="W25" i="11"/>
  <c r="W24" i="11"/>
  <c r="W22" i="11"/>
  <c r="W21" i="11"/>
  <c r="W20" i="11"/>
  <c r="W16" i="11"/>
  <c r="W14" i="11"/>
  <c r="W11" i="11"/>
  <c r="W10" i="11"/>
  <c r="V26" i="11"/>
  <c r="W8" i="11"/>
  <c r="W5" i="11"/>
  <c r="W33" i="11"/>
  <c r="W31" i="11"/>
  <c r="W32" i="11"/>
  <c r="W30" i="11"/>
  <c r="V25" i="11"/>
  <c r="V16" i="11"/>
  <c r="X36" i="11"/>
  <c r="X37" i="11"/>
  <c r="X33" i="11"/>
  <c r="X28" i="11"/>
  <c r="X13" i="11"/>
  <c r="X11" i="11"/>
  <c r="X10" i="11"/>
  <c r="X31" i="11"/>
  <c r="X32" i="11"/>
  <c r="X30" i="11"/>
  <c r="X24" i="11"/>
  <c r="X25" i="11"/>
  <c r="X26" i="11"/>
  <c r="X22" i="11"/>
  <c r="X21" i="11"/>
  <c r="X20" i="11"/>
  <c r="X16" i="11"/>
  <c r="X8" i="11"/>
  <c r="T28" i="11"/>
  <c r="X5" i="11"/>
  <c r="R4" i="11"/>
  <c r="V39" i="11" s="1"/>
  <c r="T4" i="11"/>
  <c r="S4" i="11"/>
  <c r="S28" i="11"/>
  <c r="V37" i="11"/>
  <c r="V36" i="11"/>
  <c r="V35" i="11"/>
  <c r="V34" i="11"/>
  <c r="V33" i="11"/>
  <c r="V32" i="11"/>
  <c r="V31" i="11"/>
  <c r="V30" i="11"/>
  <c r="R28" i="11"/>
  <c r="V24" i="11"/>
  <c r="V22" i="11"/>
  <c r="V21" i="11"/>
  <c r="V20" i="11"/>
  <c r="V14" i="11"/>
  <c r="V12" i="11"/>
  <c r="V11" i="11"/>
  <c r="V10" i="11"/>
  <c r="V8" i="11"/>
  <c r="AC7" i="11"/>
  <c r="AC6" i="11"/>
  <c r="V5" i="11"/>
  <c r="AC3" i="11"/>
  <c r="T32" i="9"/>
  <c r="T33" i="9"/>
  <c r="R28" i="9"/>
  <c r="T30" i="9"/>
  <c r="T6" i="9"/>
  <c r="T8" i="9"/>
  <c r="T10" i="9"/>
  <c r="T11" i="9"/>
  <c r="T14" i="9"/>
  <c r="T7" i="9"/>
  <c r="T31" i="9"/>
  <c r="T24" i="9"/>
  <c r="T5" i="9"/>
  <c r="T22" i="9"/>
  <c r="T21" i="9"/>
  <c r="T20" i="9"/>
  <c r="T37" i="9"/>
  <c r="X7" i="9"/>
  <c r="T36" i="9"/>
  <c r="X6" i="9"/>
  <c r="T35" i="9"/>
  <c r="T34" i="9"/>
  <c r="X3" i="9"/>
  <c r="J8" i="1"/>
  <c r="K14" i="1"/>
  <c r="H14" i="1"/>
  <c r="K12" i="1"/>
  <c r="P12" i="1" s="1"/>
  <c r="P4" i="2"/>
  <c r="O4" i="2"/>
  <c r="N4" i="2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P74" i="8"/>
  <c r="P76" i="8" s="1"/>
  <c r="O74" i="8"/>
  <c r="O76" i="8" s="1"/>
  <c r="N74" i="8"/>
  <c r="N76" i="8" s="1"/>
  <c r="M74" i="8"/>
  <c r="M76" i="8" s="1"/>
  <c r="L74" i="8"/>
  <c r="L76" i="8" s="1"/>
  <c r="K74" i="8"/>
  <c r="K76" i="8" s="1"/>
  <c r="J74" i="8"/>
  <c r="I74" i="8"/>
  <c r="I76" i="8" s="1"/>
  <c r="H74" i="8"/>
  <c r="H76" i="8" s="1"/>
  <c r="G74" i="8"/>
  <c r="G76" i="8" s="1"/>
  <c r="F74" i="8"/>
  <c r="E74" i="8"/>
  <c r="E76" i="8" s="1"/>
  <c r="D74" i="8"/>
  <c r="D76" i="8" s="1"/>
  <c r="C74" i="8"/>
  <c r="C76" i="8" s="1"/>
  <c r="B74" i="8"/>
  <c r="P73" i="8"/>
  <c r="M73" i="8"/>
  <c r="L73" i="8"/>
  <c r="I73" i="8"/>
  <c r="H73" i="8"/>
  <c r="E73" i="8"/>
  <c r="D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P71" i="8"/>
  <c r="O71" i="8"/>
  <c r="N71" i="8"/>
  <c r="N73" i="8" s="1"/>
  <c r="M71" i="8"/>
  <c r="L71" i="8"/>
  <c r="K71" i="8"/>
  <c r="J71" i="8"/>
  <c r="J73" i="8" s="1"/>
  <c r="I71" i="8"/>
  <c r="H71" i="8"/>
  <c r="G71" i="8"/>
  <c r="F71" i="8"/>
  <c r="F73" i="8" s="1"/>
  <c r="E71" i="8"/>
  <c r="D71" i="8"/>
  <c r="C71" i="8"/>
  <c r="B71" i="8"/>
  <c r="B73" i="8" s="1"/>
  <c r="N70" i="8"/>
  <c r="M70" i="8"/>
  <c r="J70" i="8"/>
  <c r="I70" i="8"/>
  <c r="F70" i="8"/>
  <c r="E70" i="8"/>
  <c r="B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P68" i="8"/>
  <c r="O68" i="8"/>
  <c r="O70" i="8" s="1"/>
  <c r="N68" i="8"/>
  <c r="M68" i="8"/>
  <c r="L68" i="8"/>
  <c r="K68" i="8"/>
  <c r="K70" i="8" s="1"/>
  <c r="J68" i="8"/>
  <c r="I68" i="8"/>
  <c r="H68" i="8"/>
  <c r="G68" i="8"/>
  <c r="G70" i="8" s="1"/>
  <c r="F68" i="8"/>
  <c r="E68" i="8"/>
  <c r="D68" i="8"/>
  <c r="C68" i="8"/>
  <c r="C70" i="8" s="1"/>
  <c r="B68" i="8"/>
  <c r="O67" i="8"/>
  <c r="N67" i="8"/>
  <c r="K67" i="8"/>
  <c r="J67" i="8"/>
  <c r="G67" i="8"/>
  <c r="F67" i="8"/>
  <c r="C67" i="8"/>
  <c r="B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P65" i="8"/>
  <c r="P67" i="8" s="1"/>
  <c r="O65" i="8"/>
  <c r="N65" i="8"/>
  <c r="M65" i="8"/>
  <c r="L65" i="8"/>
  <c r="L67" i="8" s="1"/>
  <c r="K65" i="8"/>
  <c r="J65" i="8"/>
  <c r="I65" i="8"/>
  <c r="H65" i="8"/>
  <c r="H67" i="8" s="1"/>
  <c r="G65" i="8"/>
  <c r="F65" i="8"/>
  <c r="E65" i="8"/>
  <c r="D65" i="8"/>
  <c r="D67" i="8" s="1"/>
  <c r="C65" i="8"/>
  <c r="B65" i="8"/>
  <c r="P64" i="8"/>
  <c r="O64" i="8"/>
  <c r="L64" i="8"/>
  <c r="K64" i="8"/>
  <c r="H64" i="8"/>
  <c r="G64" i="8"/>
  <c r="D64" i="8"/>
  <c r="C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O62" i="8"/>
  <c r="N62" i="8"/>
  <c r="N64" i="8" s="1"/>
  <c r="M62" i="8"/>
  <c r="M64" i="8" s="1"/>
  <c r="L62" i="8"/>
  <c r="K62" i="8"/>
  <c r="J62" i="8"/>
  <c r="J64" i="8" s="1"/>
  <c r="I62" i="8"/>
  <c r="I64" i="8" s="1"/>
  <c r="H62" i="8"/>
  <c r="G62" i="8"/>
  <c r="F62" i="8"/>
  <c r="F64" i="8" s="1"/>
  <c r="E62" i="8"/>
  <c r="E64" i="8" s="1"/>
  <c r="D62" i="8"/>
  <c r="C62" i="8"/>
  <c r="B62" i="8"/>
  <c r="B64" i="8" s="1"/>
  <c r="P61" i="8"/>
  <c r="M61" i="8"/>
  <c r="L61" i="8"/>
  <c r="I61" i="8"/>
  <c r="H61" i="8"/>
  <c r="E61" i="8"/>
  <c r="D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P59" i="8"/>
  <c r="O59" i="8"/>
  <c r="O61" i="8" s="1"/>
  <c r="N59" i="8"/>
  <c r="N61" i="8" s="1"/>
  <c r="M59" i="8"/>
  <c r="L59" i="8"/>
  <c r="K59" i="8"/>
  <c r="K61" i="8" s="1"/>
  <c r="J59" i="8"/>
  <c r="J61" i="8" s="1"/>
  <c r="I59" i="8"/>
  <c r="H59" i="8"/>
  <c r="G59" i="8"/>
  <c r="G61" i="8" s="1"/>
  <c r="F59" i="8"/>
  <c r="F61" i="8" s="1"/>
  <c r="E59" i="8"/>
  <c r="D59" i="8"/>
  <c r="C59" i="8"/>
  <c r="C61" i="8" s="1"/>
  <c r="B59" i="8"/>
  <c r="B61" i="8" s="1"/>
  <c r="N58" i="8"/>
  <c r="M58" i="8"/>
  <c r="J58" i="8"/>
  <c r="I58" i="8"/>
  <c r="F58" i="8"/>
  <c r="E58" i="8"/>
  <c r="B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P56" i="8"/>
  <c r="P58" i="8" s="1"/>
  <c r="O56" i="8"/>
  <c r="O58" i="8" s="1"/>
  <c r="N56" i="8"/>
  <c r="M56" i="8"/>
  <c r="L56" i="8"/>
  <c r="L58" i="8" s="1"/>
  <c r="K56" i="8"/>
  <c r="K58" i="8" s="1"/>
  <c r="J56" i="8"/>
  <c r="I56" i="8"/>
  <c r="H56" i="8"/>
  <c r="H58" i="8" s="1"/>
  <c r="G56" i="8"/>
  <c r="G58" i="8" s="1"/>
  <c r="F56" i="8"/>
  <c r="E56" i="8"/>
  <c r="D56" i="8"/>
  <c r="D58" i="8" s="1"/>
  <c r="C56" i="8"/>
  <c r="C58" i="8" s="1"/>
  <c r="B56" i="8"/>
  <c r="O55" i="8"/>
  <c r="N55" i="8"/>
  <c r="K55" i="8"/>
  <c r="J55" i="8"/>
  <c r="G55" i="8"/>
  <c r="F55" i="8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P53" i="8"/>
  <c r="P55" i="8" s="1"/>
  <c r="O53" i="8"/>
  <c r="N53" i="8"/>
  <c r="M53" i="8"/>
  <c r="M55" i="8" s="1"/>
  <c r="L53" i="8"/>
  <c r="L55" i="8" s="1"/>
  <c r="K53" i="8"/>
  <c r="J53" i="8"/>
  <c r="I53" i="8"/>
  <c r="I55" i="8" s="1"/>
  <c r="H53" i="8"/>
  <c r="H55" i="8" s="1"/>
  <c r="G53" i="8"/>
  <c r="F53" i="8"/>
  <c r="E53" i="8"/>
  <c r="E55" i="8" s="1"/>
  <c r="D53" i="8"/>
  <c r="D55" i="8" s="1"/>
  <c r="C53" i="8"/>
  <c r="B53" i="8"/>
  <c r="P52" i="8"/>
  <c r="O52" i="8"/>
  <c r="L52" i="8"/>
  <c r="K52" i="8"/>
  <c r="H52" i="8"/>
  <c r="G52" i="8"/>
  <c r="D52" i="8"/>
  <c r="C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P50" i="8"/>
  <c r="O50" i="8"/>
  <c r="N50" i="8"/>
  <c r="M50" i="8"/>
  <c r="M52" i="8" s="1"/>
  <c r="L50" i="8"/>
  <c r="K50" i="8"/>
  <c r="J50" i="8"/>
  <c r="I50" i="8"/>
  <c r="I52" i="8" s="1"/>
  <c r="H50" i="8"/>
  <c r="G50" i="8"/>
  <c r="F50" i="8"/>
  <c r="E50" i="8"/>
  <c r="E52" i="8" s="1"/>
  <c r="D50" i="8"/>
  <c r="C50" i="8"/>
  <c r="B50" i="8"/>
  <c r="P49" i="8"/>
  <c r="M49" i="8"/>
  <c r="L49" i="8"/>
  <c r="I49" i="8"/>
  <c r="H49" i="8"/>
  <c r="E49" i="8"/>
  <c r="D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P47" i="8"/>
  <c r="O47" i="8"/>
  <c r="N47" i="8"/>
  <c r="N49" i="8" s="1"/>
  <c r="M47" i="8"/>
  <c r="L47" i="8"/>
  <c r="K47" i="8"/>
  <c r="J47" i="8"/>
  <c r="J49" i="8" s="1"/>
  <c r="I47" i="8"/>
  <c r="H47" i="8"/>
  <c r="G47" i="8"/>
  <c r="F47" i="8"/>
  <c r="F49" i="8" s="1"/>
  <c r="E47" i="8"/>
  <c r="D47" i="8"/>
  <c r="C47" i="8"/>
  <c r="B47" i="8"/>
  <c r="B49" i="8" s="1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G10" i="7"/>
  <c r="F10" i="7"/>
  <c r="E10" i="7"/>
  <c r="G9" i="7"/>
  <c r="F9" i="7"/>
  <c r="E9" i="7"/>
  <c r="G8" i="7"/>
  <c r="F8" i="7"/>
  <c r="E8" i="7"/>
  <c r="E1" i="7"/>
  <c r="E2" i="7" s="1"/>
  <c r="C12" i="6"/>
  <c r="C10" i="6"/>
  <c r="Y6" i="4" s="1"/>
  <c r="N4" i="4" s="1"/>
  <c r="C8" i="6"/>
  <c r="C5" i="6"/>
  <c r="W36" i="5"/>
  <c r="S25" i="5"/>
  <c r="R25" i="5"/>
  <c r="T25" i="5" s="1"/>
  <c r="I25" i="5"/>
  <c r="H25" i="5"/>
  <c r="G25" i="5"/>
  <c r="O24" i="5"/>
  <c r="S24" i="5" s="1"/>
  <c r="N24" i="5"/>
  <c r="R24" i="5" s="1"/>
  <c r="L24" i="5"/>
  <c r="J24" i="5"/>
  <c r="S23" i="5"/>
  <c r="R23" i="5"/>
  <c r="L23" i="5"/>
  <c r="K23" i="5"/>
  <c r="J23" i="5"/>
  <c r="L22" i="5"/>
  <c r="K22" i="5"/>
  <c r="I22" i="5"/>
  <c r="H22" i="5"/>
  <c r="S21" i="5"/>
  <c r="T21" i="5" s="1"/>
  <c r="K21" i="5"/>
  <c r="R21" i="5" s="1"/>
  <c r="H21" i="5"/>
  <c r="T20" i="5"/>
  <c r="S20" i="5"/>
  <c r="R20" i="5"/>
  <c r="K20" i="5"/>
  <c r="T19" i="5"/>
  <c r="S19" i="5"/>
  <c r="R19" i="5"/>
  <c r="S18" i="5"/>
  <c r="R18" i="5"/>
  <c r="T18" i="5" s="1"/>
  <c r="S17" i="5"/>
  <c r="R17" i="5"/>
  <c r="T17" i="5" s="1"/>
  <c r="K16" i="5"/>
  <c r="R16" i="5" s="1"/>
  <c r="S15" i="5"/>
  <c r="T15" i="5" s="1"/>
  <c r="L15" i="5"/>
  <c r="K15" i="5"/>
  <c r="R15" i="5" s="1"/>
  <c r="J15" i="5"/>
  <c r="I15" i="5"/>
  <c r="H15" i="5"/>
  <c r="G15" i="5"/>
  <c r="R14" i="5"/>
  <c r="T14" i="5" s="1"/>
  <c r="H14" i="5"/>
  <c r="K14" i="5" s="1"/>
  <c r="S14" i="5" s="1"/>
  <c r="S13" i="5"/>
  <c r="R13" i="5"/>
  <c r="K13" i="5"/>
  <c r="H13" i="5"/>
  <c r="K12" i="5"/>
  <c r="R12" i="5" s="1"/>
  <c r="S11" i="5"/>
  <c r="T11" i="5" s="1"/>
  <c r="K11" i="5"/>
  <c r="R11" i="5" s="1"/>
  <c r="I11" i="5"/>
  <c r="L11" i="5" s="1"/>
  <c r="H11" i="5"/>
  <c r="R10" i="5"/>
  <c r="T10" i="5" s="1"/>
  <c r="K10" i="5"/>
  <c r="S10" i="5" s="1"/>
  <c r="I10" i="5"/>
  <c r="L10" i="5" s="1"/>
  <c r="H10" i="5"/>
  <c r="S9" i="5"/>
  <c r="I9" i="5"/>
  <c r="L9" i="5" s="1"/>
  <c r="H9" i="5"/>
  <c r="K9" i="5" s="1"/>
  <c r="R9" i="5" s="1"/>
  <c r="T9" i="5" s="1"/>
  <c r="T8" i="5"/>
  <c r="S8" i="5"/>
  <c r="R8" i="5"/>
  <c r="L8" i="5"/>
  <c r="J8" i="5"/>
  <c r="S7" i="5"/>
  <c r="R7" i="5"/>
  <c r="I7" i="5"/>
  <c r="H7" i="5"/>
  <c r="T6" i="5"/>
  <c r="S6" i="5"/>
  <c r="R6" i="5"/>
  <c r="I6" i="5"/>
  <c r="H6" i="5"/>
  <c r="S5" i="5"/>
  <c r="R5" i="5"/>
  <c r="H5" i="5"/>
  <c r="Y3" i="5"/>
  <c r="X36" i="4"/>
  <c r="T25" i="4"/>
  <c r="S25" i="4"/>
  <c r="R25" i="4"/>
  <c r="U25" i="4" s="1"/>
  <c r="I25" i="4"/>
  <c r="H25" i="4"/>
  <c r="G25" i="4"/>
  <c r="P24" i="4"/>
  <c r="T24" i="4" s="1"/>
  <c r="U24" i="4" s="1"/>
  <c r="O24" i="4"/>
  <c r="S24" i="4" s="1"/>
  <c r="N24" i="4"/>
  <c r="R24" i="4" s="1"/>
  <c r="L24" i="4"/>
  <c r="J24" i="4"/>
  <c r="L23" i="4"/>
  <c r="S23" i="4" s="1"/>
  <c r="K23" i="4"/>
  <c r="J23" i="4"/>
  <c r="T22" i="4"/>
  <c r="S22" i="4"/>
  <c r="K22" i="4"/>
  <c r="R22" i="4" s="1"/>
  <c r="I22" i="4"/>
  <c r="L22" i="4" s="1"/>
  <c r="H22" i="4"/>
  <c r="S21" i="4"/>
  <c r="T21" i="4"/>
  <c r="K21" i="4"/>
  <c r="R21" i="4" s="1"/>
  <c r="H21" i="4"/>
  <c r="K20" i="4"/>
  <c r="T19" i="4"/>
  <c r="S19" i="4"/>
  <c r="R19" i="4"/>
  <c r="U19" i="4" s="1"/>
  <c r="T18" i="4"/>
  <c r="S18" i="4"/>
  <c r="R18" i="4"/>
  <c r="U18" i="4" s="1"/>
  <c r="T17" i="4"/>
  <c r="S17" i="4"/>
  <c r="R17" i="4"/>
  <c r="U17" i="4" s="1"/>
  <c r="T16" i="4"/>
  <c r="S16" i="4"/>
  <c r="R16" i="4"/>
  <c r="U16" i="4" s="1"/>
  <c r="L15" i="4"/>
  <c r="T15" i="4" s="1"/>
  <c r="K15" i="4"/>
  <c r="I15" i="4"/>
  <c r="H15" i="4"/>
  <c r="G15" i="4"/>
  <c r="J15" i="4" s="1"/>
  <c r="H14" i="4"/>
  <c r="K14" i="4" s="1"/>
  <c r="K13" i="4"/>
  <c r="H13" i="4"/>
  <c r="K12" i="4"/>
  <c r="R12" i="4" s="1"/>
  <c r="R11" i="4"/>
  <c r="U11" i="4" s="1"/>
  <c r="L11" i="4"/>
  <c r="T11" i="4" s="1"/>
  <c r="I11" i="4"/>
  <c r="H11" i="4"/>
  <c r="K11" i="4" s="1"/>
  <c r="S11" i="4" s="1"/>
  <c r="L10" i="4"/>
  <c r="K10" i="4"/>
  <c r="I10" i="4"/>
  <c r="H10" i="4"/>
  <c r="T9" i="4"/>
  <c r="L9" i="4"/>
  <c r="K9" i="4"/>
  <c r="I9" i="4"/>
  <c r="H9" i="4"/>
  <c r="T8" i="4"/>
  <c r="U8" i="4" s="1"/>
  <c r="S8" i="4"/>
  <c r="R8" i="4"/>
  <c r="L8" i="4"/>
  <c r="J8" i="4"/>
  <c r="U7" i="4"/>
  <c r="S7" i="4"/>
  <c r="R7" i="4"/>
  <c r="P7" i="4"/>
  <c r="T7" i="4" s="1"/>
  <c r="I7" i="4"/>
  <c r="H7" i="4"/>
  <c r="S6" i="4"/>
  <c r="R6" i="4"/>
  <c r="P6" i="4"/>
  <c r="T6" i="4" s="1"/>
  <c r="I6" i="4"/>
  <c r="H6" i="4"/>
  <c r="T5" i="4"/>
  <c r="S5" i="4"/>
  <c r="R5" i="4"/>
  <c r="H5" i="4"/>
  <c r="P4" i="4"/>
  <c r="X36" i="3"/>
  <c r="T25" i="3"/>
  <c r="S25" i="3"/>
  <c r="R25" i="3"/>
  <c r="I25" i="3"/>
  <c r="H25" i="3"/>
  <c r="G25" i="3"/>
  <c r="S24" i="3"/>
  <c r="R24" i="3"/>
  <c r="P24" i="3"/>
  <c r="T24" i="3" s="1"/>
  <c r="O24" i="3"/>
  <c r="N24" i="3"/>
  <c r="L24" i="3"/>
  <c r="J24" i="3"/>
  <c r="S23" i="3"/>
  <c r="R23" i="3"/>
  <c r="L23" i="3"/>
  <c r="K23" i="3"/>
  <c r="T23" i="3" s="1"/>
  <c r="J23" i="3"/>
  <c r="S22" i="3"/>
  <c r="I22" i="3"/>
  <c r="L22" i="3" s="1"/>
  <c r="H22" i="3"/>
  <c r="K22" i="3" s="1"/>
  <c r="R21" i="3"/>
  <c r="T21" i="3"/>
  <c r="H21" i="3"/>
  <c r="K21" i="3" s="1"/>
  <c r="S21" i="3" s="1"/>
  <c r="S20" i="3"/>
  <c r="K20" i="3"/>
  <c r="T20" i="3" s="1"/>
  <c r="T19" i="3"/>
  <c r="S19" i="3"/>
  <c r="R19" i="3"/>
  <c r="T18" i="3"/>
  <c r="S18" i="3"/>
  <c r="R18" i="3"/>
  <c r="U18" i="3" s="1"/>
  <c r="T17" i="3"/>
  <c r="S17" i="3"/>
  <c r="R17" i="3"/>
  <c r="U17" i="3" s="1"/>
  <c r="T16" i="3"/>
  <c r="S16" i="3"/>
  <c r="R16" i="3"/>
  <c r="K16" i="3"/>
  <c r="L15" i="3"/>
  <c r="K15" i="3"/>
  <c r="I15" i="3"/>
  <c r="H15" i="3"/>
  <c r="G15" i="3"/>
  <c r="J15" i="3" s="1"/>
  <c r="R14" i="3"/>
  <c r="K14" i="3"/>
  <c r="H14" i="3"/>
  <c r="S13" i="3"/>
  <c r="H13" i="3"/>
  <c r="K13" i="3" s="1"/>
  <c r="R13" i="3" s="1"/>
  <c r="K12" i="3"/>
  <c r="T12" i="3" s="1"/>
  <c r="L11" i="3"/>
  <c r="K11" i="3"/>
  <c r="I11" i="3"/>
  <c r="H11" i="3"/>
  <c r="T10" i="3"/>
  <c r="K10" i="3"/>
  <c r="I10" i="3"/>
  <c r="L10" i="3" s="1"/>
  <c r="H10" i="3"/>
  <c r="T9" i="3"/>
  <c r="S9" i="3"/>
  <c r="K9" i="3"/>
  <c r="R9" i="3" s="1"/>
  <c r="I9" i="3"/>
  <c r="L9" i="3" s="1"/>
  <c r="H9" i="3"/>
  <c r="T8" i="3"/>
  <c r="S8" i="3"/>
  <c r="U8" i="3" s="1"/>
  <c r="R8" i="3"/>
  <c r="L8" i="3"/>
  <c r="J8" i="3"/>
  <c r="T7" i="3"/>
  <c r="S7" i="3"/>
  <c r="R7" i="3"/>
  <c r="P7" i="3"/>
  <c r="I7" i="3"/>
  <c r="H7" i="3"/>
  <c r="T6" i="3"/>
  <c r="S6" i="3"/>
  <c r="R6" i="3"/>
  <c r="P6" i="3"/>
  <c r="I6" i="3"/>
  <c r="H6" i="3"/>
  <c r="T5" i="3"/>
  <c r="S5" i="3"/>
  <c r="R5" i="3"/>
  <c r="H5" i="3"/>
  <c r="P4" i="3"/>
  <c r="X36" i="2"/>
  <c r="T25" i="2"/>
  <c r="S25" i="2"/>
  <c r="R25" i="2"/>
  <c r="I25" i="2"/>
  <c r="H25" i="2"/>
  <c r="G25" i="2"/>
  <c r="S24" i="2"/>
  <c r="P24" i="2"/>
  <c r="O24" i="2"/>
  <c r="N24" i="2"/>
  <c r="R24" i="2" s="1"/>
  <c r="U24" i="2" s="1"/>
  <c r="L24" i="2"/>
  <c r="T24" i="2" s="1"/>
  <c r="J24" i="2"/>
  <c r="T23" i="2"/>
  <c r="S23" i="2"/>
  <c r="L23" i="2"/>
  <c r="R23" i="2" s="1"/>
  <c r="K23" i="2"/>
  <c r="J23" i="2"/>
  <c r="S22" i="2"/>
  <c r="I22" i="2"/>
  <c r="L22" i="2" s="1"/>
  <c r="H22" i="2"/>
  <c r="K22" i="2" s="1"/>
  <c r="T22" i="2" s="1"/>
  <c r="S21" i="2"/>
  <c r="T21" i="2"/>
  <c r="H21" i="2"/>
  <c r="K21" i="2" s="1"/>
  <c r="R21" i="2" s="1"/>
  <c r="T20" i="2"/>
  <c r="S20" i="2"/>
  <c r="R20" i="2"/>
  <c r="U20" i="2" s="1"/>
  <c r="K20" i="2"/>
  <c r="T19" i="2"/>
  <c r="S19" i="2"/>
  <c r="R19" i="2"/>
  <c r="T18" i="2"/>
  <c r="S18" i="2"/>
  <c r="U18" i="2" s="1"/>
  <c r="R18" i="2"/>
  <c r="T17" i="2"/>
  <c r="S17" i="2"/>
  <c r="R17" i="2"/>
  <c r="T16" i="2"/>
  <c r="S16" i="2"/>
  <c r="K16" i="2"/>
  <c r="R16" i="2" s="1"/>
  <c r="L15" i="2"/>
  <c r="T15" i="2" s="1"/>
  <c r="K15" i="2"/>
  <c r="I15" i="2"/>
  <c r="H15" i="2"/>
  <c r="G15" i="2"/>
  <c r="J15" i="2" s="1"/>
  <c r="S14" i="2"/>
  <c r="R14" i="2"/>
  <c r="U14" i="2" s="1"/>
  <c r="H14" i="2"/>
  <c r="K14" i="2" s="1"/>
  <c r="T14" i="2" s="1"/>
  <c r="K13" i="2"/>
  <c r="H13" i="2"/>
  <c r="K12" i="2"/>
  <c r="T12" i="2" s="1"/>
  <c r="L11" i="2"/>
  <c r="K11" i="2"/>
  <c r="I11" i="2"/>
  <c r="H11" i="2"/>
  <c r="T10" i="2"/>
  <c r="L10" i="2"/>
  <c r="K10" i="2"/>
  <c r="I10" i="2"/>
  <c r="H10" i="2"/>
  <c r="L9" i="2"/>
  <c r="K9" i="2"/>
  <c r="I9" i="2"/>
  <c r="H9" i="2"/>
  <c r="T8" i="2"/>
  <c r="S8" i="2"/>
  <c r="R8" i="2"/>
  <c r="L8" i="2"/>
  <c r="J8" i="2"/>
  <c r="T7" i="2"/>
  <c r="S7" i="2"/>
  <c r="U7" i="2" s="1"/>
  <c r="R7" i="2"/>
  <c r="I7" i="2"/>
  <c r="H7" i="2"/>
  <c r="T6" i="2"/>
  <c r="S6" i="2"/>
  <c r="R6" i="2"/>
  <c r="I6" i="2"/>
  <c r="H6" i="2"/>
  <c r="T5" i="2"/>
  <c r="S5" i="2"/>
  <c r="R5" i="2"/>
  <c r="H5" i="2"/>
  <c r="P27" i="1"/>
  <c r="P25" i="1"/>
  <c r="I25" i="1"/>
  <c r="H25" i="1"/>
  <c r="G25" i="1"/>
  <c r="P24" i="1"/>
  <c r="L24" i="1"/>
  <c r="J24" i="1"/>
  <c r="P23" i="1"/>
  <c r="L23" i="1"/>
  <c r="K23" i="1"/>
  <c r="J23" i="1"/>
  <c r="P22" i="1"/>
  <c r="I22" i="1"/>
  <c r="L22" i="1" s="1"/>
  <c r="H22" i="1"/>
  <c r="K22" i="1" s="1"/>
  <c r="K21" i="1"/>
  <c r="P21" i="1" s="1"/>
  <c r="H21" i="1"/>
  <c r="K20" i="1"/>
  <c r="P20" i="1" s="1"/>
  <c r="P19" i="1"/>
  <c r="P18" i="1"/>
  <c r="P17" i="1"/>
  <c r="P16" i="1"/>
  <c r="K16" i="1"/>
  <c r="L15" i="1"/>
  <c r="J15" i="1"/>
  <c r="I15" i="1"/>
  <c r="H15" i="1"/>
  <c r="K15" i="1" s="1"/>
  <c r="P15" i="1" s="1"/>
  <c r="G15" i="1"/>
  <c r="P14" i="1"/>
  <c r="P13" i="1"/>
  <c r="K13" i="1"/>
  <c r="H13" i="1"/>
  <c r="K11" i="1"/>
  <c r="P11" i="1" s="1"/>
  <c r="I11" i="1"/>
  <c r="L11" i="1" s="1"/>
  <c r="H11" i="1"/>
  <c r="L10" i="1"/>
  <c r="K10" i="1"/>
  <c r="P10" i="1" s="1"/>
  <c r="I10" i="1"/>
  <c r="H10" i="1"/>
  <c r="L9" i="1"/>
  <c r="I9" i="1"/>
  <c r="H9" i="1"/>
  <c r="K9" i="1" s="1"/>
  <c r="P9" i="1" s="1"/>
  <c r="P8" i="1"/>
  <c r="L8" i="1"/>
  <c r="H8" i="1"/>
  <c r="P7" i="1"/>
  <c r="I7" i="1"/>
  <c r="H7" i="1"/>
  <c r="T6" i="1"/>
  <c r="P6" i="1"/>
  <c r="I6" i="1"/>
  <c r="H6" i="1"/>
  <c r="P5" i="1"/>
  <c r="H5" i="1"/>
  <c r="T3" i="1"/>
  <c r="N4" i="1" s="1"/>
  <c r="V38" i="14" l="1"/>
  <c r="V40" i="14" s="1"/>
  <c r="V13" i="13"/>
  <c r="W13" i="13"/>
  <c r="W38" i="13" s="1"/>
  <c r="W40" i="13" s="1"/>
  <c r="W44" i="13" s="1"/>
  <c r="X13" i="13"/>
  <c r="X38" i="13" s="1"/>
  <c r="X40" i="13" s="1"/>
  <c r="X44" i="13" s="1"/>
  <c r="V28" i="15"/>
  <c r="U27" i="15"/>
  <c r="V27" i="11"/>
  <c r="V19" i="11"/>
  <c r="W19" i="11"/>
  <c r="X19" i="11"/>
  <c r="V23" i="11"/>
  <c r="W23" i="11"/>
  <c r="X23" i="11"/>
  <c r="U39" i="15"/>
  <c r="W39" i="15" s="1"/>
  <c r="V25" i="15"/>
  <c r="U20" i="15"/>
  <c r="V26" i="15"/>
  <c r="U19" i="15"/>
  <c r="V19" i="15"/>
  <c r="U23" i="15"/>
  <c r="V23" i="15"/>
  <c r="U24" i="15"/>
  <c r="V24" i="15"/>
  <c r="T28" i="9"/>
  <c r="T38" i="9" s="1"/>
  <c r="T24" i="5"/>
  <c r="T23" i="5"/>
  <c r="U6" i="2"/>
  <c r="U8" i="2"/>
  <c r="U21" i="4"/>
  <c r="U21" i="3"/>
  <c r="U21" i="2"/>
  <c r="S12" i="5"/>
  <c r="T12" i="5" s="1"/>
  <c r="S12" i="3"/>
  <c r="P26" i="1"/>
  <c r="P28" i="1" s="1"/>
  <c r="P29" i="1" s="1"/>
  <c r="P31" i="1" s="1"/>
  <c r="U6" i="4"/>
  <c r="X35" i="4"/>
  <c r="R27" i="4"/>
  <c r="S9" i="2"/>
  <c r="R9" i="2"/>
  <c r="U9" i="2" s="1"/>
  <c r="S11" i="2"/>
  <c r="R11" i="2"/>
  <c r="S13" i="2"/>
  <c r="R13" i="2"/>
  <c r="U13" i="2" s="1"/>
  <c r="S10" i="4"/>
  <c r="R10" i="4"/>
  <c r="R20" i="4"/>
  <c r="T20" i="4"/>
  <c r="S20" i="4"/>
  <c r="T9" i="2"/>
  <c r="T11" i="2"/>
  <c r="T26" i="2" s="1"/>
  <c r="T28" i="2" s="1"/>
  <c r="T32" i="2" s="1"/>
  <c r="U9" i="3"/>
  <c r="U23" i="3"/>
  <c r="S9" i="4"/>
  <c r="S26" i="4" s="1"/>
  <c r="R9" i="4"/>
  <c r="S13" i="4"/>
  <c r="T13" i="4"/>
  <c r="R13" i="4"/>
  <c r="U13" i="4" s="1"/>
  <c r="S26" i="5"/>
  <c r="T7" i="5"/>
  <c r="E3" i="7"/>
  <c r="E4" i="7"/>
  <c r="R11" i="3"/>
  <c r="S11" i="3"/>
  <c r="R15" i="3"/>
  <c r="U15" i="3" s="1"/>
  <c r="S15" i="3"/>
  <c r="S14" i="4"/>
  <c r="R14" i="4"/>
  <c r="U14" i="4" s="1"/>
  <c r="S10" i="2"/>
  <c r="R10" i="2"/>
  <c r="S12" i="2"/>
  <c r="S26" i="2" s="1"/>
  <c r="U19" i="2"/>
  <c r="R22" i="2"/>
  <c r="U22" i="2" s="1"/>
  <c r="U23" i="2"/>
  <c r="U5" i="3"/>
  <c r="R10" i="3"/>
  <c r="S10" i="3"/>
  <c r="T14" i="3"/>
  <c r="S14" i="3"/>
  <c r="U14" i="3" s="1"/>
  <c r="T22" i="3"/>
  <c r="R22" i="3"/>
  <c r="U22" i="3" s="1"/>
  <c r="U5" i="4"/>
  <c r="T12" i="4"/>
  <c r="S12" i="4"/>
  <c r="T13" i="5"/>
  <c r="U12" i="4"/>
  <c r="S22" i="5"/>
  <c r="R22" i="5"/>
  <c r="T22" i="5" s="1"/>
  <c r="U5" i="2"/>
  <c r="R12" i="2"/>
  <c r="U12" i="2" s="1"/>
  <c r="T13" i="2"/>
  <c r="S15" i="2"/>
  <c r="R15" i="2"/>
  <c r="U15" i="2" s="1"/>
  <c r="U16" i="2"/>
  <c r="U17" i="2"/>
  <c r="U25" i="2"/>
  <c r="T11" i="3"/>
  <c r="T26" i="3" s="1"/>
  <c r="T28" i="3" s="1"/>
  <c r="T32" i="3" s="1"/>
  <c r="T13" i="3"/>
  <c r="U13" i="3" s="1"/>
  <c r="T15" i="3"/>
  <c r="U24" i="3"/>
  <c r="T10" i="4"/>
  <c r="T26" i="4" s="1"/>
  <c r="T28" i="4" s="1"/>
  <c r="T32" i="4" s="1"/>
  <c r="T14" i="4"/>
  <c r="S15" i="4"/>
  <c r="R15" i="4"/>
  <c r="U15" i="4" s="1"/>
  <c r="U22" i="4"/>
  <c r="T23" i="4"/>
  <c r="R23" i="4"/>
  <c r="U23" i="4" s="1"/>
  <c r="C11" i="6"/>
  <c r="Y3" i="4"/>
  <c r="E67" i="8"/>
  <c r="I67" i="8"/>
  <c r="M67" i="8"/>
  <c r="C49" i="8"/>
  <c r="G49" i="8"/>
  <c r="K49" i="8"/>
  <c r="O49" i="8"/>
  <c r="B52" i="8"/>
  <c r="F52" i="8"/>
  <c r="J52" i="8"/>
  <c r="N52" i="8"/>
  <c r="D70" i="8"/>
  <c r="H70" i="8"/>
  <c r="L70" i="8"/>
  <c r="P70" i="8"/>
  <c r="C73" i="8"/>
  <c r="G73" i="8"/>
  <c r="K73" i="8"/>
  <c r="O73" i="8"/>
  <c r="B76" i="8"/>
  <c r="F76" i="8"/>
  <c r="J76" i="8"/>
  <c r="Y6" i="3"/>
  <c r="N4" i="3" s="1"/>
  <c r="U7" i="3"/>
  <c r="U16" i="3"/>
  <c r="Y6" i="5"/>
  <c r="N4" i="5" s="1"/>
  <c r="Y3" i="2"/>
  <c r="Y6" i="2"/>
  <c r="Y3" i="3"/>
  <c r="U6" i="3"/>
  <c r="R12" i="3"/>
  <c r="U19" i="3"/>
  <c r="R20" i="3"/>
  <c r="U20" i="3" s="1"/>
  <c r="U25" i="3"/>
  <c r="T5" i="5"/>
  <c r="S16" i="5"/>
  <c r="T16" i="5" s="1"/>
  <c r="V44" i="14" l="1"/>
  <c r="Y44" i="14" s="1"/>
  <c r="Y40" i="14"/>
  <c r="Y38" i="13"/>
  <c r="V38" i="13"/>
  <c r="V40" i="13" s="1"/>
  <c r="X40" i="11"/>
  <c r="X44" i="11" s="1"/>
  <c r="V40" i="11"/>
  <c r="W40" i="11"/>
  <c r="W44" i="11" s="1"/>
  <c r="V40" i="15"/>
  <c r="V44" i="15" s="1"/>
  <c r="T40" i="9"/>
  <c r="T44" i="9" s="1"/>
  <c r="U10" i="2"/>
  <c r="U10" i="3"/>
  <c r="U20" i="4"/>
  <c r="U12" i="3"/>
  <c r="S26" i="3"/>
  <c r="P30" i="1"/>
  <c r="P32" i="1"/>
  <c r="R27" i="2"/>
  <c r="X35" i="2"/>
  <c r="R26" i="2"/>
  <c r="R26" i="3"/>
  <c r="U10" i="4"/>
  <c r="X35" i="3"/>
  <c r="R27" i="3"/>
  <c r="Y7" i="5"/>
  <c r="O4" i="5" s="1"/>
  <c r="S28" i="5" s="1"/>
  <c r="S32" i="5" s="1"/>
  <c r="Y7" i="4"/>
  <c r="O4" i="4" s="1"/>
  <c r="S28" i="4" s="1"/>
  <c r="S32" i="4" s="1"/>
  <c r="Y7" i="2"/>
  <c r="S28" i="2" s="1"/>
  <c r="S32" i="2" s="1"/>
  <c r="T7" i="1"/>
  <c r="Y7" i="3"/>
  <c r="O4" i="3" s="1"/>
  <c r="U11" i="3"/>
  <c r="R26" i="5"/>
  <c r="U11" i="2"/>
  <c r="Y35" i="4"/>
  <c r="Z35" i="4" s="1"/>
  <c r="U27" i="4"/>
  <c r="G5" i="7"/>
  <c r="F5" i="7"/>
  <c r="U9" i="4"/>
  <c r="R26" i="4"/>
  <c r="R27" i="5"/>
  <c r="W35" i="5"/>
  <c r="V42" i="14" l="1"/>
  <c r="Y42" i="14" s="1"/>
  <c r="V41" i="14"/>
  <c r="Y40" i="13"/>
  <c r="V44" i="13"/>
  <c r="Y44" i="13" s="1"/>
  <c r="Y40" i="11"/>
  <c r="V44" i="11"/>
  <c r="Y44" i="11" s="1"/>
  <c r="U40" i="15"/>
  <c r="W40" i="15" s="1"/>
  <c r="T42" i="9"/>
  <c r="T41" i="9"/>
  <c r="T43" i="9" s="1"/>
  <c r="S28" i="3"/>
  <c r="S32" i="3" s="1"/>
  <c r="X35" i="5"/>
  <c r="T27" i="5"/>
  <c r="Y35" i="2"/>
  <c r="Z35" i="2" s="1"/>
  <c r="U27" i="2"/>
  <c r="Y35" i="5"/>
  <c r="G6" i="7"/>
  <c r="G7" i="7"/>
  <c r="U26" i="4"/>
  <c r="R28" i="4"/>
  <c r="U26" i="3"/>
  <c r="R28" i="3"/>
  <c r="U28" i="3" s="1"/>
  <c r="Y36" i="3" s="1"/>
  <c r="Z36" i="3" s="1"/>
  <c r="F6" i="7"/>
  <c r="F7" i="7"/>
  <c r="Y35" i="3"/>
  <c r="R32" i="3"/>
  <c r="U32" i="3" s="1"/>
  <c r="U27" i="3"/>
  <c r="R28" i="5"/>
  <c r="T28" i="5" s="1"/>
  <c r="X36" i="5" s="1"/>
  <c r="Y36" i="5" s="1"/>
  <c r="T26" i="5"/>
  <c r="Z35" i="3"/>
  <c r="U26" i="2"/>
  <c r="R28" i="2"/>
  <c r="U28" i="2" s="1"/>
  <c r="Y36" i="2" s="1"/>
  <c r="Z36" i="2" s="1"/>
  <c r="Y41" i="14" l="1"/>
  <c r="V43" i="14"/>
  <c r="Y43" i="14" s="1"/>
  <c r="V42" i="13"/>
  <c r="Y42" i="13" s="1"/>
  <c r="V41" i="13"/>
  <c r="V41" i="11"/>
  <c r="V42" i="11"/>
  <c r="Y42" i="11" s="1"/>
  <c r="U44" i="15"/>
  <c r="W44" i="15" s="1"/>
  <c r="U41" i="15"/>
  <c r="W41" i="15" s="1"/>
  <c r="U42" i="15"/>
  <c r="W42" i="15" s="1"/>
  <c r="Y37" i="5"/>
  <c r="Z37" i="3"/>
  <c r="R30" i="3"/>
  <c r="U30" i="3" s="1"/>
  <c r="R29" i="3"/>
  <c r="U29" i="3" s="1"/>
  <c r="R31" i="3" s="1"/>
  <c r="U31" i="3" s="1"/>
  <c r="R30" i="2"/>
  <c r="U30" i="2" s="1"/>
  <c r="R29" i="2"/>
  <c r="U29" i="2" s="1"/>
  <c r="R31" i="2" s="1"/>
  <c r="U31" i="2" s="1"/>
  <c r="R32" i="5"/>
  <c r="T32" i="5" s="1"/>
  <c r="U28" i="4"/>
  <c r="R32" i="4"/>
  <c r="U32" i="4" s="1"/>
  <c r="R32" i="2"/>
  <c r="U32" i="2" s="1"/>
  <c r="R30" i="5"/>
  <c r="T30" i="5" s="1"/>
  <c r="R29" i="5"/>
  <c r="T29" i="5" s="1"/>
  <c r="R31" i="5" s="1"/>
  <c r="T31" i="5" s="1"/>
  <c r="Z37" i="2"/>
  <c r="V43" i="13" l="1"/>
  <c r="Y43" i="13" s="1"/>
  <c r="Y41" i="13"/>
  <c r="Y41" i="11"/>
  <c r="V43" i="11"/>
  <c r="Y43" i="11" s="1"/>
  <c r="U43" i="15"/>
  <c r="W43" i="15" s="1"/>
  <c r="Y36" i="4"/>
  <c r="Z36" i="4" s="1"/>
  <c r="Z37" i="4" s="1"/>
  <c r="R30" i="4"/>
  <c r="U30" i="4" s="1"/>
  <c r="R29" i="4"/>
  <c r="U29" i="4" s="1"/>
  <c r="R31" i="4" s="1"/>
  <c r="U31" i="4" s="1"/>
</calcChain>
</file>

<file path=xl/sharedStrings.xml><?xml version="1.0" encoding="utf-8"?>
<sst xmlns="http://schemas.openxmlformats.org/spreadsheetml/2006/main" count="2006" uniqueCount="373">
  <si>
    <t>sunlight</t>
  </si>
  <si>
    <t>Wheel x 3</t>
  </si>
  <si>
    <t>PULSAR-STX</t>
  </si>
  <si>
    <r>
      <rPr>
        <sz val="11"/>
        <color rgb="FF000000"/>
        <rFont val="맑은 고딕"/>
        <family val="3"/>
        <charset val="129"/>
      </rPr>
      <t>710</t>
    </r>
    <r>
      <rPr>
        <sz val="11"/>
        <color rgb="FFFF0000"/>
        <rFont val="맑은 고딕"/>
        <family val="3"/>
        <charset val="129"/>
      </rPr>
      <t xml:space="preserve"> (7043s)</t>
    </r>
  </si>
  <si>
    <t>worst case</t>
  </si>
  <si>
    <t>End ComN</t>
  </si>
  <si>
    <t>Current(A)</t>
  </si>
  <si>
    <t>After mission or S-band COM,charging magnitude</t>
  </si>
  <si>
    <t>SoC after mission or S-band COM except margin</t>
  </si>
  <si>
    <t>Required Energy (orbit average)</t>
  </si>
  <si>
    <t>Generated Energy(orbit average)</t>
  </si>
  <si>
    <t>Power Margin (orbit average)</t>
  </si>
  <si>
    <t>SoC after sun-pointing 6 orbit</t>
  </si>
  <si>
    <t>SoC after mission or S-band COM</t>
  </si>
  <si>
    <t>Earth Gravitational Standard Cosntant (km3/sec2)</t>
  </si>
  <si>
    <t>UHF antenna</t>
  </si>
  <si>
    <t>Cubecontrol</t>
  </si>
  <si>
    <t>GPS antenna</t>
  </si>
  <si>
    <t>S-band Tx</t>
  </si>
  <si>
    <t>EPS</t>
  </si>
  <si>
    <t>OBC</t>
  </si>
  <si>
    <t>PCDU</t>
  </si>
  <si>
    <t>PAYC</t>
  </si>
  <si>
    <t>CNDH</t>
  </si>
  <si>
    <t>PAYR</t>
  </si>
  <si>
    <t>GPS Rx</t>
  </si>
  <si>
    <t>Cubecomputer</t>
  </si>
  <si>
    <t>5V(2)</t>
  </si>
  <si>
    <t>LTAN</t>
  </si>
  <si>
    <t>935s</t>
  </si>
  <si>
    <t>3654s</t>
  </si>
  <si>
    <t>2016s</t>
  </si>
  <si>
    <t>3651s</t>
  </si>
  <si>
    <t>1970s</t>
  </si>
  <si>
    <t>3649s</t>
  </si>
  <si>
    <t>12주기</t>
  </si>
  <si>
    <t>Eclipse</t>
  </si>
  <si>
    <t xml:space="preserve">End </t>
  </si>
  <si>
    <t>3653s</t>
  </si>
  <si>
    <t>3.3V</t>
  </si>
  <si>
    <t>Total</t>
  </si>
  <si>
    <t>Etmp</t>
  </si>
  <si>
    <t>ADCS</t>
  </si>
  <si>
    <t>681s</t>
  </si>
  <si>
    <t>CubeMag</t>
  </si>
  <si>
    <t>5.0V</t>
  </si>
  <si>
    <t>2014s</t>
  </si>
  <si>
    <t>5V(1)</t>
  </si>
  <si>
    <t>COMS</t>
  </si>
  <si>
    <t>2025s</t>
  </si>
  <si>
    <t>&lt; 4.5 A</t>
  </si>
  <si>
    <t>3650s</t>
  </si>
  <si>
    <t>Idel</t>
  </si>
  <si>
    <t>Mode</t>
  </si>
  <si>
    <t>&lt; 4.7 A</t>
  </si>
  <si>
    <t>3652s</t>
  </si>
  <si>
    <t>Idle</t>
  </si>
  <si>
    <t>Vbat</t>
  </si>
  <si>
    <t>2010s</t>
  </si>
  <si>
    <t>3646s</t>
  </si>
  <si>
    <t>10주기</t>
  </si>
  <si>
    <t>OEM719</t>
  </si>
  <si>
    <t>TW1829</t>
  </si>
  <si>
    <t>2018s</t>
  </si>
  <si>
    <t>Time</t>
  </si>
  <si>
    <t>3.3V(3)</t>
  </si>
  <si>
    <t>UHF TRx</t>
  </si>
  <si>
    <t>PAYS</t>
  </si>
  <si>
    <t>Emppt</t>
  </si>
  <si>
    <t>661s</t>
  </si>
  <si>
    <t>Eman</t>
  </si>
  <si>
    <t>Product</t>
  </si>
  <si>
    <t>2458s</t>
  </si>
  <si>
    <t>Nominal</t>
  </si>
  <si>
    <t>VBAT</t>
  </si>
  <si>
    <t>3.3V(2)</t>
  </si>
  <si>
    <t>Power</t>
  </si>
  <si>
    <t>&gt;40%</t>
  </si>
  <si>
    <t>13주기</t>
  </si>
  <si>
    <t>14주기</t>
  </si>
  <si>
    <t>421s</t>
  </si>
  <si>
    <t>510s</t>
  </si>
  <si>
    <t>3.3V(1)</t>
  </si>
  <si>
    <t>11주기</t>
  </si>
  <si>
    <t>channel</t>
  </si>
  <si>
    <t>2015s</t>
  </si>
  <si>
    <t>2024s</t>
  </si>
  <si>
    <t>15주기</t>
  </si>
  <si>
    <t>ISIS</t>
  </si>
  <si>
    <t>&gt; 40 %</t>
  </si>
  <si>
    <t>Peak</t>
  </si>
  <si>
    <t>Note</t>
  </si>
  <si>
    <t>1367s</t>
  </si>
  <si>
    <t>Duty(%)</t>
  </si>
  <si>
    <t>Battery</t>
  </si>
  <si>
    <t>After sun-pointing, charging  magnitude</t>
  </si>
  <si>
    <r>
      <t xml:space="preserve">0 </t>
    </r>
    <r>
      <rPr>
        <sz val="11"/>
        <color rgb="FFFF0000"/>
        <rFont val="맑은 고딕"/>
        <family val="3"/>
        <charset val="129"/>
      </rPr>
      <t>(0s)</t>
    </r>
  </si>
  <si>
    <t xml:space="preserve">Need Orbit number for Full charge </t>
  </si>
  <si>
    <t>Power Margin Value (orbit average)</t>
  </si>
  <si>
    <t>CubeTorquers rod</t>
  </si>
  <si>
    <t>Power Margin Value</t>
  </si>
  <si>
    <t>CubeTorquers coil</t>
  </si>
  <si>
    <t>Depth of Discharge</t>
  </si>
  <si>
    <t xml:space="preserve">End Mission &amp; ComD </t>
  </si>
  <si>
    <t>Starbuck-Nano-Plus</t>
  </si>
  <si>
    <t>Start Index(Time)</t>
  </si>
  <si>
    <t>Cubesense V3 x 2</t>
  </si>
  <si>
    <t>Residual/Generation</t>
  </si>
  <si>
    <t>Mission &amp; UHF COM</t>
  </si>
  <si>
    <t>6주기</t>
  </si>
  <si>
    <t>%</t>
  </si>
  <si>
    <t>Tx</t>
  </si>
  <si>
    <t>N</t>
  </si>
  <si>
    <t>1주기</t>
  </si>
  <si>
    <t>DET</t>
  </si>
  <si>
    <t>Rx</t>
  </si>
  <si>
    <t>7주기</t>
  </si>
  <si>
    <t>sum</t>
  </si>
  <si>
    <t>4주기</t>
  </si>
  <si>
    <t>W</t>
  </si>
  <si>
    <t>5주기</t>
  </si>
  <si>
    <t>3주기</t>
  </si>
  <si>
    <t>9주기</t>
  </si>
  <si>
    <t>G-C</t>
  </si>
  <si>
    <t>GEN</t>
  </si>
  <si>
    <t>8주기</t>
  </si>
  <si>
    <t>Cam</t>
  </si>
  <si>
    <t>2주기</t>
  </si>
  <si>
    <t>CON</t>
  </si>
  <si>
    <t>Wh</t>
  </si>
  <si>
    <t>5V</t>
  </si>
  <si>
    <t>NST</t>
  </si>
  <si>
    <r>
      <t xml:space="preserve">139 </t>
    </r>
    <r>
      <rPr>
        <sz val="11"/>
        <color rgb="FFFF0000"/>
        <rFont val="맑은 고딕"/>
        <family val="3"/>
        <charset val="129"/>
      </rPr>
      <t>(1367s)</t>
    </r>
  </si>
  <si>
    <t>Earth Effective Radius (km)</t>
  </si>
  <si>
    <t>conversion efficiency (%)</t>
  </si>
  <si>
    <t>parameter</t>
  </si>
  <si>
    <t>Detumbling</t>
  </si>
  <si>
    <r>
      <rPr>
        <sz val="11"/>
        <color rgb="FF000000"/>
        <rFont val="맑은 고딕"/>
        <family val="3"/>
        <charset val="129"/>
      </rPr>
      <t>507</t>
    </r>
    <r>
      <rPr>
        <sz val="11"/>
        <color rgb="FFFF0000"/>
        <rFont val="맑은 고딕"/>
        <family val="3"/>
        <charset val="129"/>
      </rPr>
      <t xml:space="preserve"> (5019s)</t>
    </r>
  </si>
  <si>
    <t>Solar cell</t>
  </si>
  <si>
    <r>
      <rPr>
        <sz val="11"/>
        <color rgb="FF000000"/>
        <rFont val="맑은 고딕"/>
        <family val="3"/>
        <charset val="129"/>
      </rPr>
      <t>761</t>
    </r>
    <r>
      <rPr>
        <sz val="11"/>
        <color rgb="FFFF0000"/>
        <rFont val="맑은 고딕"/>
        <family val="3"/>
        <charset val="129"/>
      </rPr>
      <t xml:space="preserve"> (7552s)</t>
    </r>
  </si>
  <si>
    <t>ADCS module</t>
  </si>
  <si>
    <r>
      <rPr>
        <sz val="11"/>
        <color rgb="FF000000"/>
        <rFont val="맑은 고딕"/>
        <family val="3"/>
        <charset val="129"/>
      </rPr>
      <t>829</t>
    </r>
    <r>
      <rPr>
        <sz val="11"/>
        <color rgb="FFFF0000"/>
        <rFont val="맑은 고딕"/>
        <family val="3"/>
        <charset val="129"/>
      </rPr>
      <t xml:space="preserve"> (8232s)</t>
    </r>
  </si>
  <si>
    <t>Stand-by(D)</t>
  </si>
  <si>
    <r>
      <rPr>
        <sz val="11"/>
        <color rgb="FF000000"/>
        <rFont val="맑은 고딕"/>
        <family val="3"/>
        <charset val="129"/>
      </rPr>
      <t>709</t>
    </r>
    <r>
      <rPr>
        <sz val="11"/>
        <color rgb="FFFF0000"/>
        <rFont val="맑은 고딕"/>
        <family val="3"/>
        <charset val="129"/>
      </rPr>
      <t xml:space="preserve"> (7033s)</t>
    </r>
  </si>
  <si>
    <t>Start ComN</t>
  </si>
  <si>
    <t>Stand-by(N)</t>
  </si>
  <si>
    <t>1367+5668</t>
  </si>
  <si>
    <t>Stand-by</t>
  </si>
  <si>
    <t>Optimus-40</t>
  </si>
  <si>
    <t>GOMspace</t>
  </si>
  <si>
    <t>S-band COM</t>
  </si>
  <si>
    <t>Component</t>
  </si>
  <si>
    <t xml:space="preserve">Eclipse </t>
  </si>
  <si>
    <t>Peak load</t>
  </si>
  <si>
    <t>Subsystem</t>
  </si>
  <si>
    <t xml:space="preserve">Dayside </t>
  </si>
  <si>
    <t>Power Generation(Wh)</t>
  </si>
  <si>
    <t>Conversion Efficiency</t>
  </si>
  <si>
    <t>Consumption Power (W)</t>
  </si>
  <si>
    <t>Power Consumption(Wh)</t>
  </si>
  <si>
    <t>orbital period (sec)</t>
  </si>
  <si>
    <t>SoC after sun-pointing</t>
  </si>
  <si>
    <t xml:space="preserve">Start Mission &amp; ComD </t>
  </si>
  <si>
    <t>total power consumption</t>
  </si>
  <si>
    <t>solar panel efficiency</t>
  </si>
  <si>
    <t>S-band period</t>
  </si>
  <si>
    <t>Gen-Cons(Wh)</t>
  </si>
  <si>
    <t>charging rate</t>
  </si>
  <si>
    <t>DoD reference</t>
  </si>
  <si>
    <t>Eclipse (sec)</t>
  </si>
  <si>
    <t>attitdue (km)</t>
  </si>
  <si>
    <t>NanoCam - 70 mm</t>
  </si>
  <si>
    <t>Beta angle(deg)</t>
  </si>
  <si>
    <t>sunlight (sec)</t>
  </si>
  <si>
    <t>Voltage Input</t>
  </si>
  <si>
    <t>Total Time(sec)</t>
  </si>
  <si>
    <t>Missiond period</t>
  </si>
  <si>
    <t>NanoCom AX100</t>
  </si>
  <si>
    <r>
      <rPr>
        <sz val="11"/>
        <color rgb="FF000000"/>
        <rFont val="맑은 고딕"/>
        <family val="3"/>
        <charset val="129"/>
      </rPr>
      <t>1075</t>
    </r>
    <r>
      <rPr>
        <sz val="11"/>
        <color rgb="FFFF0000"/>
        <rFont val="맑은 고딕"/>
        <family val="3"/>
        <charset val="129"/>
      </rPr>
      <t xml:space="preserve"> (10689s)</t>
    </r>
  </si>
  <si>
    <t>Power Margin</t>
  </si>
  <si>
    <r>
      <rPr>
        <sz val="11"/>
        <color rgb="FF000000"/>
        <rFont val="맑은 고딕"/>
        <family val="3"/>
        <charset val="129"/>
      </rPr>
      <t>1278</t>
    </r>
    <r>
      <rPr>
        <sz val="11"/>
        <color rgb="FFFF0000"/>
        <rFont val="맑은 고딕"/>
        <family val="3"/>
        <charset val="129"/>
      </rPr>
      <t xml:space="preserve"> (12713s)</t>
    </r>
  </si>
  <si>
    <t>Orbit period</t>
  </si>
  <si>
    <t>required margin</t>
  </si>
  <si>
    <r>
      <t xml:space="preserve">1279 </t>
    </r>
    <r>
      <rPr>
        <sz val="11"/>
        <color rgb="FFFF0000"/>
        <rFont val="맑은 고딕"/>
        <family val="3"/>
        <charset val="129"/>
      </rPr>
      <t>(12713s)</t>
    </r>
  </si>
  <si>
    <r>
      <t xml:space="preserve">1849 </t>
    </r>
    <r>
      <rPr>
        <sz val="11"/>
        <color rgb="FFFF0000"/>
        <rFont val="맑은 고딕"/>
        <family val="3"/>
        <charset val="129"/>
      </rPr>
      <t>(18388s)</t>
    </r>
  </si>
  <si>
    <r>
      <t xml:space="preserve">2416 </t>
    </r>
    <r>
      <rPr>
        <sz val="11"/>
        <color rgb="FFFF0000"/>
        <rFont val="맑은 고딕"/>
        <family val="3"/>
        <charset val="129"/>
      </rPr>
      <t>(24055s)</t>
    </r>
  </si>
  <si>
    <r>
      <t xml:space="preserve">2985 </t>
    </r>
    <r>
      <rPr>
        <sz val="11"/>
        <color rgb="FFFF0000"/>
        <rFont val="맑은 고딕"/>
        <family val="3"/>
        <charset val="129"/>
      </rPr>
      <t>(29728s)</t>
    </r>
  </si>
  <si>
    <r>
      <t>4126</t>
    </r>
    <r>
      <rPr>
        <sz val="11"/>
        <color rgb="FFFF0000"/>
        <rFont val="맑은 고딕"/>
        <family val="3"/>
        <charset val="129"/>
      </rPr>
      <t xml:space="preserve"> (41077s)</t>
    </r>
  </si>
  <si>
    <r>
      <t xml:space="preserve">4696 </t>
    </r>
    <r>
      <rPr>
        <sz val="11"/>
        <color rgb="FFFF0000"/>
        <rFont val="맑은 고딕"/>
        <family val="3"/>
        <charset val="129"/>
      </rPr>
      <t>(46750s)</t>
    </r>
  </si>
  <si>
    <r>
      <t xml:space="preserve">3556 </t>
    </r>
    <r>
      <rPr>
        <sz val="11"/>
        <color rgb="FFFF0000"/>
        <rFont val="맑은 고딕"/>
        <family val="3"/>
        <charset val="129"/>
      </rPr>
      <t>(35403s)</t>
    </r>
  </si>
  <si>
    <r>
      <t xml:space="preserve">5265 </t>
    </r>
    <r>
      <rPr>
        <sz val="11"/>
        <color rgb="FFFF0000"/>
        <rFont val="맑은 고딕"/>
        <family val="3"/>
        <charset val="129"/>
      </rPr>
      <t>(52422s)</t>
    </r>
  </si>
  <si>
    <r>
      <t xml:space="preserve">5834 </t>
    </r>
    <r>
      <rPr>
        <sz val="11"/>
        <color rgb="FFFF0000"/>
        <rFont val="맑은 고딕"/>
        <family val="3"/>
        <charset val="129"/>
      </rPr>
      <t>(58093s)</t>
    </r>
  </si>
  <si>
    <r>
      <t xml:space="preserve">6972 </t>
    </r>
    <r>
      <rPr>
        <sz val="11"/>
        <color rgb="FFFF0000"/>
        <rFont val="맑은 고딕"/>
        <family val="3"/>
        <charset val="129"/>
      </rPr>
      <t>(69435s)</t>
    </r>
  </si>
  <si>
    <r>
      <t xml:space="preserve">7543 </t>
    </r>
    <r>
      <rPr>
        <sz val="11"/>
        <color rgb="FFFF0000"/>
        <rFont val="맑은 고딕"/>
        <family val="3"/>
        <charset val="129"/>
      </rPr>
      <t>(75108s)</t>
    </r>
  </si>
  <si>
    <r>
      <t xml:space="preserve">6404 </t>
    </r>
    <r>
      <rPr>
        <sz val="11"/>
        <color rgb="FFFF0000"/>
        <rFont val="맑은 고딕"/>
        <family val="3"/>
        <charset val="129"/>
      </rPr>
      <t>(63766s)</t>
    </r>
  </si>
  <si>
    <r>
      <t xml:space="preserve">8114 </t>
    </r>
    <r>
      <rPr>
        <sz val="11"/>
        <color rgb="FFFF0000"/>
        <rFont val="맑은 고딕"/>
        <family val="3"/>
        <charset val="129"/>
      </rPr>
      <t>(80782s)</t>
    </r>
  </si>
  <si>
    <r>
      <t xml:space="preserve">1646 </t>
    </r>
    <r>
      <rPr>
        <sz val="11"/>
        <color rgb="FFFF0000"/>
        <rFont val="맑은 고딕"/>
        <family val="3"/>
        <charset val="129"/>
      </rPr>
      <t>(16364s)</t>
    </r>
  </si>
  <si>
    <r>
      <t xml:space="preserve">5061 </t>
    </r>
    <r>
      <rPr>
        <sz val="11"/>
        <color rgb="FFFF0000"/>
        <rFont val="맑은 고딕"/>
        <family val="3"/>
        <charset val="129"/>
      </rPr>
      <t>(50395s)</t>
    </r>
  </si>
  <si>
    <r>
      <t xml:space="preserve">2214 </t>
    </r>
    <r>
      <rPr>
        <sz val="11"/>
        <color rgb="FFFF0000"/>
        <rFont val="맑은 고딕"/>
        <family val="3"/>
        <charset val="129"/>
      </rPr>
      <t>(22036s)</t>
    </r>
  </si>
  <si>
    <r>
      <t xml:space="preserve">2782 </t>
    </r>
    <r>
      <rPr>
        <sz val="11"/>
        <color rgb="FFFF0000"/>
        <rFont val="맑은 고딕"/>
        <family val="3"/>
        <charset val="129"/>
      </rPr>
      <t>(27707s)</t>
    </r>
  </si>
  <si>
    <r>
      <t xml:space="preserve">3353 </t>
    </r>
    <r>
      <rPr>
        <sz val="11"/>
        <color rgb="FFFF0000"/>
        <rFont val="맑은 고딕"/>
        <family val="3"/>
        <charset val="129"/>
      </rPr>
      <t>(33381s)</t>
    </r>
  </si>
  <si>
    <r>
      <t xml:space="preserve">4493 </t>
    </r>
    <r>
      <rPr>
        <sz val="11"/>
        <color rgb="FFFF0000"/>
        <rFont val="맑은 고딕"/>
        <family val="3"/>
        <charset val="129"/>
      </rPr>
      <t>(44726s)</t>
    </r>
  </si>
  <si>
    <r>
      <t>5631</t>
    </r>
    <r>
      <rPr>
        <sz val="11"/>
        <color rgb="FFFF0000"/>
        <rFont val="맑은 고딕"/>
        <family val="3"/>
        <charset val="129"/>
      </rPr>
      <t xml:space="preserve"> (56071s)</t>
    </r>
  </si>
  <si>
    <r>
      <t xml:space="preserve">7340 </t>
    </r>
    <r>
      <rPr>
        <sz val="11"/>
        <color rgb="FFFF0000"/>
        <rFont val="맑은 고딕"/>
        <family val="3"/>
        <charset val="129"/>
      </rPr>
      <t>(73088s)</t>
    </r>
  </si>
  <si>
    <r>
      <t xml:space="preserve">8482 </t>
    </r>
    <r>
      <rPr>
        <sz val="11"/>
        <color rgb="FFFF0000"/>
        <rFont val="맑은 고딕"/>
        <family val="3"/>
        <charset val="129"/>
      </rPr>
      <t>(84431s)</t>
    </r>
  </si>
  <si>
    <r>
      <t xml:space="preserve">6769 </t>
    </r>
    <r>
      <rPr>
        <sz val="11"/>
        <color rgb="FFFF0000"/>
        <rFont val="맑은 고딕"/>
        <family val="3"/>
        <charset val="129"/>
      </rPr>
      <t>(67414s)</t>
    </r>
  </si>
  <si>
    <r>
      <t xml:space="preserve">7911 </t>
    </r>
    <r>
      <rPr>
        <sz val="11"/>
        <color rgb="FFFF0000"/>
        <rFont val="맑은 고딕"/>
        <family val="3"/>
        <charset val="129"/>
      </rPr>
      <t>(78759s)</t>
    </r>
  </si>
  <si>
    <r>
      <t xml:space="preserve">3922 </t>
    </r>
    <r>
      <rPr>
        <sz val="11"/>
        <color rgb="FFFF0000"/>
        <rFont val="맑은 고딕"/>
        <family val="3"/>
        <charset val="129"/>
      </rPr>
      <t>(39051s)</t>
    </r>
  </si>
  <si>
    <r>
      <t xml:space="preserve">6201 </t>
    </r>
    <r>
      <rPr>
        <sz val="11"/>
        <color rgb="FFFF0000"/>
        <rFont val="맑은 고딕"/>
        <family val="3"/>
        <charset val="129"/>
      </rPr>
      <t>(61743s)</t>
    </r>
  </si>
  <si>
    <r>
      <t xml:space="preserve">4587 </t>
    </r>
    <r>
      <rPr>
        <sz val="11"/>
        <color rgb="FFFF0000"/>
        <rFont val="맑은 고딕"/>
        <family val="3"/>
        <charset val="129"/>
      </rPr>
      <t>(45660s)</t>
    </r>
  </si>
  <si>
    <r>
      <t xml:space="preserve">8680 </t>
    </r>
    <r>
      <rPr>
        <sz val="11"/>
        <color rgb="FFFF0000"/>
        <rFont val="맑은 고딕"/>
        <family val="3"/>
        <charset val="129"/>
      </rPr>
      <t>(86400s)</t>
    </r>
  </si>
  <si>
    <r>
      <t xml:space="preserve">4653 </t>
    </r>
    <r>
      <rPr>
        <sz val="11"/>
        <color rgb="FFFF0000"/>
        <rFont val="맑은 고딕"/>
        <family val="3"/>
        <charset val="129"/>
      </rPr>
      <t>(46320s)</t>
    </r>
  </si>
  <si>
    <r>
      <t xml:space="preserve">6971 </t>
    </r>
    <r>
      <rPr>
        <sz val="11"/>
        <color rgb="FFFF0000"/>
        <rFont val="맑은 고딕"/>
        <family val="3"/>
        <charset val="129"/>
      </rPr>
      <t>(69429s)</t>
    </r>
  </si>
  <si>
    <r>
      <t xml:space="preserve">5264 </t>
    </r>
    <r>
      <rPr>
        <sz val="11"/>
        <color rgb="FFFF0000"/>
        <rFont val="맑은 고딕"/>
        <family val="3"/>
        <charset val="129"/>
      </rPr>
      <t>(52412s)</t>
    </r>
  </si>
  <si>
    <r>
      <t xml:space="preserve">2415 </t>
    </r>
    <r>
      <rPr>
        <sz val="11"/>
        <color rgb="FFFF0000"/>
        <rFont val="맑은 고딕"/>
        <family val="3"/>
        <charset val="129"/>
      </rPr>
      <t>(24045s)</t>
    </r>
  </si>
  <si>
    <r>
      <t xml:space="preserve">7542 </t>
    </r>
    <r>
      <rPr>
        <sz val="11"/>
        <color rgb="FFFF0000"/>
        <rFont val="맑은 고딕"/>
        <family val="3"/>
        <charset val="129"/>
      </rPr>
      <t>(75101s)</t>
    </r>
  </si>
  <si>
    <r>
      <t xml:space="preserve">1848 </t>
    </r>
    <r>
      <rPr>
        <sz val="11"/>
        <color rgb="FFFF0000"/>
        <rFont val="맑은 고딕"/>
        <family val="3"/>
        <charset val="129"/>
      </rPr>
      <t>(18378s)</t>
    </r>
  </si>
  <si>
    <r>
      <t>5833</t>
    </r>
    <r>
      <rPr>
        <sz val="11"/>
        <color rgb="FFFF0000"/>
        <rFont val="맑은 고딕"/>
        <family val="3"/>
        <charset val="129"/>
      </rPr>
      <t xml:space="preserve"> (58084s)</t>
    </r>
  </si>
  <si>
    <r>
      <t xml:space="preserve">8113 </t>
    </r>
    <r>
      <rPr>
        <sz val="11"/>
        <color rgb="FFFF0000"/>
        <rFont val="맑은 고딕"/>
        <family val="3"/>
        <charset val="129"/>
      </rPr>
      <t>(80773s)</t>
    </r>
  </si>
  <si>
    <r>
      <t xml:space="preserve">6403 </t>
    </r>
    <r>
      <rPr>
        <sz val="11"/>
        <color rgb="FFFF0000"/>
        <rFont val="맑은 고딕"/>
        <family val="3"/>
        <charset val="129"/>
      </rPr>
      <t>(63766s)</t>
    </r>
  </si>
  <si>
    <r>
      <t xml:space="preserve">3555 </t>
    </r>
    <r>
      <rPr>
        <sz val="11"/>
        <color rgb="FFFF0000"/>
        <rFont val="맑은 고딕"/>
        <family val="3"/>
        <charset val="129"/>
      </rPr>
      <t>(35394s)</t>
    </r>
  </si>
  <si>
    <r>
      <t xml:space="preserve">4125 </t>
    </r>
    <r>
      <rPr>
        <sz val="11"/>
        <color rgb="FFFF0000"/>
        <rFont val="맑은 고딕"/>
        <family val="3"/>
        <charset val="129"/>
      </rPr>
      <t>(41068s)</t>
    </r>
  </si>
  <si>
    <r>
      <t xml:space="preserve">2984 </t>
    </r>
    <r>
      <rPr>
        <sz val="11"/>
        <color rgb="FFFF0000"/>
        <rFont val="맑은 고딕"/>
        <family val="3"/>
        <charset val="129"/>
      </rPr>
      <t>(29721s)</t>
    </r>
  </si>
  <si>
    <r>
      <t xml:space="preserve">4695 </t>
    </r>
    <r>
      <rPr>
        <sz val="11"/>
        <color rgb="FFFF0000"/>
        <rFont val="맑은 고딕"/>
        <family val="3"/>
        <charset val="129"/>
      </rPr>
      <t>(46740s)</t>
    </r>
  </si>
  <si>
    <t>Module</t>
    <phoneticPr fontId="9" type="noConversion"/>
  </si>
  <si>
    <t>GNC(ADCS)</t>
    <phoneticPr fontId="9" type="noConversion"/>
  </si>
  <si>
    <t>EPS</t>
    <phoneticPr fontId="9" type="noConversion"/>
  </si>
  <si>
    <t>5V(2)</t>
    <phoneticPr fontId="9" type="noConversion"/>
  </si>
  <si>
    <t>5V(1)</t>
    <phoneticPr fontId="9" type="noConversion"/>
  </si>
  <si>
    <t>MSP</t>
    <phoneticPr fontId="9" type="noConversion"/>
  </si>
  <si>
    <t>ADCS Module</t>
    <phoneticPr fontId="9" type="noConversion"/>
  </si>
  <si>
    <t>channel</t>
    <phoneticPr fontId="9" type="noConversion"/>
  </si>
  <si>
    <t>3.3V</t>
    <phoneticPr fontId="9" type="noConversion"/>
  </si>
  <si>
    <t>5V</t>
    <phoneticPr fontId="9" type="noConversion"/>
  </si>
  <si>
    <t>3.3V(1)</t>
    <phoneticPr fontId="9" type="noConversion"/>
  </si>
  <si>
    <t>CubeTorquers rod</t>
    <phoneticPr fontId="9" type="noConversion"/>
  </si>
  <si>
    <t>CubeTorquers coil</t>
    <phoneticPr fontId="9" type="noConversion"/>
  </si>
  <si>
    <t>Battery</t>
    <phoneticPr fontId="9" type="noConversion"/>
  </si>
  <si>
    <t>PCDU</t>
    <phoneticPr fontId="9" type="noConversion"/>
  </si>
  <si>
    <t>GPS Rx</t>
    <phoneticPr fontId="9" type="noConversion"/>
  </si>
  <si>
    <t>AZURSPACE</t>
    <phoneticPr fontId="9" type="noConversion"/>
  </si>
  <si>
    <t>CUBECOM</t>
    <phoneticPr fontId="9" type="noConversion"/>
  </si>
  <si>
    <t>MTQ</t>
    <phoneticPr fontId="9" type="noConversion"/>
  </si>
  <si>
    <t>Manufacturer</t>
    <phoneticPr fontId="9" type="noConversion"/>
  </si>
  <si>
    <t>FSS</t>
    <phoneticPr fontId="9" type="noConversion"/>
  </si>
  <si>
    <t>MMT</t>
    <phoneticPr fontId="9" type="noConversion"/>
  </si>
  <si>
    <t>RWA</t>
    <phoneticPr fontId="9" type="noConversion"/>
  </si>
  <si>
    <t>AAC Clyde space</t>
    <phoneticPr fontId="9" type="noConversion"/>
  </si>
  <si>
    <t>3G30C-Advanced</t>
    <phoneticPr fontId="9" type="noConversion"/>
  </si>
  <si>
    <t>GOMSPACE</t>
    <phoneticPr fontId="9" type="noConversion"/>
  </si>
  <si>
    <t>CSS(TBD)</t>
    <phoneticPr fontId="9" type="noConversion"/>
  </si>
  <si>
    <t>Coarse Sun Sensors</t>
    <phoneticPr fontId="9" type="noConversion"/>
  </si>
  <si>
    <t>CUBESPACE</t>
    <phoneticPr fontId="9" type="noConversion"/>
  </si>
  <si>
    <t>Cube Wheel Medium x 3</t>
    <phoneticPr fontId="9" type="noConversion"/>
  </si>
  <si>
    <t>NovAtel</t>
    <phoneticPr fontId="9" type="noConversion"/>
  </si>
  <si>
    <t>TALLYSMAN</t>
    <phoneticPr fontId="9" type="noConversion"/>
  </si>
  <si>
    <t>Note</t>
    <phoneticPr fontId="9" type="noConversion"/>
  </si>
  <si>
    <t>Include Momentum Wheel</t>
    <phoneticPr fontId="9" type="noConversion"/>
  </si>
  <si>
    <t>Deployable Magnetometer</t>
    <phoneticPr fontId="9" type="noConversion"/>
  </si>
  <si>
    <t>Circuit activate for 5s (0.62Ax8V)</t>
    <phoneticPr fontId="9" type="noConversion"/>
  </si>
  <si>
    <t>NST</t>
    <phoneticPr fontId="9" type="noConversion"/>
  </si>
  <si>
    <t>ISIS</t>
    <phoneticPr fontId="9" type="noConversion"/>
  </si>
  <si>
    <t>NanoCom AX100</t>
    <phoneticPr fontId="9" type="noConversion"/>
  </si>
  <si>
    <t>PULSAR-STX</t>
    <phoneticPr fontId="9" type="noConversion"/>
  </si>
  <si>
    <t>OBC</t>
    <phoneticPr fontId="9" type="noConversion"/>
  </si>
  <si>
    <t>HYVRID OBC</t>
    <phoneticPr fontId="9" type="noConversion"/>
  </si>
  <si>
    <t>UHF ANT</t>
    <phoneticPr fontId="9" type="noConversion"/>
  </si>
  <si>
    <t>Deployable Antenna System</t>
    <phoneticPr fontId="9" type="noConversion"/>
  </si>
  <si>
    <t>S-band ANT</t>
    <phoneticPr fontId="9" type="noConversion"/>
  </si>
  <si>
    <t>S-band Tx</t>
    <phoneticPr fontId="9" type="noConversion"/>
  </si>
  <si>
    <t>PULSAR-SANT</t>
    <phoneticPr fontId="9" type="noConversion"/>
  </si>
  <si>
    <t>in-house</t>
    <phoneticPr fontId="9" type="noConversion"/>
  </si>
  <si>
    <t>Ophir</t>
    <phoneticPr fontId="9" type="noConversion"/>
  </si>
  <si>
    <t>Nanocam C1U</t>
    <phoneticPr fontId="9" type="noConversion"/>
  </si>
  <si>
    <t>박막전개장치</t>
    <phoneticPr fontId="9" type="noConversion"/>
  </si>
  <si>
    <t>레이저 감지기</t>
    <phoneticPr fontId="9" type="noConversion"/>
  </si>
  <si>
    <t>GPS ANT</t>
    <phoneticPr fontId="9" type="noConversion"/>
  </si>
  <si>
    <t>Low Noise Amplifier</t>
    <phoneticPr fontId="9" type="noConversion"/>
  </si>
  <si>
    <t>stowed</t>
    <phoneticPr fontId="9" type="noConversion"/>
  </si>
  <si>
    <t>deployed</t>
    <phoneticPr fontId="9" type="noConversion"/>
  </si>
  <si>
    <t>deployment</t>
    <phoneticPr fontId="9" type="noConversion"/>
  </si>
  <si>
    <t>During Deployment 2W Power Consumption</t>
    <phoneticPr fontId="9" type="noConversion"/>
  </si>
  <si>
    <t>Typical Deployment Duration &lt; 3s</t>
    <phoneticPr fontId="9" type="noConversion"/>
  </si>
  <si>
    <t>24dBM RF</t>
    <phoneticPr fontId="9" type="noConversion"/>
  </si>
  <si>
    <t>30dBM RF</t>
    <phoneticPr fontId="9" type="noConversion"/>
  </si>
  <si>
    <t>Transmitter with adjustable 24 to 30 dBm output power</t>
    <phoneticPr fontId="9" type="noConversion"/>
  </si>
  <si>
    <t>Idle(OFF)</t>
    <phoneticPr fontId="9" type="noConversion"/>
  </si>
  <si>
    <t>PAYS</t>
    <phoneticPr fontId="9" type="noConversion"/>
  </si>
  <si>
    <t>PAYR</t>
    <phoneticPr fontId="9" type="noConversion"/>
  </si>
  <si>
    <t>PAYC</t>
    <phoneticPr fontId="9" type="noConversion"/>
  </si>
  <si>
    <t>When heater active</t>
    <phoneticPr fontId="9" type="noConversion"/>
  </si>
  <si>
    <t>Deployment mag</t>
    <phoneticPr fontId="9" type="noConversion"/>
  </si>
  <si>
    <t>Stand-by(N)</t>
    <phoneticPr fontId="9" type="noConversion"/>
  </si>
  <si>
    <t>Stand-by(D)</t>
    <phoneticPr fontId="9" type="noConversion"/>
  </si>
  <si>
    <t>Mission &amp; UHF COM</t>
    <phoneticPr fontId="9" type="noConversion"/>
  </si>
  <si>
    <t>S-band COM</t>
    <phoneticPr fontId="9" type="noConversion"/>
  </si>
  <si>
    <t>total</t>
    <phoneticPr fontId="9" type="noConversion"/>
  </si>
  <si>
    <t>Starbuck-Nano-Plus</t>
    <phoneticPr fontId="9" type="noConversion"/>
  </si>
  <si>
    <t>CSS(with Solar panel)</t>
    <phoneticPr fontId="9" type="noConversion"/>
  </si>
  <si>
    <t>Coarse Sun Sensor x 10</t>
    <phoneticPr fontId="9" type="noConversion"/>
  </si>
  <si>
    <t>Momentum wheel</t>
    <phoneticPr fontId="9" type="noConversion"/>
  </si>
  <si>
    <t>VBAT(2)</t>
    <phoneticPr fontId="9" type="noConversion"/>
  </si>
  <si>
    <t>VBAT(1)</t>
    <phoneticPr fontId="9" type="noConversion"/>
  </si>
  <si>
    <t>Coil x 1</t>
    <phoneticPr fontId="9" type="noConversion"/>
  </si>
  <si>
    <t>Small Rod x 2</t>
    <phoneticPr fontId="9" type="noConversion"/>
  </si>
  <si>
    <t>Peak Power = 3.6V x 500mA @ Max</t>
    <phoneticPr fontId="9" type="noConversion"/>
  </si>
  <si>
    <r>
      <t>extreme temperature : -30</t>
    </r>
    <r>
      <rPr>
        <sz val="11"/>
        <color rgb="FF000000"/>
        <rFont val="D2Coding"/>
        <family val="1"/>
        <charset val="129"/>
      </rPr>
      <t>℃</t>
    </r>
    <r>
      <rPr>
        <sz val="11"/>
        <color rgb="FF000000"/>
        <rFont val="D2Coding"/>
        <family val="2"/>
      </rPr>
      <t>~+85</t>
    </r>
    <r>
      <rPr>
        <sz val="11"/>
        <color rgb="FF000000"/>
        <rFont val="D2Coding"/>
        <family val="1"/>
        <charset val="129"/>
      </rPr>
      <t>℃</t>
    </r>
    <phoneticPr fontId="9" type="noConversion"/>
  </si>
  <si>
    <t>Typ</t>
    <phoneticPr fontId="9" type="noConversion"/>
  </si>
  <si>
    <t>total (time rate)</t>
    <phoneticPr fontId="9" type="noConversion"/>
  </si>
  <si>
    <t>천문우주학</t>
  </si>
  <si>
    <t>생명과학</t>
  </si>
  <si>
    <t>소속</t>
  </si>
  <si>
    <t>학년</t>
  </si>
  <si>
    <t>채명주</t>
  </si>
  <si>
    <t>출결</t>
  </si>
  <si>
    <t>권상준</t>
  </si>
  <si>
    <t>4</t>
  </si>
  <si>
    <t>X</t>
  </si>
  <si>
    <t>1조</t>
  </si>
  <si>
    <t>김연수</t>
  </si>
  <si>
    <t>성명</t>
  </si>
  <si>
    <t>임성진</t>
  </si>
  <si>
    <t>학번</t>
  </si>
  <si>
    <t>3조</t>
  </si>
  <si>
    <t>2조</t>
  </si>
  <si>
    <t>김해진</t>
  </si>
  <si>
    <t>3</t>
  </si>
  <si>
    <t>O</t>
  </si>
  <si>
    <t>조호윤</t>
  </si>
  <si>
    <t>물리학</t>
  </si>
  <si>
    <t>2</t>
  </si>
  <si>
    <t>2021132041</t>
  </si>
  <si>
    <t>2017135007</t>
  </si>
  <si>
    <t>2020135019</t>
  </si>
  <si>
    <t>2020254050</t>
  </si>
  <si>
    <t>Maneesha</t>
  </si>
  <si>
    <t>2021135029</t>
  </si>
  <si>
    <t>2021135014</t>
  </si>
  <si>
    <t>2021135018</t>
  </si>
  <si>
    <t>O</t>
    <phoneticPr fontId="9" type="noConversion"/>
  </si>
  <si>
    <t>X</t>
    <phoneticPr fontId="9" type="noConversion"/>
  </si>
  <si>
    <t>Mission</t>
    <phoneticPr fontId="9" type="noConversion"/>
  </si>
  <si>
    <t>Cassini</t>
    <phoneticPr fontId="9" type="noConversion"/>
  </si>
  <si>
    <t>Juno</t>
    <phoneticPr fontId="9" type="noConversion"/>
  </si>
  <si>
    <t>Artemis</t>
    <phoneticPr fontId="9" type="noConversion"/>
  </si>
  <si>
    <t>Chandra</t>
    <phoneticPr fontId="9" type="noConversion"/>
  </si>
  <si>
    <t>Gaia</t>
    <phoneticPr fontId="9" type="noConversion"/>
  </si>
  <si>
    <t>Galex</t>
    <phoneticPr fontId="9" type="noConversion"/>
  </si>
  <si>
    <t>Fermi</t>
    <phoneticPr fontId="9" type="noConversion"/>
  </si>
  <si>
    <r>
      <t>09-08 (2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</si>
  <si>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09-15 (3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</si>
  <si>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09-22 (4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</si>
  <si>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09-29 (5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</si>
  <si>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10-06 (6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</si>
  <si>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10-13 (7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</si>
  <si>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t>△</t>
    <phoneticPr fontId="9" type="noConversion"/>
  </si>
  <si>
    <t>출결일수</t>
    <phoneticPr fontId="9" type="noConversion"/>
  </si>
  <si>
    <t>채명주</t>
    <phoneticPr fontId="9" type="noConversion"/>
  </si>
  <si>
    <t>수강변경기간</t>
    <phoneticPr fontId="9" type="noConversion"/>
  </si>
  <si>
    <t>평균</t>
    <phoneticPr fontId="9" type="noConversion"/>
  </si>
  <si>
    <t>점수</t>
    <phoneticPr fontId="9" type="noConversion"/>
  </si>
  <si>
    <t>교수</t>
    <phoneticPr fontId="9" type="noConversion"/>
  </si>
  <si>
    <t>김연수</t>
    <phoneticPr fontId="9" type="noConversion"/>
  </si>
  <si>
    <t>조교</t>
    <phoneticPr fontId="9" type="noConversion"/>
  </si>
  <si>
    <r>
      <t>10-27 9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</si>
  <si>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11-03 (10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</si>
  <si>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11-10 (11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</si>
  <si>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11-17 (12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</si>
  <si>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11-24 (13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</si>
  <si>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r>
      <t>12-01 (14</t>
    </r>
    <r>
      <rPr>
        <b/>
        <sz val="10"/>
        <color rgb="FF000000"/>
        <rFont val="Arial Unicode MS"/>
        <family val="2"/>
        <charset val="129"/>
      </rPr>
      <t>주차</t>
    </r>
    <r>
      <rPr>
        <b/>
        <sz val="10"/>
        <color indexed="8"/>
        <rFont val="Arial"/>
        <family val="2"/>
      </rPr>
      <t>)</t>
    </r>
    <phoneticPr fontId="9" type="noConversion"/>
  </si>
  <si>
    <t>태양계 내외 탐사 및 관측</t>
    <phoneticPr fontId="9" type="noConversion"/>
  </si>
  <si>
    <t>암흑 물질 관측</t>
    <phoneticPr fontId="9" type="noConversion"/>
  </si>
  <si>
    <r>
      <rPr>
        <sz val="10"/>
        <color rgb="FF000000"/>
        <rFont val="맑은 고딕"/>
        <family val="3"/>
        <charset val="129"/>
        <scheme val="major"/>
      </rPr>
      <t>외계</t>
    </r>
    <r>
      <rPr>
        <sz val="10"/>
        <color indexed="8"/>
        <rFont val="맑은 고딕"/>
        <family val="3"/>
        <charset val="129"/>
        <scheme val="major"/>
      </rPr>
      <t xml:space="preserve"> </t>
    </r>
    <r>
      <rPr>
        <sz val="10"/>
        <color rgb="FF000000"/>
        <rFont val="맑은 고딕"/>
        <family val="3"/>
        <charset val="129"/>
        <scheme val="major"/>
      </rPr>
      <t>행성</t>
    </r>
    <r>
      <rPr>
        <sz val="10"/>
        <color indexed="8"/>
        <rFont val="맑은 고딕"/>
        <family val="3"/>
        <charset val="129"/>
        <scheme val="major"/>
      </rPr>
      <t xml:space="preserve"> </t>
    </r>
    <r>
      <rPr>
        <sz val="10"/>
        <color rgb="FF000000"/>
        <rFont val="맑은 고딕"/>
        <family val="3"/>
        <charset val="129"/>
        <scheme val="major"/>
      </rPr>
      <t>관측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</si>
</sst>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000_);[Red]\(0.00000\)"/>
    <numFmt numFmtId="177" formatCode="0_);[Red]\(0\)"/>
    <numFmt numFmtId="178" formatCode="0.0000_ "/>
    <numFmt numFmtId="179" formatCode="0.00000_ "/>
    <numFmt numFmtId="180" formatCode="0.00_ "/>
  </numFmts>
  <fonts count="33">
    <font>
      <sz val="11"/>
      <color rgb="FF000000"/>
      <name val="D2Coding"/>
    </font>
    <font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000000"/>
      <name val="D2Coding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4472C4"/>
      <name val="D2Coding"/>
    </font>
    <font>
      <sz val="8"/>
      <name val="돋움"/>
      <family val="3"/>
      <charset val="129"/>
    </font>
    <font>
      <sz val="11"/>
      <color rgb="FFFF0000"/>
      <name val="D2Coding"/>
    </font>
    <font>
      <sz val="11"/>
      <color rgb="FFFF0000"/>
      <name val="D2Coding"/>
      <family val="2"/>
    </font>
    <font>
      <sz val="11"/>
      <color rgb="FF000000"/>
      <name val="Arial"/>
      <family val="2"/>
    </font>
    <font>
      <sz val="11"/>
      <color rgb="FF000000"/>
      <name val="D2Coding"/>
      <family val="1"/>
      <charset val="129"/>
    </font>
    <font>
      <sz val="11"/>
      <name val="D2Coding"/>
    </font>
    <font>
      <sz val="11"/>
      <name val="D2Coding"/>
      <family val="2"/>
    </font>
    <font>
      <b/>
      <sz val="11"/>
      <name val="D2Coding"/>
    </font>
    <font>
      <sz val="11"/>
      <color rgb="FF000000"/>
      <name val="D2Coding"/>
      <family val="2"/>
    </font>
    <font>
      <sz val="11"/>
      <name val="맑은 고딕"/>
      <family val="3"/>
      <charset val="129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Arial Unicode MS"/>
      <family val="2"/>
      <charset val="129"/>
    </font>
    <font>
      <sz val="10"/>
      <color rgb="FF000000"/>
      <name val="Segoe UI Symbol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AE3BA"/>
        <bgColor indexed="64"/>
      </patternFill>
    </fill>
    <fill>
      <patternFill patternType="solid">
        <fgColor rgb="FFB4D79C"/>
        <bgColor indexed="64"/>
      </patternFill>
    </fill>
    <fill>
      <patternFill patternType="solid">
        <fgColor rgb="FFFFE69E"/>
        <bgColor indexed="64"/>
      </patternFill>
    </fill>
    <fill>
      <patternFill patternType="solid">
        <fgColor rgb="FF93C570"/>
        <bgColor indexed="64"/>
      </patternFill>
    </fill>
    <fill>
      <patternFill patternType="solid">
        <fgColor rgb="FFFFDC78"/>
        <bgColor indexed="64"/>
      </patternFill>
    </fill>
    <fill>
      <patternFill patternType="solid">
        <fgColor rgb="FFCFFDFD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E3E9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9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177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9" fontId="0" fillId="4" borderId="1" xfId="0" applyNumberFormat="1" applyFill="1" applyBorder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9" fontId="0" fillId="5" borderId="1" xfId="0" applyNumberForma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0" fillId="7" borderId="1" xfId="0" applyNumberFormat="1" applyFill="1" applyBorder="1" applyAlignment="1">
      <alignment horizontal="right" vertical="center"/>
    </xf>
    <xf numFmtId="176" fontId="5" fillId="7" borderId="1" xfId="0" applyNumberFormat="1" applyFont="1" applyFill="1" applyBorder="1" applyAlignment="1">
      <alignment horizontal="right" vertical="center"/>
    </xf>
    <xf numFmtId="9" fontId="0" fillId="7" borderId="1" xfId="0" applyNumberFormat="1" applyFill="1" applyBorder="1" applyAlignment="1">
      <alignment horizontal="right" vertical="center"/>
    </xf>
    <xf numFmtId="176" fontId="0" fillId="8" borderId="1" xfId="0" applyNumberFormat="1" applyFill="1" applyBorder="1" applyAlignment="1">
      <alignment horizontal="right" vertical="center"/>
    </xf>
    <xf numFmtId="176" fontId="5" fillId="8" borderId="1" xfId="0" applyNumberFormat="1" applyFont="1" applyFill="1" applyBorder="1" applyAlignment="1">
      <alignment horizontal="right" vertical="center"/>
    </xf>
    <xf numFmtId="9" fontId="0" fillId="8" borderId="1" xfId="0" applyNumberFormat="1" applyFill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176" fontId="0" fillId="9" borderId="1" xfId="0" applyNumberFormat="1" applyFill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shrinkToFit="1"/>
    </xf>
    <xf numFmtId="0" fontId="0" fillId="2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6" fontId="0" fillId="0" borderId="22" xfId="0" applyNumberFormat="1" applyBorder="1" applyAlignment="1">
      <alignment horizontal="right" vertical="center"/>
    </xf>
    <xf numFmtId="176" fontId="0" fillId="0" borderId="23" xfId="0" applyNumberFormat="1" applyBorder="1" applyAlignment="1">
      <alignment horizontal="right" vertical="center"/>
    </xf>
    <xf numFmtId="176" fontId="0" fillId="9" borderId="22" xfId="0" applyNumberFormat="1" applyFill="1" applyBorder="1" applyAlignment="1">
      <alignment horizontal="right" vertical="center"/>
    </xf>
    <xf numFmtId="176" fontId="0" fillId="9" borderId="23" xfId="0" applyNumberFormat="1" applyFill="1" applyBorder="1" applyAlignment="1">
      <alignment horizontal="right" vertical="center"/>
    </xf>
    <xf numFmtId="176" fontId="0" fillId="8" borderId="22" xfId="0" applyNumberFormat="1" applyFill="1" applyBorder="1" applyAlignment="1">
      <alignment horizontal="right" vertical="center"/>
    </xf>
    <xf numFmtId="176" fontId="0" fillId="8" borderId="23" xfId="0" applyNumberFormat="1" applyFill="1" applyBorder="1" applyAlignment="1">
      <alignment horizontal="right" vertical="center"/>
    </xf>
    <xf numFmtId="176" fontId="0" fillId="3" borderId="22" xfId="0" applyNumberFormat="1" applyFill="1" applyBorder="1" applyAlignment="1">
      <alignment horizontal="right" vertical="center"/>
    </xf>
    <xf numFmtId="176" fontId="0" fillId="3" borderId="23" xfId="0" applyNumberFormat="1" applyFill="1" applyBorder="1" applyAlignment="1">
      <alignment horizontal="right" vertical="center"/>
    </xf>
    <xf numFmtId="176" fontId="0" fillId="4" borderId="22" xfId="0" applyNumberFormat="1" applyFill="1" applyBorder="1" applyAlignment="1">
      <alignment horizontal="right" vertical="center"/>
    </xf>
    <xf numFmtId="176" fontId="0" fillId="4" borderId="23" xfId="0" applyNumberFormat="1" applyFill="1" applyBorder="1" applyAlignment="1">
      <alignment horizontal="right" vertical="center"/>
    </xf>
    <xf numFmtId="176" fontId="0" fillId="2" borderId="22" xfId="0" applyNumberFormat="1" applyFill="1" applyBorder="1" applyAlignment="1">
      <alignment horizontal="right" vertical="center"/>
    </xf>
    <xf numFmtId="176" fontId="0" fillId="2" borderId="23" xfId="0" applyNumberFormat="1" applyFill="1" applyBorder="1" applyAlignment="1">
      <alignment horizontal="right" vertical="center"/>
    </xf>
    <xf numFmtId="176" fontId="0" fillId="7" borderId="22" xfId="0" applyNumberFormat="1" applyFill="1" applyBorder="1" applyAlignment="1">
      <alignment horizontal="right" vertical="center"/>
    </xf>
    <xf numFmtId="176" fontId="0" fillId="7" borderId="23" xfId="0" applyNumberFormat="1" applyFill="1" applyBorder="1" applyAlignment="1">
      <alignment horizontal="right" vertical="center"/>
    </xf>
    <xf numFmtId="176" fontId="0" fillId="5" borderId="22" xfId="0" applyNumberFormat="1" applyFill="1" applyBorder="1" applyAlignment="1">
      <alignment horizontal="right" vertical="center"/>
    </xf>
    <xf numFmtId="176" fontId="0" fillId="5" borderId="23" xfId="0" applyNumberFormat="1" applyFill="1" applyBorder="1" applyAlignment="1">
      <alignment horizontal="right" vertical="center"/>
    </xf>
    <xf numFmtId="176" fontId="5" fillId="3" borderId="22" xfId="0" applyNumberFormat="1" applyFont="1" applyFill="1" applyBorder="1" applyAlignment="1">
      <alignment horizontal="right" vertical="center"/>
    </xf>
    <xf numFmtId="176" fontId="5" fillId="3" borderId="23" xfId="0" applyNumberFormat="1" applyFont="1" applyFill="1" applyBorder="1" applyAlignment="1">
      <alignment horizontal="right" vertical="center"/>
    </xf>
    <xf numFmtId="176" fontId="0" fillId="4" borderId="25" xfId="0" applyNumberFormat="1" applyFill="1" applyBorder="1" applyAlignment="1">
      <alignment horizontal="right" vertical="center"/>
    </xf>
    <xf numFmtId="176" fontId="0" fillId="4" borderId="26" xfId="0" applyNumberFormat="1" applyFill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5" fillId="4" borderId="27" xfId="0" applyNumberFormat="1" applyFont="1" applyFill="1" applyBorder="1" applyAlignment="1">
      <alignment horizontal="right" vertical="center"/>
    </xf>
    <xf numFmtId="176" fontId="5" fillId="4" borderId="25" xfId="0" applyNumberFormat="1" applyFont="1" applyFill="1" applyBorder="1" applyAlignment="1">
      <alignment horizontal="right" vertical="center"/>
    </xf>
    <xf numFmtId="176" fontId="5" fillId="4" borderId="26" xfId="0" applyNumberFormat="1" applyFont="1" applyFill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176" fontId="0" fillId="9" borderId="0" xfId="0" applyNumberFormat="1" applyFill="1" applyAlignment="1">
      <alignment horizontal="right" vertical="center"/>
    </xf>
    <xf numFmtId="9" fontId="0" fillId="0" borderId="22" xfId="0" applyNumberFormat="1" applyBorder="1" applyAlignment="1">
      <alignment horizontal="right" vertical="center"/>
    </xf>
    <xf numFmtId="9" fontId="0" fillId="0" borderId="23" xfId="0" applyNumberFormat="1" applyBorder="1" applyAlignment="1">
      <alignment horizontal="right" vertical="center"/>
    </xf>
    <xf numFmtId="176" fontId="0" fillId="8" borderId="0" xfId="0" applyNumberFormat="1" applyFill="1" applyAlignment="1">
      <alignment horizontal="right" vertical="center"/>
    </xf>
    <xf numFmtId="9" fontId="0" fillId="8" borderId="22" xfId="0" applyNumberFormat="1" applyFill="1" applyBorder="1" applyAlignment="1">
      <alignment horizontal="right" vertical="center"/>
    </xf>
    <xf numFmtId="9" fontId="0" fillId="8" borderId="23" xfId="0" applyNumberFormat="1" applyFill="1" applyBorder="1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9" fontId="0" fillId="3" borderId="22" xfId="0" applyNumberFormat="1" applyFill="1" applyBorder="1" applyAlignment="1">
      <alignment horizontal="right" vertical="center"/>
    </xf>
    <xf numFmtId="9" fontId="0" fillId="3" borderId="23" xfId="0" applyNumberFormat="1" applyFill="1" applyBorder="1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9" fontId="0" fillId="4" borderId="22" xfId="0" applyNumberFormat="1" applyFill="1" applyBorder="1" applyAlignment="1">
      <alignment horizontal="right" vertical="center"/>
    </xf>
    <xf numFmtId="9" fontId="0" fillId="4" borderId="23" xfId="0" applyNumberFormat="1" applyFill="1" applyBorder="1" applyAlignment="1">
      <alignment horizontal="right" vertical="center"/>
    </xf>
    <xf numFmtId="176" fontId="0" fillId="2" borderId="0" xfId="0" applyNumberFormat="1" applyFill="1" applyAlignment="1">
      <alignment horizontal="right" vertical="center"/>
    </xf>
    <xf numFmtId="9" fontId="0" fillId="2" borderId="22" xfId="0" applyNumberFormat="1" applyFill="1" applyBorder="1" applyAlignment="1">
      <alignment horizontal="right" vertical="center"/>
    </xf>
    <xf numFmtId="9" fontId="0" fillId="2" borderId="23" xfId="0" applyNumberFormat="1" applyFill="1" applyBorder="1" applyAlignment="1">
      <alignment horizontal="right" vertical="center"/>
    </xf>
    <xf numFmtId="176" fontId="0" fillId="7" borderId="0" xfId="0" applyNumberFormat="1" applyFill="1" applyAlignment="1">
      <alignment horizontal="right" vertical="center"/>
    </xf>
    <xf numFmtId="9" fontId="0" fillId="7" borderId="22" xfId="0" applyNumberFormat="1" applyFill="1" applyBorder="1" applyAlignment="1">
      <alignment horizontal="right" vertical="center"/>
    </xf>
    <xf numFmtId="9" fontId="0" fillId="7" borderId="23" xfId="0" applyNumberFormat="1" applyFill="1" applyBorder="1" applyAlignment="1">
      <alignment horizontal="right" vertical="center"/>
    </xf>
    <xf numFmtId="176" fontId="0" fillId="5" borderId="0" xfId="0" applyNumberFormat="1" applyFill="1" applyAlignment="1">
      <alignment horizontal="right" vertical="center"/>
    </xf>
    <xf numFmtId="9" fontId="0" fillId="5" borderId="22" xfId="0" applyNumberFormat="1" applyFill="1" applyBorder="1" applyAlignment="1">
      <alignment horizontal="right" vertical="center"/>
    </xf>
    <xf numFmtId="9" fontId="0" fillId="5" borderId="23" xfId="0" applyNumberFormat="1" applyFill="1" applyBorder="1" applyAlignment="1">
      <alignment horizontal="right" vertical="center"/>
    </xf>
    <xf numFmtId="9" fontId="0" fillId="4" borderId="27" xfId="0" applyNumberFormat="1" applyFill="1" applyBorder="1" applyAlignment="1">
      <alignment horizontal="right" vertical="center"/>
    </xf>
    <xf numFmtId="9" fontId="0" fillId="4" borderId="25" xfId="0" applyNumberFormat="1" applyFill="1" applyBorder="1" applyAlignment="1">
      <alignment horizontal="right" vertical="center"/>
    </xf>
    <xf numFmtId="9" fontId="0" fillId="4" borderId="26" xfId="0" applyNumberFormat="1" applyFill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9" borderId="16" xfId="0" applyNumberFormat="1" applyFill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8" borderId="16" xfId="0" applyNumberFormat="1" applyFill="1" applyBorder="1" applyAlignment="1">
      <alignment horizontal="right" vertical="center"/>
    </xf>
    <xf numFmtId="176" fontId="0" fillId="3" borderId="16" xfId="0" applyNumberFormat="1" applyFill="1" applyBorder="1" applyAlignment="1">
      <alignment horizontal="right" vertical="center"/>
    </xf>
    <xf numFmtId="176" fontId="0" fillId="4" borderId="16" xfId="0" applyNumberFormat="1" applyFill="1" applyBorder="1" applyAlignment="1">
      <alignment horizontal="right" vertical="center"/>
    </xf>
    <xf numFmtId="176" fontId="0" fillId="2" borderId="16" xfId="0" applyNumberForma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right" vertical="center"/>
    </xf>
    <xf numFmtId="176" fontId="0" fillId="5" borderId="16" xfId="0" applyNumberFormat="1" applyFill="1" applyBorder="1" applyAlignment="1">
      <alignment horizontal="right" vertical="center"/>
    </xf>
    <xf numFmtId="178" fontId="0" fillId="0" borderId="23" xfId="0" applyNumberFormat="1" applyBorder="1" applyAlignment="1">
      <alignment horizontal="center" vertical="center"/>
    </xf>
    <xf numFmtId="178" fontId="0" fillId="8" borderId="23" xfId="0" applyNumberFormat="1" applyFill="1" applyBorder="1" applyAlignment="1">
      <alignment horizontal="center" vertical="center"/>
    </xf>
    <xf numFmtId="178" fontId="0" fillId="3" borderId="23" xfId="0" applyNumberFormat="1" applyFill="1" applyBorder="1" applyAlignment="1">
      <alignment horizontal="center" vertical="center"/>
    </xf>
    <xf numFmtId="178" fontId="0" fillId="4" borderId="23" xfId="0" applyNumberFormat="1" applyFill="1" applyBorder="1" applyAlignment="1">
      <alignment horizontal="center" vertical="center"/>
    </xf>
    <xf numFmtId="178" fontId="0" fillId="2" borderId="23" xfId="0" applyNumberFormat="1" applyFill="1" applyBorder="1" applyAlignment="1">
      <alignment horizontal="center" vertical="center"/>
    </xf>
    <xf numFmtId="178" fontId="0" fillId="7" borderId="23" xfId="0" applyNumberFormat="1" applyFill="1" applyBorder="1" applyAlignment="1">
      <alignment horizontal="center" vertical="center"/>
    </xf>
    <xf numFmtId="178" fontId="0" fillId="5" borderId="23" xfId="0" applyNumberFormat="1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25" xfId="0" applyFill="1" applyBorder="1" applyAlignment="1">
      <alignment horizontal="right" vertical="center"/>
    </xf>
    <xf numFmtId="176" fontId="5" fillId="3" borderId="16" xfId="0" applyNumberFormat="1" applyFont="1" applyFill="1" applyBorder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76" fontId="0" fillId="10" borderId="1" xfId="0" applyNumberFormat="1" applyFill="1" applyBorder="1" applyAlignment="1">
      <alignment horizontal="right" vertical="center"/>
    </xf>
    <xf numFmtId="0" fontId="0" fillId="11" borderId="17" xfId="0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right" vertical="center"/>
    </xf>
    <xf numFmtId="176" fontId="0" fillId="11" borderId="1" xfId="0" applyNumberFormat="1" applyFill="1" applyBorder="1" applyAlignment="1">
      <alignment horizontal="right" vertical="center"/>
    </xf>
    <xf numFmtId="176" fontId="0" fillId="11" borderId="23" xfId="0" applyNumberFormat="1" applyFill="1" applyBorder="1" applyAlignment="1">
      <alignment horizontal="right" vertical="center"/>
    </xf>
    <xf numFmtId="176" fontId="0" fillId="11" borderId="16" xfId="0" applyNumberFormat="1" applyFill="1" applyBorder="1" applyAlignment="1">
      <alignment horizontal="right" vertical="center"/>
    </xf>
    <xf numFmtId="178" fontId="0" fillId="11" borderId="23" xfId="0" applyNumberForma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78" fontId="0" fillId="4" borderId="26" xfId="0" applyNumberForma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right" vertical="center"/>
    </xf>
    <xf numFmtId="0" fontId="0" fillId="2" borderId="44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right" vertical="center"/>
    </xf>
    <xf numFmtId="176" fontId="0" fillId="11" borderId="29" xfId="0" applyNumberFormat="1" applyFill="1" applyBorder="1" applyAlignment="1">
      <alignment horizontal="right" vertical="center"/>
    </xf>
    <xf numFmtId="9" fontId="0" fillId="8" borderId="33" xfId="0" applyNumberFormat="1" applyFill="1" applyBorder="1" applyAlignment="1">
      <alignment horizontal="right" vertical="center"/>
    </xf>
    <xf numFmtId="9" fontId="0" fillId="9" borderId="45" xfId="0" applyNumberFormat="1" applyFill="1" applyBorder="1" applyAlignment="1">
      <alignment horizontal="right" vertical="center"/>
    </xf>
    <xf numFmtId="9" fontId="0" fillId="9" borderId="46" xfId="0" applyNumberFormat="1" applyFill="1" applyBorder="1" applyAlignment="1">
      <alignment horizontal="right" vertical="center"/>
    </xf>
    <xf numFmtId="9" fontId="0" fillId="9" borderId="47" xfId="0" applyNumberFormat="1" applyFill="1" applyBorder="1" applyAlignment="1">
      <alignment horizontal="right" vertical="center"/>
    </xf>
    <xf numFmtId="9" fontId="0" fillId="11" borderId="22" xfId="0" applyNumberFormat="1" applyFill="1" applyBorder="1" applyAlignment="1">
      <alignment horizontal="right" vertical="center"/>
    </xf>
    <xf numFmtId="9" fontId="0" fillId="10" borderId="22" xfId="0" applyNumberFormat="1" applyFill="1" applyBorder="1" applyAlignment="1">
      <alignment horizontal="right" vertical="center"/>
    </xf>
    <xf numFmtId="9" fontId="0" fillId="11" borderId="1" xfId="0" applyNumberFormat="1" applyFill="1" applyBorder="1" applyAlignment="1">
      <alignment horizontal="right" vertical="center"/>
    </xf>
    <xf numFmtId="9" fontId="0" fillId="11" borderId="23" xfId="0" applyNumberFormat="1" applyFill="1" applyBorder="1" applyAlignment="1">
      <alignment horizontal="right" vertical="center"/>
    </xf>
    <xf numFmtId="9" fontId="0" fillId="10" borderId="13" xfId="0" applyNumberFormat="1" applyFill="1" applyBorder="1" applyAlignment="1">
      <alignment horizontal="right" vertical="center"/>
    </xf>
    <xf numFmtId="9" fontId="0" fillId="10" borderId="23" xfId="0" applyNumberFormat="1" applyFill="1" applyBorder="1" applyAlignment="1">
      <alignment horizontal="right" vertical="center"/>
    </xf>
    <xf numFmtId="178" fontId="0" fillId="0" borderId="22" xfId="0" applyNumberFormat="1" applyBorder="1" applyAlignment="1">
      <alignment horizontal="right" vertical="center"/>
    </xf>
    <xf numFmtId="178" fontId="0" fillId="8" borderId="22" xfId="0" applyNumberFormat="1" applyFill="1" applyBorder="1" applyAlignment="1">
      <alignment horizontal="right" vertical="center"/>
    </xf>
    <xf numFmtId="178" fontId="0" fillId="3" borderId="22" xfId="0" applyNumberFormat="1" applyFill="1" applyBorder="1" applyAlignment="1">
      <alignment horizontal="right" vertical="center"/>
    </xf>
    <xf numFmtId="178" fontId="0" fillId="4" borderId="22" xfId="0" applyNumberFormat="1" applyFill="1" applyBorder="1" applyAlignment="1">
      <alignment horizontal="right" vertical="center"/>
    </xf>
    <xf numFmtId="178" fontId="0" fillId="2" borderId="22" xfId="0" applyNumberFormat="1" applyFill="1" applyBorder="1" applyAlignment="1">
      <alignment horizontal="right" vertical="center"/>
    </xf>
    <xf numFmtId="178" fontId="0" fillId="7" borderId="22" xfId="0" applyNumberFormat="1" applyFill="1" applyBorder="1" applyAlignment="1">
      <alignment horizontal="right" vertical="center"/>
    </xf>
    <xf numFmtId="178" fontId="0" fillId="5" borderId="22" xfId="0" applyNumberFormat="1" applyFill="1" applyBorder="1" applyAlignment="1">
      <alignment horizontal="right" vertical="center"/>
    </xf>
    <xf numFmtId="178" fontId="0" fillId="4" borderId="27" xfId="0" applyNumberFormat="1" applyFill="1" applyBorder="1" applyAlignment="1">
      <alignment horizontal="right" vertical="center"/>
    </xf>
    <xf numFmtId="179" fontId="0" fillId="11" borderId="1" xfId="0" applyNumberFormat="1" applyFill="1" applyBorder="1" applyAlignment="1">
      <alignment horizontal="right" vertical="center"/>
    </xf>
    <xf numFmtId="179" fontId="0" fillId="10" borderId="1" xfId="0" applyNumberFormat="1" applyFill="1" applyBorder="1" applyAlignment="1">
      <alignment horizontal="right" vertical="center"/>
    </xf>
    <xf numFmtId="179" fontId="0" fillId="10" borderId="28" xfId="0" applyNumberFormat="1" applyFill="1" applyBorder="1" applyAlignment="1">
      <alignment horizontal="right" vertical="center"/>
    </xf>
    <xf numFmtId="0" fontId="0" fillId="0" borderId="17" xfId="0" applyBorder="1">
      <alignment vertical="center"/>
    </xf>
    <xf numFmtId="176" fontId="0" fillId="0" borderId="48" xfId="0" applyNumberFormat="1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10" borderId="29" xfId="0" applyFill="1" applyBorder="1" applyAlignment="1">
      <alignment horizontal="right" vertical="center"/>
    </xf>
    <xf numFmtId="0" fontId="0" fillId="4" borderId="24" xfId="0" applyFill="1" applyBorder="1" applyAlignment="1">
      <alignment horizontal="right" vertical="center"/>
    </xf>
    <xf numFmtId="9" fontId="0" fillId="11" borderId="17" xfId="0" applyNumberFormat="1" applyFill="1" applyBorder="1" applyAlignment="1">
      <alignment horizontal="right" vertical="center"/>
    </xf>
    <xf numFmtId="178" fontId="0" fillId="11" borderId="22" xfId="0" applyNumberFormat="1" applyFill="1" applyBorder="1" applyAlignment="1">
      <alignment horizontal="right" vertical="center"/>
    </xf>
    <xf numFmtId="178" fontId="0" fillId="11" borderId="9" xfId="0" applyNumberFormat="1" applyFill="1" applyBorder="1" applyAlignment="1">
      <alignment horizontal="right" vertical="center"/>
    </xf>
    <xf numFmtId="9" fontId="0" fillId="10" borderId="16" xfId="0" applyNumberFormat="1" applyFill="1" applyBorder="1" applyAlignment="1">
      <alignment horizontal="right" vertical="center"/>
    </xf>
    <xf numFmtId="0" fontId="0" fillId="10" borderId="0" xfId="0" applyFill="1" applyAlignment="1">
      <alignment horizontal="right" vertical="center"/>
    </xf>
    <xf numFmtId="178" fontId="0" fillId="10" borderId="1" xfId="0" applyNumberFormat="1" applyFill="1" applyBorder="1" applyAlignment="1">
      <alignment horizontal="right" vertical="center"/>
    </xf>
    <xf numFmtId="9" fontId="0" fillId="8" borderId="17" xfId="0" applyNumberFormat="1" applyFill="1" applyBorder="1" applyAlignment="1">
      <alignment horizontal="right" vertical="center"/>
    </xf>
    <xf numFmtId="178" fontId="0" fillId="8" borderId="9" xfId="0" applyNumberFormat="1" applyFill="1" applyBorder="1" applyAlignment="1">
      <alignment horizontal="right" vertical="center"/>
    </xf>
    <xf numFmtId="9" fontId="0" fillId="3" borderId="17" xfId="0" applyNumberFormat="1" applyFill="1" applyBorder="1" applyAlignment="1">
      <alignment horizontal="right" vertical="center"/>
    </xf>
    <xf numFmtId="178" fontId="0" fillId="3" borderId="9" xfId="0" applyNumberFormat="1" applyFill="1" applyBorder="1" applyAlignment="1">
      <alignment horizontal="right" vertical="center"/>
    </xf>
    <xf numFmtId="9" fontId="0" fillId="4" borderId="17" xfId="0" applyNumberFormat="1" applyFill="1" applyBorder="1" applyAlignment="1">
      <alignment horizontal="right" vertical="center"/>
    </xf>
    <xf numFmtId="178" fontId="0" fillId="4" borderId="9" xfId="0" applyNumberFormat="1" applyFill="1" applyBorder="1" applyAlignment="1">
      <alignment horizontal="right" vertical="center"/>
    </xf>
    <xf numFmtId="9" fontId="0" fillId="2" borderId="17" xfId="0" applyNumberFormat="1" applyFill="1" applyBorder="1" applyAlignment="1">
      <alignment horizontal="right" vertical="center"/>
    </xf>
    <xf numFmtId="178" fontId="0" fillId="2" borderId="9" xfId="0" applyNumberFormat="1" applyFill="1" applyBorder="1" applyAlignment="1">
      <alignment horizontal="right" vertical="center"/>
    </xf>
    <xf numFmtId="9" fontId="0" fillId="7" borderId="17" xfId="0" applyNumberFormat="1" applyFill="1" applyBorder="1" applyAlignment="1">
      <alignment horizontal="right" vertical="center"/>
    </xf>
    <xf numFmtId="178" fontId="0" fillId="7" borderId="9" xfId="0" applyNumberFormat="1" applyFill="1" applyBorder="1" applyAlignment="1">
      <alignment horizontal="right" vertical="center"/>
    </xf>
    <xf numFmtId="9" fontId="0" fillId="0" borderId="17" xfId="0" applyNumberFormat="1" applyBorder="1" applyAlignment="1">
      <alignment horizontal="right" vertical="center"/>
    </xf>
    <xf numFmtId="178" fontId="0" fillId="0" borderId="9" xfId="0" applyNumberFormat="1" applyBorder="1" applyAlignment="1">
      <alignment horizontal="right" vertical="center"/>
    </xf>
    <xf numFmtId="9" fontId="0" fillId="5" borderId="17" xfId="0" applyNumberFormat="1" applyFill="1" applyBorder="1" applyAlignment="1">
      <alignment horizontal="right" vertical="center"/>
    </xf>
    <xf numFmtId="178" fontId="0" fillId="5" borderId="9" xfId="0" applyNumberFormat="1" applyFill="1" applyBorder="1" applyAlignment="1">
      <alignment horizontal="right" vertical="center"/>
    </xf>
    <xf numFmtId="9" fontId="0" fillId="4" borderId="21" xfId="0" applyNumberFormat="1" applyFill="1" applyBorder="1" applyAlignment="1">
      <alignment horizontal="right" vertical="center"/>
    </xf>
    <xf numFmtId="178" fontId="0" fillId="4" borderId="49" xfId="0" applyNumberFormat="1" applyFill="1" applyBorder="1" applyAlignment="1">
      <alignment horizontal="right" vertical="center"/>
    </xf>
    <xf numFmtId="9" fontId="0" fillId="10" borderId="44" xfId="0" applyNumberFormat="1" applyFill="1" applyBorder="1" applyAlignment="1">
      <alignment horizontal="right" vertical="center"/>
    </xf>
    <xf numFmtId="179" fontId="0" fillId="11" borderId="23" xfId="0" applyNumberFormat="1" applyFill="1" applyBorder="1" applyAlignment="1">
      <alignment horizontal="right" vertical="center"/>
    </xf>
    <xf numFmtId="0" fontId="0" fillId="0" borderId="50" xfId="0" applyBorder="1" applyAlignment="1">
      <alignment horizontal="center" vertical="center"/>
    </xf>
    <xf numFmtId="176" fontId="0" fillId="0" borderId="13" xfId="0" applyNumberFormat="1" applyBorder="1" applyAlignment="1">
      <alignment horizontal="right" vertical="center"/>
    </xf>
    <xf numFmtId="176" fontId="0" fillId="0" borderId="41" xfId="0" applyNumberFormat="1" applyBorder="1" applyAlignment="1">
      <alignment horizontal="right" vertical="center"/>
    </xf>
    <xf numFmtId="176" fontId="0" fillId="0" borderId="42" xfId="0" applyNumberFormat="1" applyBorder="1" applyAlignment="1">
      <alignment horizontal="right" vertical="center"/>
    </xf>
    <xf numFmtId="176" fontId="0" fillId="0" borderId="33" xfId="0" applyNumberFormat="1" applyBorder="1" applyAlignment="1">
      <alignment horizontal="right" vertical="center"/>
    </xf>
    <xf numFmtId="176" fontId="0" fillId="0" borderId="40" xfId="0" applyNumberFormat="1" applyBorder="1" applyAlignment="1">
      <alignment horizontal="center" vertical="center"/>
    </xf>
    <xf numFmtId="176" fontId="0" fillId="0" borderId="44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right" vertical="center"/>
    </xf>
    <xf numFmtId="176" fontId="0" fillId="0" borderId="36" xfId="0" applyNumberFormat="1" applyBorder="1" applyAlignment="1">
      <alignment horizontal="right" vertical="center"/>
    </xf>
    <xf numFmtId="9" fontId="0" fillId="9" borderId="33" xfId="0" applyNumberFormat="1" applyFill="1" applyBorder="1" applyAlignment="1">
      <alignment horizontal="right" vertical="center"/>
    </xf>
    <xf numFmtId="9" fontId="0" fillId="9" borderId="13" xfId="0" applyNumberFormat="1" applyFill="1" applyBorder="1" applyAlignment="1">
      <alignment horizontal="right" vertical="center"/>
    </xf>
    <xf numFmtId="9" fontId="0" fillId="9" borderId="44" xfId="0" applyNumberFormat="1" applyFill="1" applyBorder="1" applyAlignment="1">
      <alignment horizontal="right" vertical="center"/>
    </xf>
    <xf numFmtId="0" fontId="0" fillId="0" borderId="52" xfId="0" applyBorder="1" applyAlignment="1">
      <alignment horizontal="center" vertical="center"/>
    </xf>
    <xf numFmtId="176" fontId="0" fillId="0" borderId="52" xfId="0" applyNumberFormat="1" applyBorder="1" applyAlignment="1">
      <alignment horizontal="right" vertical="center"/>
    </xf>
    <xf numFmtId="0" fontId="0" fillId="0" borderId="53" xfId="0" applyBorder="1" applyAlignment="1">
      <alignment horizontal="center" vertical="center"/>
    </xf>
    <xf numFmtId="176" fontId="0" fillId="0" borderId="5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9" fontId="0" fillId="9" borderId="18" xfId="0" applyNumberFormat="1" applyFill="1" applyBorder="1" applyAlignment="1">
      <alignment horizontal="right" vertical="center"/>
    </xf>
    <xf numFmtId="178" fontId="0" fillId="9" borderId="33" xfId="0" applyNumberFormat="1" applyFill="1" applyBorder="1" applyAlignment="1">
      <alignment horizontal="right" vertical="center"/>
    </xf>
    <xf numFmtId="178" fontId="0" fillId="9" borderId="8" xfId="0" applyNumberFormat="1" applyFill="1" applyBorder="1" applyAlignment="1">
      <alignment horizontal="right" vertical="center"/>
    </xf>
    <xf numFmtId="178" fontId="0" fillId="9" borderId="44" xfId="0" applyNumberForma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25" xfId="0" applyFill="1" applyBorder="1">
      <alignment vertical="center"/>
    </xf>
    <xf numFmtId="176" fontId="0" fillId="0" borderId="18" xfId="0" applyNumberFormat="1" applyBorder="1" applyAlignment="1">
      <alignment horizontal="right" vertical="center"/>
    </xf>
    <xf numFmtId="176" fontId="0" fillId="9" borderId="17" xfId="0" applyNumberFormat="1" applyFill="1" applyBorder="1" applyAlignment="1">
      <alignment horizontal="right" vertical="center"/>
    </xf>
    <xf numFmtId="176" fontId="0" fillId="9" borderId="28" xfId="0" applyNumberFormat="1" applyFill="1" applyBorder="1" applyAlignment="1">
      <alignment horizontal="right" vertical="center"/>
    </xf>
    <xf numFmtId="176" fontId="0" fillId="11" borderId="17" xfId="0" applyNumberFormat="1" applyFill="1" applyBorder="1" applyAlignment="1">
      <alignment horizontal="right" vertical="center"/>
    </xf>
    <xf numFmtId="0" fontId="0" fillId="11" borderId="28" xfId="0" applyFill="1" applyBorder="1" applyAlignment="1">
      <alignment horizontal="center" vertical="center"/>
    </xf>
    <xf numFmtId="176" fontId="0" fillId="10" borderId="17" xfId="0" applyNumberFormat="1" applyFill="1" applyBorder="1" applyAlignment="1">
      <alignment horizontal="right" vertical="center"/>
    </xf>
    <xf numFmtId="176" fontId="0" fillId="10" borderId="28" xfId="0" applyNumberFormat="1" applyFill="1" applyBorder="1" applyAlignment="1">
      <alignment horizontal="right" vertical="center"/>
    </xf>
    <xf numFmtId="176" fontId="0" fillId="8" borderId="17" xfId="0" applyNumberFormat="1" applyFill="1" applyBorder="1" applyAlignment="1">
      <alignment horizontal="right" vertical="center"/>
    </xf>
    <xf numFmtId="176" fontId="0" fillId="8" borderId="28" xfId="0" applyNumberFormat="1" applyFill="1" applyBorder="1" applyAlignment="1">
      <alignment horizontal="right" vertical="center"/>
    </xf>
    <xf numFmtId="176" fontId="0" fillId="3" borderId="17" xfId="0" applyNumberFormat="1" applyFill="1" applyBorder="1" applyAlignment="1">
      <alignment horizontal="right" vertical="center"/>
    </xf>
    <xf numFmtId="176" fontId="0" fillId="3" borderId="28" xfId="0" applyNumberFormat="1" applyFill="1" applyBorder="1" applyAlignment="1">
      <alignment horizontal="right" vertical="center"/>
    </xf>
    <xf numFmtId="176" fontId="0" fillId="4" borderId="17" xfId="0" applyNumberFormat="1" applyFill="1" applyBorder="1" applyAlignment="1">
      <alignment horizontal="right" vertical="center"/>
    </xf>
    <xf numFmtId="176" fontId="0" fillId="4" borderId="28" xfId="0" applyNumberFormat="1" applyFill="1" applyBorder="1" applyAlignment="1">
      <alignment horizontal="right" vertical="center"/>
    </xf>
    <xf numFmtId="176" fontId="0" fillId="2" borderId="17" xfId="0" applyNumberFormat="1" applyFill="1" applyBorder="1" applyAlignment="1">
      <alignment horizontal="right" vertical="center"/>
    </xf>
    <xf numFmtId="176" fontId="0" fillId="2" borderId="28" xfId="0" applyNumberFormat="1" applyFill="1" applyBorder="1" applyAlignment="1">
      <alignment horizontal="right" vertical="center"/>
    </xf>
    <xf numFmtId="176" fontId="0" fillId="7" borderId="17" xfId="0" applyNumberFormat="1" applyFill="1" applyBorder="1" applyAlignment="1">
      <alignment horizontal="right" vertical="center"/>
    </xf>
    <xf numFmtId="176" fontId="0" fillId="7" borderId="28" xfId="0" applyNumberFormat="1" applyFill="1" applyBorder="1" applyAlignment="1">
      <alignment horizontal="right" vertical="center"/>
    </xf>
    <xf numFmtId="176" fontId="0" fillId="0" borderId="17" xfId="0" applyNumberFormat="1" applyBorder="1" applyAlignment="1">
      <alignment horizontal="right" vertical="center"/>
    </xf>
    <xf numFmtId="176" fontId="0" fillId="0" borderId="28" xfId="0" applyNumberFormat="1" applyBorder="1" applyAlignment="1">
      <alignment horizontal="right" vertical="center"/>
    </xf>
    <xf numFmtId="176" fontId="0" fillId="5" borderId="28" xfId="0" applyNumberFormat="1" applyFill="1" applyBorder="1" applyAlignment="1">
      <alignment horizontal="right" vertical="center"/>
    </xf>
    <xf numFmtId="176" fontId="0" fillId="2" borderId="17" xfId="0" applyNumberFormat="1" applyFill="1" applyBorder="1">
      <alignment vertical="center"/>
    </xf>
    <xf numFmtId="0" fontId="0" fillId="2" borderId="28" xfId="0" applyFill="1" applyBorder="1" applyAlignment="1">
      <alignment horizontal="center" vertical="center"/>
    </xf>
    <xf numFmtId="176" fontId="0" fillId="2" borderId="21" xfId="0" applyNumberFormat="1" applyFill="1" applyBorder="1">
      <alignment vertical="center"/>
    </xf>
    <xf numFmtId="0" fontId="0" fillId="2" borderId="55" xfId="0" applyFill="1" applyBorder="1" applyAlignment="1">
      <alignment horizontal="center" vertical="center"/>
    </xf>
    <xf numFmtId="176" fontId="0" fillId="0" borderId="56" xfId="0" applyNumberFormat="1" applyBorder="1" applyAlignment="1">
      <alignment horizontal="right" vertical="center"/>
    </xf>
    <xf numFmtId="9" fontId="0" fillId="9" borderId="57" xfId="0" applyNumberFormat="1" applyFill="1" applyBorder="1" applyAlignment="1">
      <alignment horizontal="right" vertical="center"/>
    </xf>
    <xf numFmtId="178" fontId="0" fillId="9" borderId="22" xfId="0" applyNumberFormat="1" applyFill="1" applyBorder="1" applyAlignment="1">
      <alignment horizontal="right" vertical="center"/>
    </xf>
    <xf numFmtId="178" fontId="0" fillId="11" borderId="57" xfId="0" applyNumberFormat="1" applyFill="1" applyBorder="1" applyAlignment="1">
      <alignment horizontal="center" vertical="center"/>
    </xf>
    <xf numFmtId="0" fontId="0" fillId="10" borderId="29" xfId="0" applyFill="1" applyBorder="1" applyAlignment="1">
      <alignment horizontal="center" vertical="center"/>
    </xf>
    <xf numFmtId="178" fontId="0" fillId="10" borderId="22" xfId="0" applyNumberFormat="1" applyFill="1" applyBorder="1" applyAlignment="1">
      <alignment horizontal="right" vertical="center"/>
    </xf>
    <xf numFmtId="9" fontId="0" fillId="8" borderId="57" xfId="0" applyNumberFormat="1" applyFill="1" applyBorder="1" applyAlignment="1">
      <alignment horizontal="right" vertical="center"/>
    </xf>
    <xf numFmtId="9" fontId="0" fillId="3" borderId="57" xfId="0" applyNumberFormat="1" applyFill="1" applyBorder="1" applyAlignment="1">
      <alignment horizontal="right" vertical="center"/>
    </xf>
    <xf numFmtId="9" fontId="0" fillId="4" borderId="57" xfId="0" applyNumberFormat="1" applyFill="1" applyBorder="1" applyAlignment="1">
      <alignment horizontal="right" vertical="center"/>
    </xf>
    <xf numFmtId="9" fontId="0" fillId="2" borderId="57" xfId="0" applyNumberFormat="1" applyFill="1" applyBorder="1" applyAlignment="1">
      <alignment horizontal="right" vertical="center"/>
    </xf>
    <xf numFmtId="9" fontId="0" fillId="7" borderId="57" xfId="0" applyNumberFormat="1" applyFill="1" applyBorder="1" applyAlignment="1">
      <alignment horizontal="right" vertical="center"/>
    </xf>
    <xf numFmtId="9" fontId="0" fillId="0" borderId="57" xfId="0" applyNumberFormat="1" applyBorder="1" applyAlignment="1">
      <alignment horizontal="right" vertical="center"/>
    </xf>
    <xf numFmtId="9" fontId="0" fillId="5" borderId="57" xfId="0" applyNumberFormat="1" applyFill="1" applyBorder="1" applyAlignment="1">
      <alignment horizontal="right" vertical="center"/>
    </xf>
    <xf numFmtId="0" fontId="0" fillId="2" borderId="57" xfId="0" applyFill="1" applyBorder="1" applyAlignment="1">
      <alignment horizontal="center" vertical="center"/>
    </xf>
    <xf numFmtId="0" fontId="0" fillId="2" borderId="23" xfId="0" applyFill="1" applyBorder="1" applyAlignment="1">
      <alignment horizontal="right" vertical="center"/>
    </xf>
    <xf numFmtId="0" fontId="0" fillId="2" borderId="22" xfId="0" applyFill="1" applyBorder="1" applyAlignment="1">
      <alignment horizontal="right" vertical="center"/>
    </xf>
    <xf numFmtId="176" fontId="0" fillId="2" borderId="22" xfId="0" applyNumberFormat="1" applyFill="1" applyBorder="1">
      <alignment vertical="center"/>
    </xf>
    <xf numFmtId="0" fontId="0" fillId="2" borderId="22" xfId="0" applyFill="1" applyBorder="1">
      <alignment vertical="center"/>
    </xf>
    <xf numFmtId="0" fontId="0" fillId="2" borderId="58" xfId="0" applyFill="1" applyBorder="1" applyAlignment="1">
      <alignment horizontal="center" vertical="center"/>
    </xf>
    <xf numFmtId="0" fontId="0" fillId="2" borderId="27" xfId="0" applyFill="1" applyBorder="1">
      <alignment vertical="center"/>
    </xf>
    <xf numFmtId="0" fontId="0" fillId="2" borderId="26" xfId="0" applyFill="1" applyBorder="1" applyAlignment="1">
      <alignment horizontal="right" vertical="center"/>
    </xf>
    <xf numFmtId="178" fontId="0" fillId="2" borderId="22" xfId="0" applyNumberFormat="1" applyFill="1" applyBorder="1">
      <alignment vertical="center"/>
    </xf>
    <xf numFmtId="176" fontId="0" fillId="2" borderId="23" xfId="0" applyNumberFormat="1" applyFill="1" applyBorder="1">
      <alignment vertical="center"/>
    </xf>
    <xf numFmtId="0" fontId="0" fillId="2" borderId="23" xfId="0" applyFill="1" applyBorder="1">
      <alignment vertical="center"/>
    </xf>
    <xf numFmtId="0" fontId="0" fillId="2" borderId="26" xfId="0" applyFill="1" applyBorder="1">
      <alignment vertical="center"/>
    </xf>
    <xf numFmtId="179" fontId="0" fillId="11" borderId="28" xfId="0" applyNumberFormat="1" applyFill="1" applyBorder="1" applyAlignment="1">
      <alignment horizontal="right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6" fontId="0" fillId="0" borderId="57" xfId="0" applyNumberFormat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" fillId="0" borderId="48" xfId="0" applyFont="1" applyBorder="1">
      <alignment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6" fillId="6" borderId="22" xfId="0" applyFont="1" applyFill="1" applyBorder="1">
      <alignment vertical="center"/>
    </xf>
    <xf numFmtId="0" fontId="2" fillId="6" borderId="59" xfId="0" applyFont="1" applyFill="1" applyBorder="1" applyAlignment="1">
      <alignment horizontal="center" vertical="center"/>
    </xf>
    <xf numFmtId="0" fontId="6" fillId="6" borderId="57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5" borderId="23" xfId="0" applyFill="1" applyBorder="1">
      <alignment vertical="center"/>
    </xf>
    <xf numFmtId="0" fontId="6" fillId="12" borderId="22" xfId="0" applyFont="1" applyFill="1" applyBorder="1">
      <alignment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left" vertical="center"/>
    </xf>
    <xf numFmtId="0" fontId="2" fillId="12" borderId="25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0" fillId="0" borderId="48" xfId="0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13" borderId="39" xfId="0" applyFont="1" applyFill="1" applyBorder="1" applyAlignment="1">
      <alignment horizontal="left" vertical="center"/>
    </xf>
    <xf numFmtId="0" fontId="2" fillId="13" borderId="21" xfId="0" applyFont="1" applyFill="1" applyBorder="1" applyAlignment="1">
      <alignment horizontal="left" vertical="center"/>
    </xf>
    <xf numFmtId="0" fontId="6" fillId="13" borderId="27" xfId="0" applyFont="1" applyFill="1" applyBorder="1">
      <alignment vertical="center"/>
    </xf>
    <xf numFmtId="0" fontId="1" fillId="13" borderId="48" xfId="0" applyFont="1" applyFill="1" applyBorder="1">
      <alignment vertical="center"/>
    </xf>
    <xf numFmtId="0" fontId="1" fillId="13" borderId="46" xfId="0" applyFont="1" applyFill="1" applyBorder="1">
      <alignment vertical="center"/>
    </xf>
    <xf numFmtId="0" fontId="7" fillId="13" borderId="22" xfId="0" applyFont="1" applyFill="1" applyBorder="1">
      <alignment vertical="center"/>
    </xf>
    <xf numFmtId="0" fontId="7" fillId="13" borderId="1" xfId="0" applyFont="1" applyFill="1" applyBorder="1">
      <alignment vertical="center"/>
    </xf>
    <xf numFmtId="9" fontId="2" fillId="13" borderId="17" xfId="0" applyNumberFormat="1" applyFont="1" applyFill="1" applyBorder="1" applyAlignment="1">
      <alignment horizontal="left" vertical="center"/>
    </xf>
    <xf numFmtId="9" fontId="2" fillId="0" borderId="16" xfId="0" applyNumberFormat="1" applyFont="1" applyBorder="1" applyAlignment="1">
      <alignment horizontal="left" vertical="center"/>
    </xf>
    <xf numFmtId="0" fontId="1" fillId="13" borderId="47" xfId="0" applyFont="1" applyFill="1" applyBorder="1">
      <alignment vertical="center"/>
    </xf>
    <xf numFmtId="0" fontId="7" fillId="0" borderId="22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5" xfId="0" applyFont="1" applyBorder="1">
      <alignment vertical="center"/>
    </xf>
    <xf numFmtId="0" fontId="7" fillId="13" borderId="23" xfId="0" applyFont="1" applyFill="1" applyBorder="1">
      <alignment vertical="center"/>
    </xf>
    <xf numFmtId="0" fontId="6" fillId="13" borderId="25" xfId="0" applyFont="1" applyFill="1" applyBorder="1">
      <alignment vertical="center"/>
    </xf>
    <xf numFmtId="0" fontId="6" fillId="13" borderId="26" xfId="0" applyFont="1" applyFill="1" applyBorder="1">
      <alignment vertical="center"/>
    </xf>
    <xf numFmtId="0" fontId="1" fillId="0" borderId="3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60" xfId="0" applyFont="1" applyBorder="1">
      <alignment vertical="center"/>
    </xf>
    <xf numFmtId="0" fontId="6" fillId="0" borderId="11" xfId="0" applyFont="1" applyBorder="1">
      <alignment vertical="center"/>
    </xf>
    <xf numFmtId="0" fontId="1" fillId="0" borderId="44" xfId="0" applyFont="1" applyBorder="1">
      <alignment vertical="center"/>
    </xf>
    <xf numFmtId="0" fontId="7" fillId="0" borderId="23" xfId="0" applyFont="1" applyBorder="1">
      <alignment vertical="center"/>
    </xf>
    <xf numFmtId="0" fontId="6" fillId="0" borderId="59" xfId="0" applyFont="1" applyBorder="1">
      <alignment vertical="center"/>
    </xf>
    <xf numFmtId="0" fontId="6" fillId="0" borderId="26" xfId="0" applyFont="1" applyBorder="1">
      <alignment vertical="center"/>
    </xf>
    <xf numFmtId="176" fontId="5" fillId="4" borderId="23" xfId="0" applyNumberFormat="1" applyFont="1" applyFill="1" applyBorder="1" applyAlignment="1">
      <alignment horizontal="right" vertical="center"/>
    </xf>
    <xf numFmtId="0" fontId="0" fillId="3" borderId="18" xfId="0" applyFill="1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5" borderId="21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8" fontId="0" fillId="7" borderId="26" xfId="0" applyNumberFormat="1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5" borderId="48" xfId="0" applyNumberFormat="1" applyFill="1" applyBorder="1" applyAlignment="1">
      <alignment horizontal="center" vertical="center"/>
    </xf>
    <xf numFmtId="176" fontId="0" fillId="5" borderId="46" xfId="0" applyNumberFormat="1" applyFill="1" applyBorder="1" applyAlignment="1">
      <alignment horizontal="center" vertical="center"/>
    </xf>
    <xf numFmtId="176" fontId="0" fillId="5" borderId="47" xfId="0" applyNumberForma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6" fontId="0" fillId="5" borderId="22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23" xfId="0" applyNumberFormat="1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76" fontId="0" fillId="5" borderId="25" xfId="0" applyNumberFormat="1" applyFill="1" applyBorder="1" applyAlignment="1">
      <alignment horizontal="center" vertical="center"/>
    </xf>
    <xf numFmtId="176" fontId="0" fillId="5" borderId="26" xfId="0" applyNumberFormat="1" applyFill="1" applyBorder="1" applyAlignment="1">
      <alignment horizontal="center" vertical="center"/>
    </xf>
    <xf numFmtId="176" fontId="0" fillId="3" borderId="33" xfId="0" applyNumberFormat="1" applyFill="1" applyBorder="1" applyAlignment="1">
      <alignment horizontal="center" vertical="center"/>
    </xf>
    <xf numFmtId="176" fontId="0" fillId="3" borderId="46" xfId="0" applyNumberFormat="1" applyFill="1" applyBorder="1" applyAlignment="1">
      <alignment horizontal="center" vertical="center"/>
    </xf>
    <xf numFmtId="176" fontId="0" fillId="3" borderId="47" xfId="0" applyNumberForma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42" xfId="0" applyNumberFormat="1" applyFont="1" applyFill="1" applyBorder="1" applyAlignment="1">
      <alignment horizontal="center" vertical="center"/>
    </xf>
    <xf numFmtId="9" fontId="0" fillId="3" borderId="17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6" fontId="5" fillId="3" borderId="23" xfId="0" applyNumberFormat="1" applyFont="1" applyFill="1" applyBorder="1" applyAlignment="1">
      <alignment horizontal="center" vertical="center"/>
    </xf>
    <xf numFmtId="176" fontId="0" fillId="3" borderId="22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23" xfId="0" applyNumberForma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0" fillId="3" borderId="57" xfId="0" applyNumberFormat="1" applyFill="1" applyBorder="1" applyAlignment="1">
      <alignment horizontal="center" vertical="center"/>
    </xf>
    <xf numFmtId="176" fontId="0" fillId="3" borderId="28" xfId="0" applyNumberFormat="1" applyFill="1" applyBorder="1" applyAlignment="1">
      <alignment horizontal="center" vertical="center"/>
    </xf>
    <xf numFmtId="176" fontId="0" fillId="4" borderId="33" xfId="0" applyNumberFormat="1" applyFill="1" applyBorder="1" applyAlignment="1">
      <alignment horizontal="center" vertical="center"/>
    </xf>
    <xf numFmtId="176" fontId="0" fillId="4" borderId="13" xfId="0" applyNumberFormat="1" applyFill="1" applyBorder="1" applyAlignment="1">
      <alignment horizontal="center" vertical="center"/>
    </xf>
    <xf numFmtId="176" fontId="0" fillId="4" borderId="44" xfId="0" applyNumberFormat="1" applyFill="1" applyBorder="1" applyAlignment="1">
      <alignment horizontal="center" vertical="center"/>
    </xf>
    <xf numFmtId="9" fontId="0" fillId="4" borderId="17" xfId="0" applyNumberFormat="1" applyFill="1" applyBorder="1" applyAlignment="1">
      <alignment horizontal="center" vertical="center"/>
    </xf>
    <xf numFmtId="178" fontId="0" fillId="4" borderId="9" xfId="0" applyNumberFormat="1" applyFill="1" applyBorder="1" applyAlignment="1">
      <alignment horizontal="center" vertical="center"/>
    </xf>
    <xf numFmtId="176" fontId="0" fillId="4" borderId="27" xfId="0" applyNumberFormat="1" applyFill="1" applyBorder="1" applyAlignment="1">
      <alignment horizontal="center" vertical="center"/>
    </xf>
    <xf numFmtId="176" fontId="5" fillId="4" borderId="25" xfId="0" applyNumberFormat="1" applyFont="1" applyFill="1" applyBorder="1" applyAlignment="1">
      <alignment horizontal="center" vertical="center"/>
    </xf>
    <xf numFmtId="176" fontId="0" fillId="4" borderId="26" xfId="0" applyNumberFormat="1" applyFill="1" applyBorder="1" applyAlignment="1">
      <alignment horizontal="center" vertical="center"/>
    </xf>
    <xf numFmtId="176" fontId="0" fillId="4" borderId="25" xfId="0" applyNumberFormat="1" applyFill="1" applyBorder="1" applyAlignment="1">
      <alignment horizontal="center" vertical="center"/>
    </xf>
    <xf numFmtId="9" fontId="0" fillId="4" borderId="21" xfId="0" applyNumberFormat="1" applyFill="1" applyBorder="1" applyAlignment="1">
      <alignment horizontal="center" vertical="center"/>
    </xf>
    <xf numFmtId="178" fontId="0" fillId="4" borderId="27" xfId="0" applyNumberFormat="1" applyFill="1" applyBorder="1" applyAlignment="1">
      <alignment horizontal="center" vertical="center"/>
    </xf>
    <xf numFmtId="176" fontId="0" fillId="7" borderId="27" xfId="0" applyNumberFormat="1" applyFill="1" applyBorder="1" applyAlignment="1">
      <alignment horizontal="center" vertical="center"/>
    </xf>
    <xf numFmtId="176" fontId="0" fillId="7" borderId="25" xfId="0" applyNumberFormat="1" applyFill="1" applyBorder="1" applyAlignment="1">
      <alignment horizontal="center" vertical="center"/>
    </xf>
    <xf numFmtId="176" fontId="0" fillId="7" borderId="26" xfId="0" applyNumberFormat="1" applyFill="1" applyBorder="1" applyAlignment="1">
      <alignment horizontal="center" vertical="center"/>
    </xf>
    <xf numFmtId="9" fontId="0" fillId="7" borderId="21" xfId="0" applyNumberFormat="1" applyFill="1" applyBorder="1" applyAlignment="1">
      <alignment horizontal="center" vertical="center"/>
    </xf>
    <xf numFmtId="178" fontId="0" fillId="7" borderId="49" xfId="0" applyNumberFormat="1" applyFill="1" applyBorder="1" applyAlignment="1">
      <alignment horizontal="center" vertical="center"/>
    </xf>
    <xf numFmtId="176" fontId="0" fillId="3" borderId="48" xfId="0" applyNumberFormat="1" applyFill="1" applyBorder="1" applyAlignment="1">
      <alignment horizontal="center" vertical="center"/>
    </xf>
    <xf numFmtId="176" fontId="5" fillId="3" borderId="46" xfId="0" applyNumberFormat="1" applyFont="1" applyFill="1" applyBorder="1" applyAlignment="1">
      <alignment horizontal="center" vertical="center"/>
    </xf>
    <xf numFmtId="176" fontId="5" fillId="3" borderId="2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176" fontId="0" fillId="3" borderId="34" xfId="0" applyNumberFormat="1" applyFill="1" applyBorder="1" applyAlignment="1">
      <alignment horizontal="center" vertical="center"/>
    </xf>
    <xf numFmtId="176" fontId="5" fillId="3" borderId="35" xfId="0" applyNumberFormat="1" applyFont="1" applyFill="1" applyBorder="1" applyAlignment="1">
      <alignment horizontal="center" vertical="center"/>
    </xf>
    <xf numFmtId="176" fontId="0" fillId="3" borderId="36" xfId="0" applyNumberFormat="1" applyFill="1" applyBorder="1" applyAlignment="1">
      <alignment horizontal="center" vertical="center"/>
    </xf>
    <xf numFmtId="176" fontId="0" fillId="3" borderId="35" xfId="0" applyNumberFormat="1" applyFill="1" applyBorder="1" applyAlignment="1">
      <alignment horizontal="center" vertical="center"/>
    </xf>
    <xf numFmtId="176" fontId="0" fillId="9" borderId="48" xfId="0" applyNumberFormat="1" applyFill="1" applyBorder="1" applyAlignment="1">
      <alignment horizontal="center" vertical="center"/>
    </xf>
    <xf numFmtId="176" fontId="0" fillId="9" borderId="46" xfId="0" applyNumberFormat="1" applyFill="1" applyBorder="1" applyAlignment="1">
      <alignment horizontal="center" vertical="center"/>
    </xf>
    <xf numFmtId="176" fontId="0" fillId="9" borderId="47" xfId="0" applyNumberFormat="1" applyFill="1" applyBorder="1" applyAlignment="1">
      <alignment horizontal="center" vertical="center"/>
    </xf>
    <xf numFmtId="9" fontId="0" fillId="9" borderId="18" xfId="0" applyNumberFormat="1" applyFill="1" applyBorder="1" applyAlignment="1">
      <alignment horizontal="center" vertical="center"/>
    </xf>
    <xf numFmtId="178" fontId="0" fillId="9" borderId="33" xfId="0" applyNumberFormat="1" applyFill="1" applyBorder="1" applyAlignment="1">
      <alignment horizontal="center" vertical="center"/>
    </xf>
    <xf numFmtId="178" fontId="0" fillId="9" borderId="8" xfId="0" applyNumberFormat="1" applyFill="1" applyBorder="1" applyAlignment="1">
      <alignment horizontal="center" vertical="center"/>
    </xf>
    <xf numFmtId="176" fontId="0" fillId="11" borderId="22" xfId="0" applyNumberFormat="1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176" fontId="0" fillId="11" borderId="23" xfId="0" applyNumberFormat="1" applyFill="1" applyBorder="1" applyAlignment="1">
      <alignment horizontal="center" vertical="center"/>
    </xf>
    <xf numFmtId="9" fontId="0" fillId="11" borderId="17" xfId="0" applyNumberFormat="1" applyFill="1" applyBorder="1" applyAlignment="1">
      <alignment horizontal="center" vertical="center"/>
    </xf>
    <xf numFmtId="178" fontId="0" fillId="11" borderId="22" xfId="0" applyNumberFormat="1" applyFill="1" applyBorder="1" applyAlignment="1">
      <alignment horizontal="center" vertical="center"/>
    </xf>
    <xf numFmtId="178" fontId="0" fillId="11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176" fontId="0" fillId="10" borderId="23" xfId="0" applyNumberFormat="1" applyFill="1" applyBorder="1" applyAlignment="1">
      <alignment horizontal="center" vertical="center"/>
    </xf>
    <xf numFmtId="9" fontId="0" fillId="10" borderId="16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6" fontId="0" fillId="8" borderId="27" xfId="0" applyNumberFormat="1" applyFill="1" applyBorder="1" applyAlignment="1">
      <alignment horizontal="center" vertical="center"/>
    </xf>
    <xf numFmtId="176" fontId="0" fillId="8" borderId="25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center" vertical="center"/>
    </xf>
    <xf numFmtId="176" fontId="5" fillId="8" borderId="25" xfId="0" applyNumberFormat="1" applyFon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176" fontId="0" fillId="4" borderId="23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6" fontId="0" fillId="5" borderId="60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0" fillId="5" borderId="59" xfId="0" applyNumberFormat="1" applyFill="1" applyBorder="1" applyAlignment="1">
      <alignment horizontal="center" vertical="center"/>
    </xf>
    <xf numFmtId="176" fontId="5" fillId="4" borderId="23" xfId="0" applyNumberFormat="1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5" fillId="3" borderId="30" xfId="0" applyNumberFormat="1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176" fontId="0" fillId="3" borderId="11" xfId="0" applyNumberFormat="1" applyFill="1" applyBorder="1" applyAlignment="1">
      <alignment horizontal="center" vertical="center"/>
    </xf>
    <xf numFmtId="176" fontId="0" fillId="3" borderId="40" xfId="0" applyNumberFormat="1" applyFill="1" applyBorder="1" applyAlignment="1">
      <alignment horizontal="center" vertical="center"/>
    </xf>
    <xf numFmtId="176" fontId="0" fillId="3" borderId="63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4" borderId="59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center" vertical="center"/>
    </xf>
    <xf numFmtId="9" fontId="0" fillId="4" borderId="20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59" xfId="0" applyNumberFormat="1" applyFill="1" applyBorder="1" applyAlignment="1">
      <alignment horizontal="center" vertical="center"/>
    </xf>
    <xf numFmtId="176" fontId="5" fillId="4" borderId="22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71" xfId="0" applyFill="1" applyBorder="1" applyAlignment="1">
      <alignment horizontal="center" vertical="center"/>
    </xf>
    <xf numFmtId="176" fontId="5" fillId="8" borderId="27" xfId="0" applyNumberFormat="1" applyFont="1" applyFill="1" applyBorder="1" applyAlignment="1">
      <alignment horizontal="center" vertical="center"/>
    </xf>
    <xf numFmtId="176" fontId="5" fillId="8" borderId="26" xfId="0" applyNumberFormat="1" applyFont="1" applyFill="1" applyBorder="1" applyAlignment="1">
      <alignment horizontal="center" vertical="center"/>
    </xf>
    <xf numFmtId="9" fontId="0" fillId="4" borderId="16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9" fontId="0" fillId="8" borderId="21" xfId="0" applyNumberFormat="1" applyFill="1" applyBorder="1" applyAlignment="1">
      <alignment horizontal="center" vertical="center"/>
    </xf>
    <xf numFmtId="178" fontId="0" fillId="8" borderId="27" xfId="0" applyNumberFormat="1" applyFill="1" applyBorder="1" applyAlignment="1">
      <alignment horizontal="center" vertical="center"/>
    </xf>
    <xf numFmtId="178" fontId="0" fillId="8" borderId="49" xfId="0" applyNumberFormat="1" applyFill="1" applyBorder="1" applyAlignment="1">
      <alignment horizontal="center" vertical="center"/>
    </xf>
    <xf numFmtId="178" fontId="0" fillId="8" borderId="26" xfId="0" applyNumberFormat="1" applyFill="1" applyBorder="1" applyAlignment="1">
      <alignment horizontal="center" vertical="center"/>
    </xf>
    <xf numFmtId="178" fontId="0" fillId="4" borderId="25" xfId="0" applyNumberFormat="1" applyFill="1" applyBorder="1" applyAlignment="1">
      <alignment horizontal="center" vertical="center"/>
    </xf>
    <xf numFmtId="176" fontId="0" fillId="3" borderId="29" xfId="0" applyNumberFormat="1" applyFill="1" applyBorder="1" applyAlignment="1">
      <alignment horizontal="center" vertical="center"/>
    </xf>
    <xf numFmtId="176" fontId="0" fillId="4" borderId="60" xfId="0" applyNumberFormat="1" applyFill="1" applyBorder="1" applyAlignment="1">
      <alignment horizontal="center" vertical="center"/>
    </xf>
    <xf numFmtId="176" fontId="0" fillId="10" borderId="29" xfId="0" applyNumberFormat="1" applyFill="1" applyBorder="1" applyAlignment="1">
      <alignment horizontal="center" vertical="center"/>
    </xf>
    <xf numFmtId="176" fontId="0" fillId="10" borderId="28" xfId="0" applyNumberFormat="1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16" xfId="0" applyNumberFormat="1" applyBorder="1">
      <alignment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178" fontId="0" fillId="15" borderId="11" xfId="0" applyNumberFormat="1" applyFill="1" applyBorder="1" applyAlignment="1">
      <alignment horizontal="center" vertical="center"/>
    </xf>
    <xf numFmtId="0" fontId="11" fillId="3" borderId="72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8" fontId="0" fillId="15" borderId="41" xfId="0" applyNumberForma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76" fontId="0" fillId="0" borderId="73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3" borderId="10" xfId="0" applyNumberFormat="1" applyFill="1" applyBorder="1" applyAlignment="1">
      <alignment horizontal="center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7" borderId="7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73" xfId="0" applyNumberFormat="1" applyFill="1" applyBorder="1" applyAlignment="1">
      <alignment horizontal="center" vertical="center"/>
    </xf>
    <xf numFmtId="178" fontId="0" fillId="9" borderId="14" xfId="0" applyNumberFormat="1" applyFill="1" applyBorder="1" applyAlignment="1">
      <alignment horizontal="center" vertical="center"/>
    </xf>
    <xf numFmtId="178" fontId="0" fillId="11" borderId="10" xfId="0" applyNumberFormat="1" applyFill="1" applyBorder="1" applyAlignment="1">
      <alignment horizontal="center" vertical="center"/>
    </xf>
    <xf numFmtId="178" fontId="0" fillId="10" borderId="2" xfId="0" applyNumberFormat="1" applyFill="1" applyBorder="1" applyAlignment="1">
      <alignment horizontal="center" vertical="center"/>
    </xf>
    <xf numFmtId="178" fontId="0" fillId="8" borderId="71" xfId="0" applyNumberFormat="1" applyFill="1" applyBorder="1" applyAlignment="1">
      <alignment horizontal="center" vertical="center"/>
    </xf>
    <xf numFmtId="178" fontId="0" fillId="0" borderId="28" xfId="0" applyNumberFormat="1" applyBorder="1" applyAlignment="1">
      <alignment horizontal="center" vertical="center"/>
    </xf>
    <xf numFmtId="178" fontId="0" fillId="5" borderId="28" xfId="0" applyNumberFormat="1" applyFill="1" applyBorder="1" applyAlignment="1">
      <alignment horizontal="center" vertical="center"/>
    </xf>
    <xf numFmtId="178" fontId="0" fillId="3" borderId="28" xfId="0" applyNumberFormat="1" applyFill="1" applyBorder="1" applyAlignment="1">
      <alignment horizontal="center" vertical="center"/>
    </xf>
    <xf numFmtId="178" fontId="0" fillId="4" borderId="28" xfId="0" applyNumberFormat="1" applyFill="1" applyBorder="1" applyAlignment="1">
      <alignment horizontal="center" vertical="center"/>
    </xf>
    <xf numFmtId="178" fontId="0" fillId="4" borderId="55" xfId="0" applyNumberFormat="1" applyFill="1" applyBorder="1" applyAlignment="1">
      <alignment horizontal="center" vertical="center"/>
    </xf>
    <xf numFmtId="178" fontId="0" fillId="7" borderId="55" xfId="0" applyNumberFormat="1" applyFill="1" applyBorder="1" applyAlignment="1">
      <alignment horizontal="center" vertical="center"/>
    </xf>
    <xf numFmtId="178" fontId="0" fillId="3" borderId="70" xfId="0" applyNumberFormat="1" applyFill="1" applyBorder="1" applyAlignment="1">
      <alignment horizontal="center" vertical="center"/>
    </xf>
    <xf numFmtId="178" fontId="0" fillId="3" borderId="32" xfId="0" applyNumberFormat="1" applyFill="1" applyBorder="1" applyAlignment="1">
      <alignment horizontal="center" vertical="center"/>
    </xf>
    <xf numFmtId="178" fontId="0" fillId="4" borderId="70" xfId="0" applyNumberFormat="1" applyFill="1" applyBorder="1" applyAlignment="1">
      <alignment horizontal="center" vertical="center"/>
    </xf>
    <xf numFmtId="178" fontId="0" fillId="9" borderId="32" xfId="0" applyNumberFormat="1" applyFill="1" applyBorder="1" applyAlignment="1">
      <alignment horizontal="center" vertical="center"/>
    </xf>
    <xf numFmtId="178" fontId="0" fillId="11" borderId="28" xfId="0" applyNumberFormat="1" applyFill="1" applyBorder="1" applyAlignment="1">
      <alignment horizontal="center" vertical="center"/>
    </xf>
    <xf numFmtId="178" fontId="0" fillId="8" borderId="55" xfId="0" applyNumberFormat="1" applyFill="1" applyBorder="1" applyAlignment="1">
      <alignment horizontal="center" vertical="center"/>
    </xf>
    <xf numFmtId="178" fontId="0" fillId="0" borderId="16" xfId="0" applyNumberFormat="1" applyBorder="1" applyAlignment="1">
      <alignment horizontal="center" vertical="center"/>
    </xf>
    <xf numFmtId="178" fontId="0" fillId="4" borderId="19" xfId="0" applyNumberFormat="1" applyFill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17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10" borderId="17" xfId="0" applyNumberFormat="1" applyFill="1" applyBorder="1" applyAlignment="1">
      <alignment horizontal="center" vertical="center"/>
    </xf>
    <xf numFmtId="178" fontId="0" fillId="7" borderId="19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15" borderId="25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8" borderId="60" xfId="0" applyNumberForma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178" fontId="0" fillId="8" borderId="70" xfId="0" applyNumberFormat="1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78" fontId="0" fillId="2" borderId="46" xfId="0" applyNumberFormat="1" applyFill="1" applyBorder="1" applyAlignment="1">
      <alignment horizontal="center" vertical="center"/>
    </xf>
    <xf numFmtId="178" fontId="0" fillId="7" borderId="21" xfId="0" applyNumberFormat="1" applyFill="1" applyBorder="1" applyAlignment="1">
      <alignment horizontal="center" vertical="center"/>
    </xf>
    <xf numFmtId="178" fontId="0" fillId="8" borderId="21" xfId="0" applyNumberFormat="1" applyFill="1" applyBorder="1" applyAlignment="1">
      <alignment horizontal="center" vertical="center"/>
    </xf>
    <xf numFmtId="178" fontId="0" fillId="3" borderId="8" xfId="0" applyNumberFormat="1" applyFill="1" applyBorder="1" applyAlignment="1">
      <alignment horizontal="center" vertical="center"/>
    </xf>
    <xf numFmtId="9" fontId="0" fillId="0" borderId="39" xfId="0" applyNumberFormat="1" applyBorder="1" applyAlignment="1">
      <alignment horizontal="center" vertical="center"/>
    </xf>
    <xf numFmtId="178" fontId="0" fillId="0" borderId="75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9" fontId="0" fillId="5" borderId="21" xfId="0" applyNumberFormat="1" applyFill="1" applyBorder="1" applyAlignment="1">
      <alignment horizontal="center" vertical="center"/>
    </xf>
    <xf numFmtId="178" fontId="0" fillId="5" borderId="49" xfId="0" applyNumberFormat="1" applyFill="1" applyBorder="1" applyAlignment="1">
      <alignment horizontal="center" vertical="center"/>
    </xf>
    <xf numFmtId="178" fontId="0" fillId="0" borderId="49" xfId="0" applyNumberFormat="1" applyBorder="1" applyAlignment="1">
      <alignment horizontal="center" vertical="center"/>
    </xf>
    <xf numFmtId="178" fontId="0" fillId="0" borderId="55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178" fontId="0" fillId="5" borderId="26" xfId="0" applyNumberFormat="1" applyFill="1" applyBorder="1" applyAlignment="1">
      <alignment horizontal="center" vertical="center"/>
    </xf>
    <xf numFmtId="178" fontId="0" fillId="4" borderId="22" xfId="0" applyNumberFormat="1" applyFill="1" applyBorder="1" applyAlignment="1">
      <alignment horizontal="center" vertical="center"/>
    </xf>
    <xf numFmtId="9" fontId="0" fillId="3" borderId="15" xfId="0" applyNumberFormat="1" applyFill="1" applyBorder="1" applyAlignment="1">
      <alignment horizontal="center" vertical="center"/>
    </xf>
    <xf numFmtId="178" fontId="0" fillId="3" borderId="52" xfId="0" applyNumberFormat="1" applyFill="1" applyBorder="1" applyAlignment="1">
      <alignment horizontal="center" vertical="center"/>
    </xf>
    <xf numFmtId="178" fontId="0" fillId="3" borderId="36" xfId="0" applyNumberForma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5" borderId="55" xfId="0" applyNumberForma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center" vertical="center"/>
    </xf>
    <xf numFmtId="178" fontId="0" fillId="3" borderId="51" xfId="0" applyNumberFormat="1" applyFill="1" applyBorder="1" applyAlignment="1">
      <alignment horizontal="center" vertical="center"/>
    </xf>
    <xf numFmtId="178" fontId="0" fillId="3" borderId="15" xfId="0" applyNumberFormat="1" applyFill="1" applyBorder="1" applyAlignment="1">
      <alignment horizontal="center" vertical="center"/>
    </xf>
    <xf numFmtId="178" fontId="0" fillId="3" borderId="37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6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0" fillId="3" borderId="20" xfId="0" applyNumberFormat="1" applyFill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178" fontId="0" fillId="3" borderId="11" xfId="0" applyNumberFormat="1" applyFill="1" applyBorder="1" applyAlignment="1">
      <alignment horizontal="center" vertical="center"/>
    </xf>
    <xf numFmtId="178" fontId="0" fillId="3" borderId="13" xfId="0" applyNumberFormat="1" applyFill="1" applyBorder="1" applyAlignment="1">
      <alignment horizontal="center" vertical="center"/>
    </xf>
    <xf numFmtId="178" fontId="0" fillId="3" borderId="60" xfId="0" applyNumberFormat="1" applyFill="1" applyBorder="1" applyAlignment="1">
      <alignment horizontal="center" vertical="center"/>
    </xf>
    <xf numFmtId="178" fontId="0" fillId="3" borderId="33" xfId="0" applyNumberFormat="1" applyFill="1" applyBorder="1" applyAlignment="1">
      <alignment horizontal="center" vertical="center"/>
    </xf>
    <xf numFmtId="178" fontId="0" fillId="3" borderId="59" xfId="0" applyNumberFormat="1" applyFill="1" applyBorder="1" applyAlignment="1">
      <alignment horizontal="center" vertical="center"/>
    </xf>
    <xf numFmtId="178" fontId="0" fillId="3" borderId="44" xfId="0" applyNumberForma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176" fontId="5" fillId="3" borderId="69" xfId="0" applyNumberFormat="1" applyFont="1" applyFill="1" applyBorder="1" applyAlignment="1">
      <alignment horizontal="center" vertical="center"/>
    </xf>
    <xf numFmtId="176" fontId="5" fillId="3" borderId="56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3" xfId="0" applyNumberFormat="1" applyFont="1" applyFill="1" applyBorder="1" applyAlignment="1">
      <alignment horizontal="center" vertical="center"/>
    </xf>
    <xf numFmtId="176" fontId="5" fillId="3" borderId="59" xfId="0" applyNumberFormat="1" applyFont="1" applyFill="1" applyBorder="1" applyAlignment="1">
      <alignment horizontal="center" vertical="center"/>
    </xf>
    <xf numFmtId="176" fontId="5" fillId="3" borderId="44" xfId="0" applyNumberFormat="1" applyFont="1" applyFill="1" applyBorder="1" applyAlignment="1">
      <alignment horizontal="center" vertical="center"/>
    </xf>
    <xf numFmtId="176" fontId="0" fillId="3" borderId="69" xfId="0" applyNumberFormat="1" applyFill="1" applyBorder="1" applyAlignment="1">
      <alignment horizontal="center" vertical="center"/>
    </xf>
    <xf numFmtId="176" fontId="0" fillId="3" borderId="56" xfId="0" applyNumberFormat="1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59" xfId="0" applyNumberFormat="1" applyFill="1" applyBorder="1" applyAlignment="1">
      <alignment horizontal="center" vertical="center"/>
    </xf>
    <xf numFmtId="176" fontId="0" fillId="3" borderId="44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8" fontId="0" fillId="3" borderId="20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178" fontId="0" fillId="3" borderId="7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 shrinkToFit="1"/>
    </xf>
    <xf numFmtId="0" fontId="15" fillId="3" borderId="18" xfId="0" applyFont="1" applyFill="1" applyBorder="1" applyAlignment="1">
      <alignment horizontal="center" vertical="center"/>
    </xf>
    <xf numFmtId="176" fontId="16" fillId="3" borderId="13" xfId="0" applyNumberFormat="1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176" fontId="0" fillId="15" borderId="22" xfId="0" applyNumberFormat="1" applyFill="1" applyBorder="1" applyAlignment="1">
      <alignment horizontal="center" vertical="center"/>
    </xf>
    <xf numFmtId="176" fontId="0" fillId="15" borderId="23" xfId="0" applyNumberFormat="1" applyFill="1" applyBorder="1" applyAlignment="1">
      <alignment horizontal="center" vertical="center"/>
    </xf>
    <xf numFmtId="176" fontId="0" fillId="15" borderId="29" xfId="0" applyNumberFormat="1" applyFill="1" applyBorder="1" applyAlignment="1">
      <alignment horizontal="center" vertical="center"/>
    </xf>
    <xf numFmtId="176" fontId="0" fillId="15" borderId="30" xfId="0" applyNumberFormat="1" applyFill="1" applyBorder="1" applyAlignment="1">
      <alignment horizontal="center" vertical="center"/>
    </xf>
    <xf numFmtId="0" fontId="0" fillId="16" borderId="59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69" xfId="0" applyFill="1" applyBorder="1" applyAlignment="1">
      <alignment horizontal="center" vertical="center"/>
    </xf>
    <xf numFmtId="176" fontId="0" fillId="16" borderId="22" xfId="0" applyNumberFormat="1" applyFill="1" applyBorder="1" applyAlignment="1">
      <alignment horizontal="center" vertical="center"/>
    </xf>
    <xf numFmtId="176" fontId="0" fillId="16" borderId="11" xfId="0" applyNumberFormat="1" applyFill="1" applyBorder="1" applyAlignment="1">
      <alignment horizontal="center" vertical="center"/>
    </xf>
    <xf numFmtId="176" fontId="0" fillId="16" borderId="23" xfId="0" applyNumberFormat="1" applyFill="1" applyBorder="1" applyAlignment="1">
      <alignment horizontal="center" vertical="center"/>
    </xf>
    <xf numFmtId="176" fontId="5" fillId="16" borderId="22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5" fillId="16" borderId="23" xfId="0" applyNumberFormat="1" applyFont="1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176" fontId="0" fillId="16" borderId="41" xfId="0" applyNumberFormat="1" applyFill="1" applyBorder="1" applyAlignment="1">
      <alignment horizontal="center" vertical="center"/>
    </xf>
    <xf numFmtId="0" fontId="0" fillId="16" borderId="44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176" fontId="0" fillId="16" borderId="13" xfId="0" applyNumberForma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76" fontId="14" fillId="15" borderId="11" xfId="0" applyNumberFormat="1" applyFont="1" applyFill="1" applyBorder="1" applyAlignment="1">
      <alignment horizontal="center" vertical="center"/>
    </xf>
    <xf numFmtId="0" fontId="11" fillId="16" borderId="20" xfId="0" applyFont="1" applyFill="1" applyBorder="1" applyAlignment="1">
      <alignment horizontal="center" vertical="center"/>
    </xf>
    <xf numFmtId="0" fontId="11" fillId="16" borderId="16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176" fontId="16" fillId="15" borderId="1" xfId="0" applyNumberFormat="1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176" fontId="16" fillId="7" borderId="25" xfId="0" applyNumberFormat="1" applyFont="1" applyFill="1" applyBorder="1" applyAlignment="1">
      <alignment horizontal="center" vertical="center"/>
    </xf>
    <xf numFmtId="176" fontId="14" fillId="3" borderId="6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16" fillId="5" borderId="46" xfId="0" applyNumberFormat="1" applyFont="1" applyFill="1" applyBorder="1" applyAlignment="1">
      <alignment horizontal="center" vertical="center"/>
    </xf>
    <xf numFmtId="9" fontId="0" fillId="15" borderId="17" xfId="0" applyNumberFormat="1" applyFill="1" applyBorder="1" applyAlignment="1">
      <alignment horizontal="center" vertical="center"/>
    </xf>
    <xf numFmtId="178" fontId="0" fillId="15" borderId="9" xfId="0" applyNumberFormat="1" applyFill="1" applyBorder="1" applyAlignment="1">
      <alignment horizontal="center" vertical="center"/>
    </xf>
    <xf numFmtId="178" fontId="0" fillId="15" borderId="23" xfId="0" applyNumberFormat="1" applyFill="1" applyBorder="1" applyAlignment="1">
      <alignment horizontal="center" vertical="center"/>
    </xf>
    <xf numFmtId="9" fontId="0" fillId="16" borderId="20" xfId="0" applyNumberFormat="1" applyFill="1" applyBorder="1" applyAlignment="1">
      <alignment horizontal="center" vertical="center"/>
    </xf>
    <xf numFmtId="178" fontId="0" fillId="16" borderId="3" xfId="0" applyNumberFormat="1" applyFill="1" applyBorder="1" applyAlignment="1">
      <alignment horizontal="center" vertical="center"/>
    </xf>
    <xf numFmtId="178" fontId="0" fillId="16" borderId="11" xfId="0" applyNumberFormat="1" applyFill="1" applyBorder="1" applyAlignment="1">
      <alignment horizontal="center" vertical="center"/>
    </xf>
    <xf numFmtId="178" fontId="0" fillId="16" borderId="59" xfId="0" applyNumberFormat="1" applyFill="1" applyBorder="1" applyAlignment="1">
      <alignment horizontal="center" vertical="center"/>
    </xf>
    <xf numFmtId="9" fontId="0" fillId="16" borderId="16" xfId="0" applyNumberFormat="1" applyFill="1" applyBorder="1" applyAlignment="1">
      <alignment horizontal="center" vertical="center"/>
    </xf>
    <xf numFmtId="178" fontId="0" fillId="16" borderId="4" xfId="0" applyNumberFormat="1" applyFill="1" applyBorder="1" applyAlignment="1">
      <alignment horizontal="center" vertical="center"/>
    </xf>
    <xf numFmtId="178" fontId="0" fillId="16" borderId="41" xfId="0" applyNumberFormat="1" applyFill="1" applyBorder="1" applyAlignment="1">
      <alignment horizontal="center" vertical="center"/>
    </xf>
    <xf numFmtId="178" fontId="0" fillId="16" borderId="42" xfId="0" applyNumberFormat="1" applyFill="1" applyBorder="1" applyAlignment="1">
      <alignment horizontal="center" vertical="center"/>
    </xf>
    <xf numFmtId="9" fontId="0" fillId="16" borderId="18" xfId="0" applyNumberFormat="1" applyFill="1" applyBorder="1" applyAlignment="1">
      <alignment horizontal="center" vertical="center"/>
    </xf>
    <xf numFmtId="178" fontId="0" fillId="16" borderId="8" xfId="0" applyNumberFormat="1" applyFill="1" applyBorder="1" applyAlignment="1">
      <alignment horizontal="center" vertical="center"/>
    </xf>
    <xf numFmtId="178" fontId="0" fillId="16" borderId="13" xfId="0" applyNumberFormat="1" applyFill="1" applyBorder="1" applyAlignment="1">
      <alignment horizontal="center" vertical="center"/>
    </xf>
    <xf numFmtId="178" fontId="0" fillId="16" borderId="44" xfId="0" applyNumberFormat="1" applyFill="1" applyBorder="1" applyAlignment="1">
      <alignment horizontal="center" vertical="center"/>
    </xf>
    <xf numFmtId="178" fontId="0" fillId="16" borderId="7" xfId="0" applyNumberFormat="1" applyFill="1" applyBorder="1" applyAlignment="1">
      <alignment horizontal="center" vertical="center"/>
    </xf>
    <xf numFmtId="178" fontId="0" fillId="16" borderId="20" xfId="0" applyNumberFormat="1" applyFill="1" applyBorder="1" applyAlignment="1">
      <alignment horizontal="center" vertical="center"/>
    </xf>
    <xf numFmtId="178" fontId="0" fillId="16" borderId="70" xfId="0" applyNumberFormat="1" applyFill="1" applyBorder="1" applyAlignment="1">
      <alignment horizontal="center" vertical="center"/>
    </xf>
    <xf numFmtId="178" fontId="0" fillId="16" borderId="5" xfId="0" applyNumberFormat="1" applyFill="1" applyBorder="1" applyAlignment="1">
      <alignment horizontal="center" vertical="center"/>
    </xf>
    <xf numFmtId="178" fontId="0" fillId="16" borderId="16" xfId="0" applyNumberFormat="1" applyFill="1" applyBorder="1" applyAlignment="1">
      <alignment horizontal="center" vertical="center"/>
    </xf>
    <xf numFmtId="178" fontId="0" fillId="16" borderId="30" xfId="0" applyNumberFormat="1" applyFill="1" applyBorder="1" applyAlignment="1">
      <alignment horizontal="center" vertical="center"/>
    </xf>
    <xf numFmtId="178" fontId="0" fillId="16" borderId="6" xfId="0" applyNumberFormat="1" applyFill="1" applyBorder="1" applyAlignment="1">
      <alignment horizontal="center" vertical="center"/>
    </xf>
    <xf numFmtId="178" fontId="0" fillId="16" borderId="18" xfId="0" applyNumberFormat="1" applyFill="1" applyBorder="1" applyAlignment="1">
      <alignment horizontal="center" vertical="center"/>
    </xf>
    <xf numFmtId="178" fontId="0" fillId="16" borderId="32" xfId="0" applyNumberFormat="1" applyFill="1" applyBorder="1" applyAlignment="1">
      <alignment horizontal="center" vertical="center"/>
    </xf>
    <xf numFmtId="178" fontId="0" fillId="15" borderId="10" xfId="0" applyNumberFormat="1" applyFill="1" applyBorder="1" applyAlignment="1">
      <alignment horizontal="center" vertical="center"/>
    </xf>
    <xf numFmtId="178" fontId="0" fillId="15" borderId="28" xfId="0" applyNumberFormat="1" applyFill="1" applyBorder="1" applyAlignment="1">
      <alignment horizontal="center" vertical="center"/>
    </xf>
    <xf numFmtId="178" fontId="0" fillId="0" borderId="76" xfId="0" applyNumberFormat="1" applyBorder="1" applyAlignment="1">
      <alignment horizontal="center" vertical="center"/>
    </xf>
    <xf numFmtId="178" fontId="0" fillId="0" borderId="6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15" borderId="17" xfId="0" applyNumberFormat="1" applyFill="1" applyBorder="1" applyAlignment="1">
      <alignment horizontal="center" vertical="center"/>
    </xf>
    <xf numFmtId="178" fontId="0" fillId="16" borderId="17" xfId="0" applyNumberFormat="1" applyFill="1" applyBorder="1" applyAlignment="1">
      <alignment horizontal="center" vertical="center"/>
    </xf>
    <xf numFmtId="178" fontId="0" fillId="3" borderId="17" xfId="0" applyNumberFormat="1" applyFill="1" applyBorder="1" applyAlignment="1">
      <alignment horizontal="center" vertical="center"/>
    </xf>
    <xf numFmtId="178" fontId="0" fillId="4" borderId="21" xfId="0" applyNumberFormat="1" applyFill="1" applyBorder="1" applyAlignment="1">
      <alignment horizontal="center" vertical="center"/>
    </xf>
    <xf numFmtId="178" fontId="0" fillId="4" borderId="18" xfId="0" applyNumberFormat="1" applyFill="1" applyBorder="1" applyAlignment="1">
      <alignment horizontal="center" vertical="center"/>
    </xf>
    <xf numFmtId="178" fontId="0" fillId="3" borderId="39" xfId="0" applyNumberFormat="1" applyFill="1" applyBorder="1" applyAlignment="1">
      <alignment horizontal="center" vertical="center"/>
    </xf>
    <xf numFmtId="178" fontId="0" fillId="9" borderId="18" xfId="0" applyNumberFormat="1" applyFill="1" applyBorder="1" applyAlignment="1">
      <alignment horizontal="center" vertical="center"/>
    </xf>
    <xf numFmtId="178" fontId="0" fillId="11" borderId="17" xfId="0" applyNumberFormat="1" applyFill="1" applyBorder="1" applyAlignment="1">
      <alignment horizontal="center" vertical="center"/>
    </xf>
    <xf numFmtId="178" fontId="0" fillId="9" borderId="39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8" fontId="0" fillId="15" borderId="15" xfId="0" applyNumberFormat="1" applyFill="1" applyBorder="1" applyAlignment="1">
      <alignment horizontal="center" vertical="center"/>
    </xf>
    <xf numFmtId="178" fontId="0" fillId="11" borderId="18" xfId="0" applyNumberFormat="1" applyFill="1" applyBorder="1" applyAlignment="1">
      <alignment horizontal="center" vertical="center"/>
    </xf>
    <xf numFmtId="178" fontId="0" fillId="10" borderId="18" xfId="0" applyNumberFormat="1" applyFill="1" applyBorder="1" applyAlignment="1">
      <alignment horizontal="center" vertical="center"/>
    </xf>
    <xf numFmtId="178" fontId="0" fillId="8" borderId="18" xfId="0" applyNumberFormat="1" applyFill="1" applyBorder="1" applyAlignment="1">
      <alignment horizontal="center" vertical="center"/>
    </xf>
    <xf numFmtId="178" fontId="0" fillId="15" borderId="19" xfId="0" applyNumberFormat="1" applyFill="1" applyBorder="1" applyAlignment="1">
      <alignment horizontal="center" vertical="center"/>
    </xf>
    <xf numFmtId="178" fontId="0" fillId="2" borderId="74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21" fillId="0" borderId="0" xfId="1" applyNumberFormat="1" applyFont="1" applyFill="1" applyBorder="1" applyAlignment="1">
      <alignment horizontal="center"/>
    </xf>
    <xf numFmtId="0" fontId="21" fillId="0" borderId="0" xfId="1" applyNumberFormat="1" applyFont="1" applyFill="1" applyBorder="1" applyAlignment="1"/>
    <xf numFmtId="0" fontId="18" fillId="0" borderId="0" xfId="1">
      <alignment vertical="center"/>
    </xf>
    <xf numFmtId="0" fontId="21" fillId="0" borderId="38" xfId="1" applyNumberFormat="1" applyFont="1" applyFill="1" applyBorder="1" applyAlignment="1" applyProtection="1">
      <alignment horizontal="center" vertical="center"/>
    </xf>
    <xf numFmtId="0" fontId="21" fillId="0" borderId="16" xfId="1" applyNumberFormat="1" applyFont="1" applyFill="1" applyBorder="1" applyAlignment="1" applyProtection="1">
      <alignment horizontal="center" vertical="center"/>
    </xf>
    <xf numFmtId="0" fontId="21" fillId="0" borderId="19" xfId="1" applyNumberFormat="1" applyFont="1" applyFill="1" applyBorder="1" applyAlignment="1" applyProtection="1">
      <alignment horizontal="center" vertical="center"/>
    </xf>
    <xf numFmtId="0" fontId="21" fillId="17" borderId="51" xfId="1" applyNumberFormat="1" applyFont="1" applyFill="1" applyBorder="1" applyAlignment="1" applyProtection="1">
      <alignment horizontal="center" vertical="center"/>
    </xf>
    <xf numFmtId="0" fontId="21" fillId="17" borderId="37" xfId="1" applyNumberFormat="1" applyFont="1" applyFill="1" applyBorder="1" applyAlignment="1" applyProtection="1">
      <alignment horizontal="center" vertical="center"/>
    </xf>
    <xf numFmtId="0" fontId="21" fillId="0" borderId="61" xfId="1" applyNumberFormat="1" applyFont="1" applyFill="1" applyBorder="1" applyAlignment="1">
      <alignment horizontal="center" vertical="center"/>
    </xf>
    <xf numFmtId="0" fontId="21" fillId="17" borderId="33" xfId="1" applyNumberFormat="1" applyFont="1" applyFill="1" applyBorder="1" applyAlignment="1">
      <alignment horizontal="center" vertical="center"/>
    </xf>
    <xf numFmtId="0" fontId="21" fillId="17" borderId="44" xfId="1" applyNumberFormat="1" applyFont="1" applyFill="1" applyBorder="1" applyAlignment="1">
      <alignment horizontal="center" vertical="center"/>
    </xf>
    <xf numFmtId="0" fontId="21" fillId="0" borderId="66" xfId="1" applyNumberFormat="1" applyFont="1" applyFill="1" applyBorder="1" applyAlignment="1">
      <alignment horizontal="center" vertical="center"/>
    </xf>
    <xf numFmtId="0" fontId="21" fillId="0" borderId="67" xfId="1" applyNumberFormat="1" applyFont="1" applyFill="1" applyBorder="1" applyAlignment="1">
      <alignment horizontal="center" vertical="center"/>
    </xf>
    <xf numFmtId="0" fontId="21" fillId="0" borderId="16" xfId="1" applyNumberFormat="1" applyFont="1" applyFill="1" applyBorder="1" applyAlignment="1">
      <alignment horizontal="center" vertical="center"/>
    </xf>
    <xf numFmtId="0" fontId="21" fillId="0" borderId="0" xfId="1" applyNumberFormat="1" applyFont="1" applyFill="1" applyBorder="1" applyAlignment="1">
      <alignment horizontal="center" vertical="center"/>
    </xf>
    <xf numFmtId="0" fontId="21" fillId="17" borderId="22" xfId="1" applyNumberFormat="1" applyFont="1" applyFill="1" applyBorder="1" applyAlignment="1">
      <alignment horizontal="center" vertical="center"/>
    </xf>
    <xf numFmtId="0" fontId="21" fillId="17" borderId="23" xfId="1" applyNumberFormat="1" applyFont="1" applyFill="1" applyBorder="1" applyAlignment="1">
      <alignment horizontal="center" vertical="center"/>
    </xf>
    <xf numFmtId="0" fontId="21" fillId="0" borderId="29" xfId="1" applyNumberFormat="1" applyFont="1" applyFill="1" applyBorder="1" applyAlignment="1">
      <alignment horizontal="center" vertical="center"/>
    </xf>
    <xf numFmtId="0" fontId="21" fillId="0" borderId="30" xfId="1" applyNumberFormat="1" applyFont="1" applyFill="1" applyBorder="1" applyAlignment="1">
      <alignment horizontal="center" vertical="center"/>
    </xf>
    <xf numFmtId="0" fontId="21" fillId="0" borderId="68" xfId="1" applyNumberFormat="1" applyFont="1" applyFill="1" applyBorder="1" applyAlignment="1">
      <alignment horizontal="center" vertical="center"/>
    </xf>
    <xf numFmtId="0" fontId="21" fillId="17" borderId="27" xfId="1" applyNumberFormat="1" applyFont="1" applyFill="1" applyBorder="1" applyAlignment="1">
      <alignment horizontal="center" vertical="center"/>
    </xf>
    <xf numFmtId="0" fontId="21" fillId="17" borderId="26" xfId="1" applyNumberFormat="1" applyFont="1" applyFill="1" applyBorder="1" applyAlignment="1">
      <alignment horizontal="center" vertical="center"/>
    </xf>
    <xf numFmtId="0" fontId="21" fillId="0" borderId="24" xfId="1" applyNumberFormat="1" applyFont="1" applyFill="1" applyBorder="1" applyAlignment="1">
      <alignment horizontal="center" vertical="center"/>
    </xf>
    <xf numFmtId="0" fontId="21" fillId="0" borderId="31" xfId="1" applyNumberFormat="1" applyFont="1" applyFill="1" applyBorder="1" applyAlignment="1">
      <alignment horizontal="center" vertical="center"/>
    </xf>
    <xf numFmtId="0" fontId="21" fillId="0" borderId="19" xfId="1" applyNumberFormat="1" applyFont="1" applyFill="1" applyBorder="1" applyAlignment="1">
      <alignment horizontal="center" vertical="center"/>
    </xf>
    <xf numFmtId="0" fontId="21" fillId="0" borderId="38" xfId="1" applyNumberFormat="1" applyFont="1" applyFill="1" applyBorder="1" applyAlignment="1">
      <alignment horizontal="center" vertical="center"/>
    </xf>
    <xf numFmtId="0" fontId="22" fillId="0" borderId="0" xfId="1" applyFont="1">
      <alignment vertical="center"/>
    </xf>
    <xf numFmtId="0" fontId="12" fillId="0" borderId="0" xfId="0" applyFont="1">
      <alignment vertical="center"/>
    </xf>
    <xf numFmtId="0" fontId="23" fillId="0" borderId="30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38" xfId="1" applyNumberFormat="1" applyFont="1" applyFill="1" applyBorder="1" applyAlignment="1">
      <alignment horizontal="center" vertical="center"/>
    </xf>
    <xf numFmtId="0" fontId="19" fillId="0" borderId="50" xfId="1" applyNumberFormat="1" applyFont="1" applyFill="1" applyBorder="1" applyAlignment="1">
      <alignment horizontal="center" vertical="center"/>
    </xf>
    <xf numFmtId="0" fontId="19" fillId="0" borderId="51" xfId="1" applyNumberFormat="1" applyFont="1" applyFill="1" applyBorder="1" applyAlignment="1">
      <alignment horizontal="center" vertical="center"/>
    </xf>
    <xf numFmtId="58" fontId="20" fillId="17" borderId="50" xfId="1" applyNumberFormat="1" applyFont="1" applyFill="1" applyBorder="1" applyAlignment="1">
      <alignment horizontal="center" vertical="center"/>
    </xf>
    <xf numFmtId="58" fontId="20" fillId="17" borderId="37" xfId="1" applyNumberFormat="1" applyFont="1" applyFill="1" applyBorder="1" applyAlignment="1">
      <alignment horizontal="center" vertical="center"/>
    </xf>
    <xf numFmtId="58" fontId="19" fillId="0" borderId="50" xfId="1" applyNumberFormat="1" applyFont="1" applyFill="1" applyBorder="1" applyAlignment="1">
      <alignment horizontal="center" vertical="center"/>
    </xf>
    <xf numFmtId="58" fontId="19" fillId="0" borderId="37" xfId="1" applyNumberFormat="1" applyFont="1" applyFill="1" applyBorder="1" applyAlignment="1">
      <alignment horizontal="center" vertical="center"/>
    </xf>
    <xf numFmtId="58" fontId="20" fillId="0" borderId="50" xfId="1" applyNumberFormat="1" applyFont="1" applyFill="1" applyBorder="1" applyAlignment="1">
      <alignment horizontal="center" vertical="center"/>
    </xf>
    <xf numFmtId="58" fontId="20" fillId="0" borderId="37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58" fontId="19" fillId="18" borderId="50" xfId="1" applyNumberFormat="1" applyFont="1" applyFill="1" applyBorder="1" applyAlignment="1">
      <alignment horizontal="center" vertical="center"/>
    </xf>
    <xf numFmtId="58" fontId="19" fillId="18" borderId="37" xfId="1" applyNumberFormat="1" applyFont="1" applyFill="1" applyBorder="1" applyAlignment="1">
      <alignment horizontal="center" vertical="center"/>
    </xf>
    <xf numFmtId="0" fontId="21" fillId="18" borderId="30" xfId="1" applyNumberFormat="1" applyFont="1" applyFill="1" applyBorder="1" applyAlignment="1">
      <alignment horizontal="center" vertical="center"/>
    </xf>
    <xf numFmtId="0" fontId="21" fillId="18" borderId="31" xfId="1" applyNumberFormat="1" applyFont="1" applyFill="1" applyBorder="1" applyAlignment="1">
      <alignment horizontal="center" vertical="center"/>
    </xf>
    <xf numFmtId="0" fontId="21" fillId="18" borderId="47" xfId="1" applyNumberFormat="1" applyFont="1" applyFill="1" applyBorder="1" applyAlignment="1">
      <alignment horizontal="center" vertical="center"/>
    </xf>
    <xf numFmtId="0" fontId="21" fillId="18" borderId="48" xfId="1" applyNumberFormat="1" applyFont="1" applyFill="1" applyBorder="1" applyAlignment="1">
      <alignment horizontal="center" vertical="center"/>
    </xf>
    <xf numFmtId="0" fontId="21" fillId="18" borderId="60" xfId="1" applyNumberFormat="1" applyFont="1" applyFill="1" applyBorder="1" applyAlignment="1">
      <alignment horizontal="center" vertical="center"/>
    </xf>
    <xf numFmtId="0" fontId="21" fillId="18" borderId="54" xfId="1" applyNumberFormat="1" applyFont="1" applyFill="1" applyBorder="1" applyAlignment="1">
      <alignment horizontal="center" vertical="center"/>
    </xf>
    <xf numFmtId="0" fontId="21" fillId="18" borderId="43" xfId="1" applyNumberFormat="1" applyFont="1" applyFill="1" applyBorder="1" applyAlignment="1">
      <alignment horizontal="center" vertical="center"/>
    </xf>
    <xf numFmtId="0" fontId="21" fillId="18" borderId="22" xfId="1" applyNumberFormat="1" applyFont="1" applyFill="1" applyBorder="1" applyAlignment="1">
      <alignment horizontal="center" vertical="center"/>
    </xf>
    <xf numFmtId="0" fontId="23" fillId="18" borderId="28" xfId="1" applyFont="1" applyFill="1" applyBorder="1" applyAlignment="1">
      <alignment horizontal="center" vertical="center"/>
    </xf>
    <xf numFmtId="0" fontId="23" fillId="18" borderId="43" xfId="1" applyFont="1" applyFill="1" applyBorder="1" applyAlignment="1">
      <alignment horizontal="center" vertical="center"/>
    </xf>
    <xf numFmtId="0" fontId="21" fillId="17" borderId="53" xfId="1" applyNumberFormat="1" applyFont="1" applyFill="1" applyBorder="1" applyAlignment="1">
      <alignment horizontal="center" vertical="center"/>
    </xf>
    <xf numFmtId="0" fontId="21" fillId="17" borderId="43" xfId="1" applyNumberFormat="1" applyFont="1" applyFill="1" applyBorder="1" applyAlignment="1">
      <alignment horizontal="center" vertical="center"/>
    </xf>
    <xf numFmtId="0" fontId="21" fillId="17" borderId="58" xfId="1" applyNumberFormat="1" applyFont="1" applyFill="1" applyBorder="1" applyAlignment="1">
      <alignment horizontal="center" vertical="center"/>
    </xf>
    <xf numFmtId="0" fontId="21" fillId="17" borderId="55" xfId="1" applyNumberFormat="1" applyFont="1" applyFill="1" applyBorder="1" applyAlignment="1">
      <alignment horizontal="center" vertical="center"/>
    </xf>
    <xf numFmtId="0" fontId="21" fillId="17" borderId="24" xfId="1" applyNumberFormat="1" applyFont="1" applyFill="1" applyBorder="1" applyAlignment="1">
      <alignment horizontal="center" vertical="center"/>
    </xf>
    <xf numFmtId="0" fontId="21" fillId="17" borderId="68" xfId="1" applyNumberFormat="1" applyFont="1" applyFill="1" applyBorder="1" applyAlignment="1">
      <alignment horizontal="center" vertical="center"/>
    </xf>
    <xf numFmtId="0" fontId="21" fillId="17" borderId="31" xfId="1" applyNumberFormat="1" applyFont="1" applyFill="1" applyBorder="1" applyAlignment="1">
      <alignment horizontal="center" vertical="center"/>
    </xf>
    <xf numFmtId="0" fontId="21" fillId="17" borderId="66" xfId="1" applyNumberFormat="1" applyFont="1" applyFill="1" applyBorder="1" applyAlignment="1">
      <alignment horizontal="center" vertical="center"/>
    </xf>
    <xf numFmtId="0" fontId="21" fillId="17" borderId="61" xfId="1" applyNumberFormat="1" applyFont="1" applyFill="1" applyBorder="1" applyAlignment="1">
      <alignment horizontal="center" vertical="center"/>
    </xf>
    <xf numFmtId="0" fontId="21" fillId="17" borderId="67" xfId="1" applyNumberFormat="1" applyFont="1" applyFill="1" applyBorder="1" applyAlignment="1">
      <alignment horizontal="center" vertical="center"/>
    </xf>
    <xf numFmtId="0" fontId="21" fillId="17" borderId="29" xfId="1" applyNumberFormat="1" applyFont="1" applyFill="1" applyBorder="1" applyAlignment="1">
      <alignment horizontal="center" vertical="center"/>
    </xf>
    <xf numFmtId="0" fontId="21" fillId="17" borderId="0" xfId="1" applyNumberFormat="1" applyFont="1" applyFill="1" applyBorder="1" applyAlignment="1">
      <alignment horizontal="center" vertical="center"/>
    </xf>
    <xf numFmtId="0" fontId="21" fillId="17" borderId="30" xfId="1" applyNumberFormat="1" applyFont="1" applyFill="1" applyBorder="1" applyAlignment="1">
      <alignment horizontal="center" vertical="center"/>
    </xf>
    <xf numFmtId="0" fontId="21" fillId="17" borderId="72" xfId="1" applyNumberFormat="1" applyFont="1" applyFill="1" applyBorder="1" applyAlignment="1">
      <alignment horizontal="center" vertical="center"/>
    </xf>
    <xf numFmtId="0" fontId="21" fillId="17" borderId="69" xfId="1" applyNumberFormat="1" applyFont="1" applyFill="1" applyBorder="1" applyAlignment="1">
      <alignment horizontal="center" vertical="center"/>
    </xf>
    <xf numFmtId="0" fontId="21" fillId="17" borderId="12" xfId="1" applyNumberFormat="1" applyFont="1" applyFill="1" applyBorder="1" applyAlignment="1">
      <alignment horizontal="center" vertical="center"/>
    </xf>
    <xf numFmtId="0" fontId="21" fillId="17" borderId="70" xfId="1" applyNumberFormat="1" applyFont="1" applyFill="1" applyBorder="1" applyAlignment="1">
      <alignment horizontal="center" vertical="center"/>
    </xf>
    <xf numFmtId="0" fontId="21" fillId="17" borderId="71" xfId="1" applyNumberFormat="1" applyFont="1" applyFill="1" applyBorder="1" applyAlignment="1">
      <alignment horizontal="center" vertical="center"/>
    </xf>
    <xf numFmtId="0" fontId="21" fillId="0" borderId="24" xfId="1" applyNumberFormat="1" applyFont="1" applyFill="1" applyBorder="1" applyAlignment="1">
      <alignment horizontal="center" vertical="center"/>
    </xf>
    <xf numFmtId="0" fontId="21" fillId="0" borderId="31" xfId="1" applyNumberFormat="1" applyFont="1" applyFill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3" fillId="0" borderId="66" xfId="1" applyFont="1" applyBorder="1" applyAlignment="1">
      <alignment horizontal="center" vertical="center"/>
    </xf>
    <xf numFmtId="0" fontId="23" fillId="0" borderId="67" xfId="1" applyFont="1" applyBorder="1" applyAlignment="1">
      <alignment horizontal="center" vertical="center"/>
    </xf>
    <xf numFmtId="0" fontId="23" fillId="0" borderId="30" xfId="1" applyFont="1" applyBorder="1" applyAlignment="1">
      <alignment horizontal="center" vertical="center"/>
    </xf>
    <xf numFmtId="0" fontId="21" fillId="0" borderId="66" xfId="1" applyNumberFormat="1" applyFont="1" applyFill="1" applyBorder="1" applyAlignment="1">
      <alignment horizontal="center" vertical="center"/>
    </xf>
    <xf numFmtId="0" fontId="21" fillId="0" borderId="67" xfId="1" applyNumberFormat="1" applyFont="1" applyFill="1" applyBorder="1" applyAlignment="1">
      <alignment horizontal="center" vertical="center"/>
    </xf>
    <xf numFmtId="0" fontId="23" fillId="0" borderId="24" xfId="1" applyFont="1" applyBorder="1" applyAlignment="1">
      <alignment horizontal="center" vertical="center"/>
    </xf>
    <xf numFmtId="0" fontId="23" fillId="0" borderId="31" xfId="1" applyFont="1" applyBorder="1" applyAlignment="1">
      <alignment horizontal="center" vertical="center"/>
    </xf>
    <xf numFmtId="0" fontId="21" fillId="0" borderId="61" xfId="1" applyNumberFormat="1" applyFont="1" applyFill="1" applyBorder="1" applyAlignment="1">
      <alignment horizontal="center" vertical="center"/>
    </xf>
    <xf numFmtId="0" fontId="21" fillId="0" borderId="68" xfId="1" applyNumberFormat="1" applyFont="1" applyFill="1" applyBorder="1" applyAlignment="1">
      <alignment horizontal="center" vertical="center"/>
    </xf>
    <xf numFmtId="0" fontId="23" fillId="0" borderId="0" xfId="1" applyFont="1" applyBorder="1" applyAlignment="1">
      <alignment horizontal="center" vertical="center"/>
    </xf>
    <xf numFmtId="0" fontId="23" fillId="0" borderId="61" xfId="1" applyFont="1" applyBorder="1" applyAlignment="1">
      <alignment horizontal="center" vertical="center"/>
    </xf>
    <xf numFmtId="0" fontId="23" fillId="0" borderId="68" xfId="1" applyFont="1" applyBorder="1" applyAlignment="1">
      <alignment horizontal="center" vertical="center"/>
    </xf>
    <xf numFmtId="0" fontId="21" fillId="0" borderId="37" xfId="1" applyNumberFormat="1" applyFont="1" applyFill="1" applyBorder="1" applyAlignment="1">
      <alignment horizontal="center" vertical="center"/>
    </xf>
    <xf numFmtId="58" fontId="19" fillId="0" borderId="51" xfId="1" applyNumberFormat="1" applyFont="1" applyFill="1" applyBorder="1" applyAlignment="1">
      <alignment horizontal="center" vertical="center"/>
    </xf>
    <xf numFmtId="0" fontId="24" fillId="0" borderId="24" xfId="1" applyNumberFormat="1" applyFont="1" applyFill="1" applyBorder="1" applyAlignment="1">
      <alignment horizontal="center" vertical="center"/>
    </xf>
    <xf numFmtId="0" fontId="27" fillId="0" borderId="66" xfId="1" applyNumberFormat="1" applyFont="1" applyFill="1" applyBorder="1" applyAlignment="1">
      <alignment horizontal="center" vertical="center"/>
    </xf>
    <xf numFmtId="0" fontId="23" fillId="0" borderId="16" xfId="1" applyFont="1" applyBorder="1" applyAlignment="1">
      <alignment horizontal="center" vertical="center"/>
    </xf>
    <xf numFmtId="0" fontId="25" fillId="0" borderId="68" xfId="1" applyNumberFormat="1" applyFont="1" applyFill="1" applyBorder="1" applyAlignment="1">
      <alignment horizontal="center" vertical="center"/>
    </xf>
    <xf numFmtId="0" fontId="25" fillId="17" borderId="50" xfId="1" applyNumberFormat="1" applyFont="1" applyFill="1" applyBorder="1" applyAlignment="1" applyProtection="1">
      <alignment horizontal="center" vertical="center"/>
    </xf>
    <xf numFmtId="0" fontId="25" fillId="0" borderId="15" xfId="1" applyNumberFormat="1" applyFont="1" applyFill="1" applyBorder="1" applyAlignment="1" applyProtection="1">
      <alignment horizontal="center" vertical="center"/>
    </xf>
    <xf numFmtId="0" fontId="19" fillId="0" borderId="61" xfId="1" applyNumberFormat="1" applyFont="1" applyFill="1" applyBorder="1" applyAlignment="1">
      <alignment horizontal="center" vertical="center"/>
    </xf>
    <xf numFmtId="0" fontId="19" fillId="0" borderId="68" xfId="1" applyNumberFormat="1" applyFont="1" applyFill="1" applyBorder="1" applyAlignment="1">
      <alignment horizontal="center" vertical="center"/>
    </xf>
    <xf numFmtId="58" fontId="19" fillId="17" borderId="66" xfId="1" applyNumberFormat="1" applyFont="1" applyFill="1" applyBorder="1" applyAlignment="1">
      <alignment horizontal="center" vertical="center"/>
    </xf>
    <xf numFmtId="58" fontId="19" fillId="17" borderId="61" xfId="1" applyNumberFormat="1" applyFont="1" applyFill="1" applyBorder="1" applyAlignment="1">
      <alignment horizontal="center" vertical="center"/>
    </xf>
    <xf numFmtId="58" fontId="19" fillId="17" borderId="67" xfId="1" applyNumberFormat="1" applyFont="1" applyFill="1" applyBorder="1" applyAlignment="1">
      <alignment horizontal="center" vertical="center"/>
    </xf>
    <xf numFmtId="58" fontId="19" fillId="17" borderId="24" xfId="1" applyNumberFormat="1" applyFont="1" applyFill="1" applyBorder="1" applyAlignment="1">
      <alignment horizontal="center" vertical="center"/>
    </xf>
    <xf numFmtId="58" fontId="19" fillId="17" borderId="68" xfId="1" applyNumberFormat="1" applyFont="1" applyFill="1" applyBorder="1" applyAlignment="1">
      <alignment horizontal="center" vertical="center"/>
    </xf>
    <xf numFmtId="58" fontId="19" fillId="17" borderId="31" xfId="1" applyNumberFormat="1" applyFont="1" applyFill="1" applyBorder="1" applyAlignment="1">
      <alignment horizontal="center" vertical="center"/>
    </xf>
    <xf numFmtId="0" fontId="19" fillId="0" borderId="19" xfId="1" applyNumberFormat="1" applyFont="1" applyFill="1" applyBorder="1" applyAlignment="1">
      <alignment horizontal="center" vertical="center"/>
    </xf>
    <xf numFmtId="0" fontId="19" fillId="0" borderId="37" xfId="1" applyNumberFormat="1" applyFont="1" applyFill="1" applyBorder="1" applyAlignment="1">
      <alignment horizontal="center" vertical="center"/>
    </xf>
    <xf numFmtId="0" fontId="19" fillId="0" borderId="67" xfId="1" applyNumberFormat="1" applyFont="1" applyFill="1" applyBorder="1" applyAlignment="1">
      <alignment horizontal="center" vertical="center"/>
    </xf>
    <xf numFmtId="0" fontId="19" fillId="0" borderId="31" xfId="1" applyNumberFormat="1" applyFont="1" applyFill="1" applyBorder="1" applyAlignment="1">
      <alignment horizontal="center" vertical="center"/>
    </xf>
    <xf numFmtId="0" fontId="28" fillId="0" borderId="38" xfId="1" applyNumberFormat="1" applyFont="1" applyFill="1" applyBorder="1" applyAlignment="1">
      <alignment horizontal="center" vertical="center"/>
    </xf>
    <xf numFmtId="0" fontId="21" fillId="0" borderId="51" xfId="1" applyNumberFormat="1" applyFont="1" applyFill="1" applyBorder="1" applyAlignment="1">
      <alignment horizontal="center" vertical="center"/>
    </xf>
    <xf numFmtId="0" fontId="25" fillId="0" borderId="0" xfId="1" applyNumberFormat="1" applyFont="1" applyFill="1" applyBorder="1" applyAlignment="1">
      <alignment horizontal="center" vertical="center"/>
    </xf>
    <xf numFmtId="0" fontId="29" fillId="0" borderId="50" xfId="1" applyNumberFormat="1" applyFont="1" applyFill="1" applyBorder="1" applyAlignment="1">
      <alignment horizontal="center" vertical="center"/>
    </xf>
    <xf numFmtId="0" fontId="29" fillId="0" borderId="51" xfId="1" applyNumberFormat="1" applyFont="1" applyFill="1" applyBorder="1" applyAlignment="1">
      <alignment horizontal="center" vertical="center"/>
    </xf>
    <xf numFmtId="0" fontId="25" fillId="0" borderId="38" xfId="1" applyNumberFormat="1" applyFont="1" applyFill="1" applyBorder="1" applyAlignment="1" applyProtection="1">
      <alignment horizontal="center" vertical="center"/>
    </xf>
    <xf numFmtId="0" fontId="25" fillId="0" borderId="19" xfId="1" applyNumberFormat="1" applyFont="1" applyFill="1" applyBorder="1" applyAlignment="1" applyProtection="1">
      <alignment horizontal="center" vertical="center"/>
    </xf>
    <xf numFmtId="0" fontId="23" fillId="0" borderId="30" xfId="1" applyFont="1" applyFill="1" applyBorder="1" applyAlignment="1">
      <alignment horizontal="center" vertical="center"/>
    </xf>
    <xf numFmtId="0" fontId="23" fillId="0" borderId="67" xfId="1" applyFont="1" applyFill="1" applyBorder="1" applyAlignment="1">
      <alignment horizontal="center" vertical="center"/>
    </xf>
    <xf numFmtId="0" fontId="29" fillId="17" borderId="66" xfId="1" applyNumberFormat="1" applyFont="1" applyFill="1" applyBorder="1" applyAlignment="1">
      <alignment horizontal="center" vertical="center"/>
    </xf>
    <xf numFmtId="0" fontId="30" fillId="17" borderId="61" xfId="1" applyNumberFormat="1" applyFont="1" applyFill="1" applyBorder="1" applyAlignment="1">
      <alignment horizontal="center" vertical="center"/>
    </xf>
    <xf numFmtId="0" fontId="30" fillId="17" borderId="67" xfId="1" applyNumberFormat="1" applyFont="1" applyFill="1" applyBorder="1" applyAlignment="1">
      <alignment horizontal="center" vertical="center"/>
    </xf>
    <xf numFmtId="0" fontId="30" fillId="17" borderId="24" xfId="1" applyNumberFormat="1" applyFont="1" applyFill="1" applyBorder="1" applyAlignment="1">
      <alignment horizontal="center" vertical="center"/>
    </xf>
    <xf numFmtId="0" fontId="30" fillId="17" borderId="68" xfId="1" applyNumberFormat="1" applyFont="1" applyFill="1" applyBorder="1" applyAlignment="1">
      <alignment horizontal="center" vertical="center"/>
    </xf>
    <xf numFmtId="0" fontId="30" fillId="17" borderId="31" xfId="1" applyNumberFormat="1" applyFont="1" applyFill="1" applyBorder="1" applyAlignment="1">
      <alignment horizontal="center" vertical="center"/>
    </xf>
    <xf numFmtId="0" fontId="30" fillId="17" borderId="29" xfId="1" applyNumberFormat="1" applyFont="1" applyFill="1" applyBorder="1" applyAlignment="1">
      <alignment horizontal="center" vertical="center"/>
    </xf>
    <xf numFmtId="0" fontId="30" fillId="17" borderId="0" xfId="1" applyNumberFormat="1" applyFont="1" applyFill="1" applyBorder="1" applyAlignment="1">
      <alignment horizontal="center" vertical="center"/>
    </xf>
    <xf numFmtId="0" fontId="30" fillId="17" borderId="30" xfId="1" applyNumberFormat="1" applyFont="1" applyFill="1" applyBorder="1" applyAlignment="1">
      <alignment horizontal="center" vertical="center"/>
    </xf>
    <xf numFmtId="0" fontId="30" fillId="17" borderId="66" xfId="1" applyNumberFormat="1" applyFont="1" applyFill="1" applyBorder="1" applyAlignment="1">
      <alignment horizontal="center" vertical="center"/>
    </xf>
    <xf numFmtId="0" fontId="19" fillId="0" borderId="31" xfId="1" applyNumberFormat="1" applyFont="1" applyFill="1" applyBorder="1" applyAlignment="1">
      <alignment horizontal="center" vertical="center"/>
    </xf>
    <xf numFmtId="0" fontId="31" fillId="17" borderId="66" xfId="1" applyNumberFormat="1" applyFont="1" applyFill="1" applyBorder="1" applyAlignment="1">
      <alignment horizontal="center" vertical="center"/>
    </xf>
    <xf numFmtId="0" fontId="32" fillId="17" borderId="61" xfId="1" applyNumberFormat="1" applyFont="1" applyFill="1" applyBorder="1" applyAlignment="1">
      <alignment horizontal="center" vertical="center"/>
    </xf>
    <xf numFmtId="0" fontId="32" fillId="17" borderId="67" xfId="1" applyNumberFormat="1" applyFont="1" applyFill="1" applyBorder="1" applyAlignment="1">
      <alignment horizontal="center" vertical="center"/>
    </xf>
    <xf numFmtId="0" fontId="32" fillId="17" borderId="24" xfId="1" applyNumberFormat="1" applyFont="1" applyFill="1" applyBorder="1" applyAlignment="1">
      <alignment horizontal="center" vertical="center"/>
    </xf>
    <xf numFmtId="0" fontId="32" fillId="17" borderId="68" xfId="1" applyNumberFormat="1" applyFont="1" applyFill="1" applyBorder="1" applyAlignment="1">
      <alignment horizontal="center" vertical="center"/>
    </xf>
    <xf numFmtId="0" fontId="32" fillId="17" borderId="31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_Sheet3" xfId="1" xr:uid="{8452BECA-0A7C-4C4D-B496-D93C6B2524F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B4D79C"/>
      <color rgb="FF93C570"/>
      <color rgb="FFFFDC78"/>
      <color rgb="FFFFE69E"/>
      <color rgb="FFCAE3BA"/>
      <color rgb="FFFFF2CC"/>
      <color rgb="FFE2F0D9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T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P30" sqref="P30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7" width="10.875" style="1" bestFit="1" customWidth="1"/>
    <col min="8" max="8" width="10.875" style="1" customWidth="1"/>
    <col min="9" max="12" width="10.875" style="1" bestFit="1" customWidth="1"/>
    <col min="13" max="13" width="10.875" style="1" customWidth="1"/>
    <col min="14" max="14" width="38.25" style="1" customWidth="1"/>
    <col min="15" max="15" width="34.125" style="1" customWidth="1"/>
    <col min="16" max="16" width="12.625" style="1" customWidth="1"/>
    <col min="17" max="17" width="8" style="1" customWidth="1"/>
    <col min="18" max="18" width="16" style="1" customWidth="1"/>
    <col min="19" max="19" width="20.875" style="1" customWidth="1"/>
    <col min="20" max="20" width="18.625" style="1" customWidth="1"/>
    <col min="21" max="21" width="13.375" style="1" bestFit="1" customWidth="1"/>
    <col min="22" max="22" width="4" style="1" bestFit="1" customWidth="1"/>
    <col min="23" max="23" width="17.125" style="1" customWidth="1"/>
    <col min="24" max="24" width="25.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0" ht="13.9" customHeight="1">
      <c r="A2" s="127" t="s">
        <v>84</v>
      </c>
      <c r="B2" s="127" t="s">
        <v>154</v>
      </c>
      <c r="C2" s="127" t="s">
        <v>151</v>
      </c>
      <c r="D2" s="127" t="s">
        <v>71</v>
      </c>
      <c r="E2" s="127" t="s">
        <v>53</v>
      </c>
      <c r="F2" s="127" t="s">
        <v>174</v>
      </c>
      <c r="G2" s="596" t="s">
        <v>6</v>
      </c>
      <c r="H2" s="597"/>
      <c r="I2" s="598"/>
      <c r="J2" s="596" t="s">
        <v>76</v>
      </c>
      <c r="K2" s="597"/>
      <c r="L2" s="598"/>
      <c r="M2" s="48"/>
      <c r="N2" s="127" t="s">
        <v>93</v>
      </c>
      <c r="O2" s="599" t="s">
        <v>158</v>
      </c>
      <c r="P2" s="600"/>
      <c r="Q2" s="601"/>
      <c r="R2" s="115"/>
      <c r="S2" s="244" t="s">
        <v>91</v>
      </c>
      <c r="T2" s="168"/>
    </row>
    <row r="3" spans="1:20">
      <c r="A3" s="153"/>
      <c r="B3" s="154"/>
      <c r="C3" s="154"/>
      <c r="D3" s="128"/>
      <c r="E3" s="128"/>
      <c r="F3" s="154"/>
      <c r="G3" s="164" t="s">
        <v>56</v>
      </c>
      <c r="H3" s="165" t="s">
        <v>73</v>
      </c>
      <c r="I3" s="166" t="s">
        <v>90</v>
      </c>
      <c r="J3" s="164" t="s">
        <v>52</v>
      </c>
      <c r="K3" s="165" t="s">
        <v>73</v>
      </c>
      <c r="L3" s="166" t="s">
        <v>90</v>
      </c>
      <c r="M3" s="48" t="s">
        <v>53</v>
      </c>
      <c r="N3" s="127" t="s">
        <v>136</v>
      </c>
      <c r="O3" s="229"/>
      <c r="P3" s="150" t="s">
        <v>136</v>
      </c>
      <c r="Q3" s="152"/>
      <c r="S3" s="122" t="s">
        <v>181</v>
      </c>
      <c r="T3" s="123">
        <f>parameter!C8</f>
        <v>5676.9848887954295</v>
      </c>
    </row>
    <row r="4" spans="1:20">
      <c r="A4" s="48"/>
      <c r="B4" s="50"/>
      <c r="C4" s="50"/>
      <c r="D4" s="50"/>
      <c r="E4" s="50"/>
      <c r="F4" s="199"/>
      <c r="G4" s="200"/>
      <c r="H4" s="201"/>
      <c r="I4" s="202"/>
      <c r="J4" s="200"/>
      <c r="K4" s="201"/>
      <c r="L4" s="202"/>
      <c r="M4" s="130" t="s">
        <v>64</v>
      </c>
      <c r="N4" s="246">
        <f>T3</f>
        <v>5676.9848887954295</v>
      </c>
      <c r="O4" s="247"/>
      <c r="P4" s="237"/>
      <c r="Q4" s="152"/>
      <c r="S4" s="122" t="s">
        <v>176</v>
      </c>
      <c r="T4" s="123">
        <v>681</v>
      </c>
    </row>
    <row r="5" spans="1:20">
      <c r="A5" s="49" t="s">
        <v>47</v>
      </c>
      <c r="B5" s="172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131"/>
      <c r="N5" s="248">
        <v>0</v>
      </c>
      <c r="O5" s="249"/>
      <c r="P5" s="250">
        <f>N5*K5</f>
        <v>0</v>
      </c>
      <c r="Q5" s="251"/>
      <c r="S5" s="122" t="s">
        <v>165</v>
      </c>
      <c r="T5" s="123">
        <v>661</v>
      </c>
    </row>
    <row r="6" spans="1:20">
      <c r="A6" s="175" t="s">
        <v>27</v>
      </c>
      <c r="B6" s="175" t="s">
        <v>24</v>
      </c>
      <c r="C6" s="175"/>
      <c r="D6" s="158"/>
      <c r="E6" s="158"/>
      <c r="F6" s="158">
        <v>5</v>
      </c>
      <c r="G6" s="159"/>
      <c r="H6" s="160">
        <f>K6/F6</f>
        <v>0.04</v>
      </c>
      <c r="I6" s="161">
        <f>L6/F6</f>
        <v>0.4</v>
      </c>
      <c r="J6" s="159"/>
      <c r="K6" s="160">
        <v>0.2</v>
      </c>
      <c r="L6" s="161">
        <v>2</v>
      </c>
      <c r="M6" s="162"/>
      <c r="N6" s="205">
        <v>0</v>
      </c>
      <c r="O6" s="206"/>
      <c r="P6" s="207">
        <f>N6*K6</f>
        <v>0</v>
      </c>
      <c r="Q6" s="163"/>
      <c r="S6" s="122" t="s">
        <v>0</v>
      </c>
      <c r="T6" s="123">
        <f>parameter!C10</f>
        <v>3654.1161779686181</v>
      </c>
    </row>
    <row r="7" spans="1:20">
      <c r="A7" s="173" t="s">
        <v>65</v>
      </c>
      <c r="B7" s="173"/>
      <c r="C7" s="173"/>
      <c r="D7" s="156"/>
      <c r="E7" s="155"/>
      <c r="F7" s="155">
        <v>3.3</v>
      </c>
      <c r="G7" s="203"/>
      <c r="H7" s="197">
        <f>K7/F7</f>
        <v>6.0606060606060615E-2</v>
      </c>
      <c r="I7" s="198">
        <f>L7/F7</f>
        <v>6.0606060606060615E-2</v>
      </c>
      <c r="J7" s="203"/>
      <c r="K7" s="157">
        <v>0.2</v>
      </c>
      <c r="L7" s="176">
        <v>0.2</v>
      </c>
      <c r="M7" s="156"/>
      <c r="N7" s="208">
        <v>0</v>
      </c>
      <c r="O7" s="209"/>
      <c r="P7" s="210">
        <f>N7*K7</f>
        <v>0</v>
      </c>
      <c r="Q7" s="167"/>
      <c r="S7" s="122" t="s">
        <v>36</v>
      </c>
      <c r="T7" s="123">
        <f>parameter!C11</f>
        <v>2022.8687108268114</v>
      </c>
    </row>
    <row r="8" spans="1:20" ht="15">
      <c r="A8" s="174" t="s">
        <v>75</v>
      </c>
      <c r="B8" s="51" t="s">
        <v>22</v>
      </c>
      <c r="C8" s="174" t="s">
        <v>126</v>
      </c>
      <c r="D8" s="51" t="s">
        <v>171</v>
      </c>
      <c r="E8" s="51"/>
      <c r="F8" s="51">
        <v>3.3</v>
      </c>
      <c r="G8" s="70">
        <v>0.115</v>
      </c>
      <c r="H8" s="43">
        <f>K8/F8</f>
        <v>0.24242424242424246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133"/>
      <c r="N8" s="211">
        <v>0</v>
      </c>
      <c r="O8" s="189"/>
      <c r="P8" s="212">
        <f t="shared" ref="P8:P25" si="0">N8*K8</f>
        <v>0</v>
      </c>
      <c r="Q8" s="140"/>
      <c r="S8" s="122" t="s">
        <v>164</v>
      </c>
      <c r="T8" s="123">
        <v>0.3</v>
      </c>
    </row>
    <row r="9" spans="1:20" ht="15">
      <c r="A9" s="602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1">H9*F9</f>
        <v>0.11999999999999998</v>
      </c>
      <c r="L9" s="83">
        <f>I9*F9</f>
        <v>0.2</v>
      </c>
      <c r="M9" s="134"/>
      <c r="N9" s="213">
        <v>1</v>
      </c>
      <c r="O9" s="190"/>
      <c r="P9" s="214">
        <f>N9*K9</f>
        <v>0.11999999999999998</v>
      </c>
      <c r="Q9" s="141"/>
      <c r="S9" s="122" t="s">
        <v>68</v>
      </c>
      <c r="T9" s="123">
        <v>0.6</v>
      </c>
    </row>
    <row r="10" spans="1:20" ht="15">
      <c r="A10" s="604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1"/>
        <v>0.2</v>
      </c>
      <c r="L10" s="83">
        <f>I10*F10</f>
        <v>0.4</v>
      </c>
      <c r="M10" s="134"/>
      <c r="N10" s="213">
        <v>0</v>
      </c>
      <c r="O10" s="190"/>
      <c r="P10" s="214">
        <f>N10*K10</f>
        <v>0</v>
      </c>
      <c r="Q10" s="141"/>
      <c r="S10" s="122" t="s">
        <v>41</v>
      </c>
      <c r="T10" s="123">
        <v>0.8</v>
      </c>
    </row>
    <row r="11" spans="1:20" ht="15">
      <c r="A11" s="605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58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35"/>
      <c r="N11" s="215">
        <v>1</v>
      </c>
      <c r="O11" s="191"/>
      <c r="P11" s="216">
        <f t="shared" si="0"/>
        <v>0.35000000000000003</v>
      </c>
      <c r="Q11" s="142"/>
      <c r="S11" s="122" t="s">
        <v>70</v>
      </c>
      <c r="T11" s="123">
        <v>0.8</v>
      </c>
    </row>
    <row r="12" spans="1:20" ht="15">
      <c r="A12" s="605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18">
        <f t="shared" si="1"/>
        <v>0.32</v>
      </c>
      <c r="L12" s="75"/>
      <c r="M12" s="135"/>
      <c r="N12" s="215">
        <v>1</v>
      </c>
      <c r="O12" s="191"/>
      <c r="P12" s="216">
        <f t="shared" si="0"/>
        <v>0.32</v>
      </c>
      <c r="Q12" s="142"/>
      <c r="S12" s="124"/>
      <c r="T12" s="123"/>
    </row>
    <row r="13" spans="1:20" ht="15">
      <c r="A13" s="604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1"/>
        <v>0.2</v>
      </c>
      <c r="L13" s="73"/>
      <c r="M13" s="134"/>
      <c r="N13" s="213">
        <v>1</v>
      </c>
      <c r="O13" s="190"/>
      <c r="P13" s="214">
        <f t="shared" si="0"/>
        <v>0.2</v>
      </c>
      <c r="Q13" s="141"/>
      <c r="S13" s="124"/>
      <c r="T13" s="123"/>
    </row>
    <row r="14" spans="1:20" ht="15">
      <c r="A14" s="604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1"/>
        <v>3.5000000000000003E-2</v>
      </c>
      <c r="L14" s="73"/>
      <c r="M14" s="134"/>
      <c r="N14" s="213">
        <v>1</v>
      </c>
      <c r="O14" s="190"/>
      <c r="P14" s="214">
        <f t="shared" si="0"/>
        <v>3.5000000000000003E-2</v>
      </c>
      <c r="Q14" s="141"/>
      <c r="S14" s="122" t="s">
        <v>102</v>
      </c>
      <c r="T14" s="123">
        <v>0.2</v>
      </c>
    </row>
    <row r="15" spans="1:20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1"/>
        <v>0.57000000000000006</v>
      </c>
      <c r="L15" s="77">
        <f>I15*F15</f>
        <v>6.8999999999999995</v>
      </c>
      <c r="M15" s="136"/>
      <c r="N15" s="217">
        <v>0</v>
      </c>
      <c r="O15" s="192"/>
      <c r="P15" s="218">
        <f t="shared" si="0"/>
        <v>0</v>
      </c>
      <c r="Q15" s="143"/>
      <c r="S15" s="122" t="s">
        <v>157</v>
      </c>
      <c r="T15" s="123">
        <v>0.9</v>
      </c>
    </row>
    <row r="16" spans="1:20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1"/>
        <v>0</v>
      </c>
      <c r="L16" s="73"/>
      <c r="M16" s="134"/>
      <c r="N16" s="213">
        <v>0</v>
      </c>
      <c r="O16" s="190"/>
      <c r="P16" s="214">
        <f t="shared" si="0"/>
        <v>0</v>
      </c>
      <c r="Q16" s="141"/>
      <c r="S16" s="125" t="s">
        <v>182</v>
      </c>
      <c r="T16" s="126">
        <v>0.4</v>
      </c>
    </row>
    <row r="17" spans="1:18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37"/>
      <c r="N17" s="219">
        <v>0</v>
      </c>
      <c r="O17" s="193"/>
      <c r="P17" s="220">
        <f t="shared" si="0"/>
        <v>0</v>
      </c>
      <c r="Q17" s="144"/>
    </row>
    <row r="18" spans="1:18">
      <c r="A18" s="48"/>
      <c r="B18" s="606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132"/>
      <c r="N18" s="221">
        <v>1</v>
      </c>
      <c r="O18" s="188"/>
      <c r="P18" s="222">
        <f t="shared" si="0"/>
        <v>0.1</v>
      </c>
      <c r="Q18" s="139"/>
    </row>
    <row r="19" spans="1:18">
      <c r="A19" s="48"/>
      <c r="B19" s="607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132"/>
      <c r="N19" s="221">
        <v>1</v>
      </c>
      <c r="O19" s="188"/>
      <c r="P19" s="222">
        <f t="shared" si="0"/>
        <v>0.2</v>
      </c>
      <c r="Q19" s="139"/>
    </row>
    <row r="20" spans="1:18">
      <c r="A20" s="48"/>
      <c r="B20" s="608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38"/>
      <c r="N20" s="223">
        <v>1</v>
      </c>
      <c r="O20" s="194"/>
      <c r="P20" s="224">
        <f t="shared" si="0"/>
        <v>0</v>
      </c>
      <c r="Q20" s="145"/>
    </row>
    <row r="21" spans="1:18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134"/>
      <c r="N21" s="213">
        <v>1</v>
      </c>
      <c r="O21" s="190"/>
      <c r="P21" s="214">
        <f t="shared" si="0"/>
        <v>0.42899999999999999</v>
      </c>
      <c r="Q21" s="141"/>
    </row>
    <row r="22" spans="1:18" ht="15">
      <c r="A22" s="602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148"/>
      <c r="N22" s="213">
        <v>0</v>
      </c>
      <c r="O22" s="190"/>
      <c r="P22" s="214">
        <f t="shared" si="0"/>
        <v>0</v>
      </c>
      <c r="Q22" s="141"/>
    </row>
    <row r="23" spans="1:18" ht="15">
      <c r="A23" s="604"/>
      <c r="B23" s="53"/>
      <c r="C23" s="602" t="s">
        <v>66</v>
      </c>
      <c r="D23" s="602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134"/>
      <c r="N23" s="213">
        <v>0</v>
      </c>
      <c r="O23" s="190"/>
      <c r="P23" s="214">
        <f t="shared" si="0"/>
        <v>0</v>
      </c>
      <c r="Q23" s="141"/>
    </row>
    <row r="24" spans="1:18" ht="15" customHeight="1">
      <c r="A24" s="604"/>
      <c r="B24" s="53"/>
      <c r="C24" s="603"/>
      <c r="D24" s="603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134"/>
      <c r="N24" s="213">
        <v>1</v>
      </c>
      <c r="O24" s="190"/>
      <c r="P24" s="214">
        <f t="shared" si="0"/>
        <v>0</v>
      </c>
      <c r="Q24" s="141"/>
    </row>
    <row r="25" spans="1:18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4">
        <f>J25/5</f>
        <v>0.122</v>
      </c>
      <c r="H25" s="84">
        <f>K25/5</f>
        <v>0.54</v>
      </c>
      <c r="I25" s="85">
        <f>L25/5</f>
        <v>1</v>
      </c>
      <c r="J25" s="87">
        <v>0.61</v>
      </c>
      <c r="K25" s="88">
        <v>2.7</v>
      </c>
      <c r="L25" s="89">
        <v>5</v>
      </c>
      <c r="M25" s="135"/>
      <c r="N25" s="225">
        <v>0</v>
      </c>
      <c r="O25" s="195"/>
      <c r="P25" s="226">
        <f t="shared" si="0"/>
        <v>0</v>
      </c>
      <c r="Q25" s="169"/>
    </row>
    <row r="26" spans="1:18">
      <c r="G26" s="86"/>
      <c r="H26" s="86"/>
      <c r="I26" s="86"/>
      <c r="J26" s="86"/>
      <c r="K26" s="86"/>
      <c r="M26" s="7"/>
      <c r="O26" s="146" t="s">
        <v>163</v>
      </c>
      <c r="P26" s="170">
        <f>SUM(P5:P25)</f>
        <v>1.754</v>
      </c>
      <c r="Q26" s="171" t="s">
        <v>119</v>
      </c>
      <c r="R26" s="1" t="s">
        <v>4</v>
      </c>
    </row>
    <row r="27" spans="1:18">
      <c r="M27"/>
      <c r="O27" s="117" t="s">
        <v>10</v>
      </c>
      <c r="P27" s="6">
        <f>1.135*(6*3+6*3+4*3+4*3)/6*T6/3600</f>
        <v>11.520616283317727</v>
      </c>
      <c r="Q27" s="118" t="s">
        <v>129</v>
      </c>
      <c r="R27" s="3"/>
    </row>
    <row r="28" spans="1:18">
      <c r="M28"/>
      <c r="O28" s="117" t="s">
        <v>9</v>
      </c>
      <c r="P28" s="6">
        <f>P26*T3/3600</f>
        <v>2.7659531930408843</v>
      </c>
      <c r="Q28" s="118" t="s">
        <v>129</v>
      </c>
      <c r="R28" s="3"/>
    </row>
    <row r="29" spans="1:18">
      <c r="M29"/>
      <c r="O29" s="117" t="s">
        <v>100</v>
      </c>
      <c r="P29" s="6">
        <f>P27-P28</f>
        <v>8.7546630902768428</v>
      </c>
      <c r="Q29" s="118" t="s">
        <v>129</v>
      </c>
    </row>
    <row r="30" spans="1:18">
      <c r="M30"/>
      <c r="O30" s="117" t="s">
        <v>179</v>
      </c>
      <c r="P30" s="6">
        <f>100*($P$27/P28-1)</f>
        <v>316.51522926358638</v>
      </c>
      <c r="Q30" s="118" t="s">
        <v>110</v>
      </c>
    </row>
    <row r="31" spans="1:18">
      <c r="M31"/>
      <c r="O31" s="117" t="s">
        <v>107</v>
      </c>
      <c r="P31" s="6">
        <f>P29/$P$27*100</f>
        <v>75.991274034132303</v>
      </c>
      <c r="Q31" s="118" t="s">
        <v>110</v>
      </c>
      <c r="R31" s="21" t="s">
        <v>77</v>
      </c>
    </row>
    <row r="32" spans="1:18">
      <c r="M32"/>
      <c r="O32" s="119" t="s">
        <v>167</v>
      </c>
      <c r="P32" s="147">
        <f>(P27-P28)/40*100</f>
        <v>21.886657725692107</v>
      </c>
      <c r="Q32" s="121" t="s">
        <v>110</v>
      </c>
    </row>
    <row r="33" spans="13:19">
      <c r="M33"/>
    </row>
    <row r="34" spans="13:19">
      <c r="M34"/>
    </row>
    <row r="41" spans="13:19">
      <c r="O41" s="7"/>
      <c r="P41" s="7"/>
      <c r="Q41" s="7"/>
    </row>
    <row r="42" spans="13:19">
      <c r="O42" s="7"/>
      <c r="P42" s="7"/>
      <c r="Q42" s="7"/>
    </row>
    <row r="43" spans="13:19">
      <c r="O43" s="7"/>
      <c r="P43" s="7"/>
      <c r="Q43" s="7"/>
      <c r="R43" s="7"/>
      <c r="S43" s="7"/>
    </row>
    <row r="44" spans="13:19">
      <c r="O44" s="7"/>
      <c r="P44" s="7"/>
      <c r="Q44" s="7"/>
      <c r="R44" s="7"/>
      <c r="S44" s="7"/>
    </row>
    <row r="45" spans="13:19">
      <c r="O45" s="7"/>
      <c r="P45" s="7"/>
      <c r="Q45" s="7"/>
      <c r="R45" s="7"/>
      <c r="S45" s="7"/>
    </row>
    <row r="46" spans="13:19">
      <c r="O46" s="7"/>
      <c r="P46" s="7"/>
      <c r="Q46" s="7"/>
      <c r="R46" s="7"/>
      <c r="S46" s="7"/>
    </row>
    <row r="47" spans="13:19">
      <c r="O47" s="7"/>
      <c r="P47" s="7"/>
      <c r="Q47" s="7"/>
      <c r="R47" s="7"/>
      <c r="S47" s="7"/>
    </row>
    <row r="48" spans="13:19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R51" s="7"/>
      <c r="S51" s="7"/>
    </row>
    <row r="52" spans="15:19">
      <c r="R52" s="7"/>
      <c r="S52" s="7"/>
    </row>
  </sheetData>
  <mergeCells count="10">
    <mergeCell ref="A9:A10"/>
    <mergeCell ref="A11:A12"/>
    <mergeCell ref="A13:A14"/>
    <mergeCell ref="A22:A24"/>
    <mergeCell ref="B18:B20"/>
    <mergeCell ref="G2:I2"/>
    <mergeCell ref="J2:L2"/>
    <mergeCell ref="O2:Q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2:Z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R27" sqref="R27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7" t="s">
        <v>84</v>
      </c>
      <c r="B2" s="127" t="s">
        <v>154</v>
      </c>
      <c r="C2" s="127" t="s">
        <v>151</v>
      </c>
      <c r="D2" s="127" t="s">
        <v>71</v>
      </c>
      <c r="E2" s="127" t="s">
        <v>53</v>
      </c>
      <c r="F2" s="127" t="s">
        <v>174</v>
      </c>
      <c r="G2" s="596" t="s">
        <v>6</v>
      </c>
      <c r="H2" s="597"/>
      <c r="I2" s="598"/>
      <c r="J2" s="596" t="s">
        <v>76</v>
      </c>
      <c r="K2" s="597"/>
      <c r="L2" s="598"/>
      <c r="N2" s="599" t="s">
        <v>93</v>
      </c>
      <c r="O2" s="609"/>
      <c r="P2" s="601"/>
      <c r="Q2" s="599" t="s">
        <v>158</v>
      </c>
      <c r="R2" s="600"/>
      <c r="S2" s="600"/>
      <c r="T2" s="600"/>
      <c r="U2" s="600"/>
      <c r="V2" s="601"/>
      <c r="W2" s="115"/>
      <c r="X2" s="244" t="s">
        <v>91</v>
      </c>
      <c r="Y2" s="168"/>
    </row>
    <row r="3" spans="1:25" ht="14.25" customHeight="1">
      <c r="A3" s="48"/>
      <c r="B3" s="128"/>
      <c r="C3" s="128"/>
      <c r="D3" s="128"/>
      <c r="E3" s="128"/>
      <c r="F3" s="128"/>
      <c r="G3" s="149" t="s">
        <v>56</v>
      </c>
      <c r="H3" s="150" t="s">
        <v>73</v>
      </c>
      <c r="I3" s="151" t="s">
        <v>90</v>
      </c>
      <c r="J3" s="149" t="s">
        <v>52</v>
      </c>
      <c r="K3" s="150" t="s">
        <v>73</v>
      </c>
      <c r="L3" s="151" t="s">
        <v>90</v>
      </c>
      <c r="M3" s="1" t="s">
        <v>53</v>
      </c>
      <c r="N3" s="149" t="s">
        <v>142</v>
      </c>
      <c r="O3" s="150" t="s">
        <v>145</v>
      </c>
      <c r="P3" s="152" t="s">
        <v>108</v>
      </c>
      <c r="Q3" s="229"/>
      <c r="R3" s="149" t="s">
        <v>142</v>
      </c>
      <c r="S3" s="150" t="s">
        <v>145</v>
      </c>
      <c r="T3" s="151" t="s">
        <v>108</v>
      </c>
      <c r="U3" s="127" t="s">
        <v>40</v>
      </c>
      <c r="V3" s="152"/>
      <c r="X3" s="122" t="s">
        <v>181</v>
      </c>
      <c r="Y3" s="123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3"/>
      <c r="H4" s="230"/>
      <c r="I4" s="235"/>
      <c r="J4" s="233"/>
      <c r="K4" s="230"/>
      <c r="L4" s="235"/>
      <c r="M4" s="90" t="s">
        <v>64</v>
      </c>
      <c r="N4" s="234">
        <f>Y6-Y4</f>
        <v>2973.1161779686181</v>
      </c>
      <c r="O4" s="231">
        <f>Y7</f>
        <v>2022.8687108268114</v>
      </c>
      <c r="P4" s="232">
        <f>Y4</f>
        <v>681</v>
      </c>
      <c r="Q4" s="279"/>
      <c r="R4" s="233"/>
      <c r="S4" s="230"/>
      <c r="T4" s="235"/>
      <c r="U4" s="255"/>
      <c r="V4" s="129"/>
      <c r="X4" s="122" t="s">
        <v>176</v>
      </c>
      <c r="Y4" s="123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1"/>
      <c r="N5" s="179">
        <v>0</v>
      </c>
      <c r="O5" s="180">
        <v>0</v>
      </c>
      <c r="P5" s="181">
        <v>1</v>
      </c>
      <c r="Q5" s="280"/>
      <c r="R5" s="281">
        <f>N5*K5</f>
        <v>0</v>
      </c>
      <c r="S5" s="47">
        <f>O5*K5</f>
        <v>0</v>
      </c>
      <c r="T5" s="69">
        <f>P5*K5</f>
        <v>0.2</v>
      </c>
      <c r="U5" s="256">
        <f>SUM(R5+S5+T5)</f>
        <v>0.2</v>
      </c>
      <c r="V5" s="257"/>
      <c r="X5" s="122" t="s">
        <v>165</v>
      </c>
      <c r="Y5" s="123">
        <v>661</v>
      </c>
    </row>
    <row r="6" spans="1:25">
      <c r="A6" s="175" t="s">
        <v>27</v>
      </c>
      <c r="B6" s="175" t="s">
        <v>24</v>
      </c>
      <c r="C6" s="175"/>
      <c r="D6" s="158"/>
      <c r="E6" s="158"/>
      <c r="F6" s="158">
        <v>5</v>
      </c>
      <c r="G6" s="159"/>
      <c r="H6" s="160">
        <f>K6/F6</f>
        <v>0.04</v>
      </c>
      <c r="I6" s="161">
        <f>L6/F6</f>
        <v>0.4</v>
      </c>
      <c r="J6" s="159"/>
      <c r="K6" s="160">
        <v>0.2</v>
      </c>
      <c r="L6" s="161">
        <v>2</v>
      </c>
      <c r="M6" s="177"/>
      <c r="N6" s="182">
        <v>0</v>
      </c>
      <c r="O6" s="184">
        <v>0</v>
      </c>
      <c r="P6" s="185">
        <v>1</v>
      </c>
      <c r="Q6" s="282"/>
      <c r="R6" s="206">
        <f>N6*K6</f>
        <v>0</v>
      </c>
      <c r="S6" s="196">
        <f>O6*K6</f>
        <v>0</v>
      </c>
      <c r="T6" s="228">
        <f>P6*K6</f>
        <v>0.2</v>
      </c>
      <c r="U6" s="258">
        <f t="shared" ref="U6:U25" si="0">SUM(R6+S6+T6)</f>
        <v>0.2</v>
      </c>
      <c r="V6" s="259"/>
      <c r="X6" s="122" t="s">
        <v>0</v>
      </c>
      <c r="Y6" s="123">
        <f>parameter!C10</f>
        <v>3654.1161779686181</v>
      </c>
    </row>
    <row r="7" spans="1:25">
      <c r="A7" s="173" t="s">
        <v>65</v>
      </c>
      <c r="B7" s="173"/>
      <c r="C7" s="173"/>
      <c r="D7" s="156"/>
      <c r="E7" s="155"/>
      <c r="F7" s="155">
        <v>3.3</v>
      </c>
      <c r="G7" s="203"/>
      <c r="H7" s="197">
        <f>K7/F7</f>
        <v>6.0606060606060615E-2</v>
      </c>
      <c r="I7" s="198">
        <f>L7/F7</f>
        <v>0.60606060606060608</v>
      </c>
      <c r="J7" s="203"/>
      <c r="K7" s="157">
        <v>0.2</v>
      </c>
      <c r="L7" s="176">
        <v>2</v>
      </c>
      <c r="M7" s="156"/>
      <c r="N7" s="183">
        <v>0</v>
      </c>
      <c r="O7" s="186">
        <v>0</v>
      </c>
      <c r="P7" s="187">
        <v>1</v>
      </c>
      <c r="Q7" s="283"/>
      <c r="R7" s="284">
        <f t="shared" ref="R7:R25" si="1">N7*K7</f>
        <v>0</v>
      </c>
      <c r="S7" s="157">
        <f t="shared" ref="S7:S22" si="2">O7*K7</f>
        <v>0</v>
      </c>
      <c r="T7" s="176">
        <f>P7*K7</f>
        <v>0.2</v>
      </c>
      <c r="U7" s="260">
        <f t="shared" si="0"/>
        <v>0.2</v>
      </c>
      <c r="V7" s="261"/>
      <c r="X7" s="122" t="s">
        <v>36</v>
      </c>
      <c r="Y7" s="123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4"/>
      <c r="N8" s="178">
        <v>0</v>
      </c>
      <c r="O8" s="45">
        <v>0</v>
      </c>
      <c r="P8" s="96">
        <v>1</v>
      </c>
      <c r="Q8" s="285"/>
      <c r="R8" s="189">
        <f t="shared" si="1"/>
        <v>0</v>
      </c>
      <c r="S8" s="43">
        <f t="shared" si="2"/>
        <v>0</v>
      </c>
      <c r="T8" s="71">
        <f>P8*L8</f>
        <v>1.3002</v>
      </c>
      <c r="U8" s="262">
        <f t="shared" si="0"/>
        <v>1.3002</v>
      </c>
      <c r="V8" s="263"/>
      <c r="X8" s="122" t="s">
        <v>164</v>
      </c>
      <c r="Y8" s="123">
        <v>0.3</v>
      </c>
    </row>
    <row r="9" spans="1:25" ht="15">
      <c r="A9" s="602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83">
        <f>I9*F9</f>
        <v>0.2</v>
      </c>
      <c r="M9" s="97"/>
      <c r="N9" s="98">
        <v>1</v>
      </c>
      <c r="O9" s="17">
        <v>1</v>
      </c>
      <c r="P9" s="99">
        <v>1</v>
      </c>
      <c r="Q9" s="286"/>
      <c r="R9" s="190">
        <f>N9*K9</f>
        <v>0.11999999999999998</v>
      </c>
      <c r="S9" s="16">
        <f t="shared" si="2"/>
        <v>0.11999999999999998</v>
      </c>
      <c r="T9" s="73">
        <f>P9*$L$9+(1-P9)*K9</f>
        <v>0.2</v>
      </c>
      <c r="U9" s="264">
        <f t="shared" si="0"/>
        <v>0.43999999999999995</v>
      </c>
      <c r="V9" s="265"/>
      <c r="X9" s="122" t="s">
        <v>68</v>
      </c>
      <c r="Y9" s="123">
        <v>0.6</v>
      </c>
    </row>
    <row r="10" spans="1:25" ht="15">
      <c r="A10" s="604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83">
        <f>I10*F10</f>
        <v>0.4</v>
      </c>
      <c r="M10" s="97"/>
      <c r="N10" s="98">
        <v>1</v>
      </c>
      <c r="O10" s="17">
        <v>0.5</v>
      </c>
      <c r="P10" s="99">
        <v>1</v>
      </c>
      <c r="Q10" s="286"/>
      <c r="R10" s="190">
        <f>N10*K10</f>
        <v>0.2</v>
      </c>
      <c r="S10" s="16">
        <f t="shared" si="2"/>
        <v>0.1</v>
      </c>
      <c r="T10" s="73">
        <f>P10*$L$10+(1-P10)*K10</f>
        <v>0.4</v>
      </c>
      <c r="U10" s="264">
        <f t="shared" si="0"/>
        <v>0.70000000000000007</v>
      </c>
      <c r="V10" s="265"/>
      <c r="X10" s="122" t="s">
        <v>41</v>
      </c>
      <c r="Y10" s="123">
        <v>0.8</v>
      </c>
    </row>
    <row r="11" spans="1:25" ht="15">
      <c r="A11" s="605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58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0"/>
      <c r="N11" s="101">
        <v>1</v>
      </c>
      <c r="O11" s="19">
        <v>1</v>
      </c>
      <c r="P11" s="102">
        <v>1</v>
      </c>
      <c r="Q11" s="287"/>
      <c r="R11" s="191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6">
        <f t="shared" si="0"/>
        <v>1.5350000000000001</v>
      </c>
      <c r="V11" s="267"/>
      <c r="X11" s="122" t="s">
        <v>70</v>
      </c>
      <c r="Y11" s="123">
        <v>0.8</v>
      </c>
    </row>
    <row r="12" spans="1:25" ht="15">
      <c r="A12" s="605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18">
        <f t="shared" si="3"/>
        <v>0.32</v>
      </c>
      <c r="L12" s="75"/>
      <c r="M12" s="100"/>
      <c r="N12" s="101">
        <v>1</v>
      </c>
      <c r="O12" s="19">
        <v>1</v>
      </c>
      <c r="P12" s="102">
        <v>1</v>
      </c>
      <c r="Q12" s="287"/>
      <c r="R12" s="191">
        <f t="shared" si="1"/>
        <v>0.32</v>
      </c>
      <c r="S12" s="18">
        <f t="shared" si="2"/>
        <v>0.32</v>
      </c>
      <c r="T12" s="75">
        <f>P12*$K$12</f>
        <v>0.32</v>
      </c>
      <c r="U12" s="266">
        <f t="shared" si="0"/>
        <v>0.96</v>
      </c>
      <c r="V12" s="267"/>
      <c r="X12" s="124"/>
      <c r="Y12" s="123"/>
    </row>
    <row r="13" spans="1:25" ht="15">
      <c r="A13" s="604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7"/>
      <c r="N13" s="98">
        <v>1</v>
      </c>
      <c r="O13" s="17">
        <v>1</v>
      </c>
      <c r="P13" s="99">
        <v>1</v>
      </c>
      <c r="Q13" s="286"/>
      <c r="R13" s="190">
        <f t="shared" si="1"/>
        <v>0.2</v>
      </c>
      <c r="S13" s="16">
        <f t="shared" si="2"/>
        <v>0.2</v>
      </c>
      <c r="T13" s="73">
        <f>P13*$K$13</f>
        <v>0.2</v>
      </c>
      <c r="U13" s="264">
        <f t="shared" si="0"/>
        <v>0.60000000000000009</v>
      </c>
      <c r="V13" s="265"/>
      <c r="X13" s="124"/>
      <c r="Y13" s="123"/>
    </row>
    <row r="14" spans="1:25" ht="15">
      <c r="A14" s="604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7"/>
      <c r="N14" s="98">
        <v>1</v>
      </c>
      <c r="O14" s="17">
        <v>1</v>
      </c>
      <c r="P14" s="99">
        <v>1</v>
      </c>
      <c r="Q14" s="286"/>
      <c r="R14" s="190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4">
        <f t="shared" si="0"/>
        <v>0.10500000000000001</v>
      </c>
      <c r="V14" s="265"/>
      <c r="X14" s="122" t="s">
        <v>102</v>
      </c>
      <c r="Y14" s="123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3"/>
      <c r="N15" s="104">
        <v>1</v>
      </c>
      <c r="O15" s="22">
        <v>1</v>
      </c>
      <c r="P15" s="105">
        <v>1</v>
      </c>
      <c r="Q15" s="288"/>
      <c r="R15" s="192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68">
        <f t="shared" si="0"/>
        <v>8.0399999999999991</v>
      </c>
      <c r="V15" s="269"/>
      <c r="X15" s="122" t="s">
        <v>157</v>
      </c>
      <c r="Y15" s="123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7"/>
      <c r="N16" s="98">
        <v>1</v>
      </c>
      <c r="O16" s="17">
        <v>1</v>
      </c>
      <c r="P16" s="99">
        <v>1</v>
      </c>
      <c r="Q16" s="286"/>
      <c r="R16" s="190">
        <f t="shared" si="1"/>
        <v>0</v>
      </c>
      <c r="S16" s="16">
        <f t="shared" si="2"/>
        <v>0</v>
      </c>
      <c r="T16" s="73">
        <f>P16*K16</f>
        <v>0</v>
      </c>
      <c r="U16" s="264">
        <f t="shared" si="0"/>
        <v>0</v>
      </c>
      <c r="V16" s="265"/>
      <c r="X16" s="125" t="s">
        <v>182</v>
      </c>
      <c r="Y16" s="126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6"/>
      <c r="N17" s="107">
        <v>1</v>
      </c>
      <c r="O17" s="42">
        <v>1</v>
      </c>
      <c r="P17" s="108">
        <v>1</v>
      </c>
      <c r="Q17" s="289"/>
      <c r="R17" s="193">
        <f t="shared" si="1"/>
        <v>1.3</v>
      </c>
      <c r="S17" s="40">
        <f t="shared" si="2"/>
        <v>1.3</v>
      </c>
      <c r="T17" s="79">
        <f>P17*K17</f>
        <v>1.3</v>
      </c>
      <c r="U17" s="270">
        <f t="shared" si="0"/>
        <v>3.9000000000000004</v>
      </c>
      <c r="V17" s="271"/>
    </row>
    <row r="18" spans="1:23">
      <c r="A18" s="48"/>
      <c r="B18" s="606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6"/>
      <c r="N18" s="92">
        <v>1</v>
      </c>
      <c r="O18" s="46">
        <v>1</v>
      </c>
      <c r="P18" s="93">
        <v>1</v>
      </c>
      <c r="Q18" s="290"/>
      <c r="R18" s="188">
        <f t="shared" si="1"/>
        <v>0.1</v>
      </c>
      <c r="S18" s="2">
        <f t="shared" si="2"/>
        <v>0.1</v>
      </c>
      <c r="T18" s="67">
        <f>P18*K18</f>
        <v>0.1</v>
      </c>
      <c r="U18" s="272">
        <f t="shared" si="0"/>
        <v>0.30000000000000004</v>
      </c>
      <c r="V18" s="273"/>
    </row>
    <row r="19" spans="1:23">
      <c r="A19" s="48"/>
      <c r="B19" s="607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6"/>
      <c r="N19" s="92">
        <v>1</v>
      </c>
      <c r="O19" s="46">
        <v>1</v>
      </c>
      <c r="P19" s="93">
        <v>1</v>
      </c>
      <c r="Q19" s="290"/>
      <c r="R19" s="188">
        <f t="shared" si="1"/>
        <v>0.2</v>
      </c>
      <c r="S19" s="2">
        <f t="shared" si="2"/>
        <v>0.2</v>
      </c>
      <c r="T19" s="67">
        <f>P19*K19</f>
        <v>0.2</v>
      </c>
      <c r="U19" s="272">
        <f t="shared" si="0"/>
        <v>0.60000000000000009</v>
      </c>
      <c r="V19" s="273"/>
    </row>
    <row r="20" spans="1:23">
      <c r="A20" s="48"/>
      <c r="B20" s="608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09"/>
      <c r="N20" s="110">
        <v>1</v>
      </c>
      <c r="O20" s="24">
        <v>1</v>
      </c>
      <c r="P20" s="111">
        <v>1</v>
      </c>
      <c r="Q20" s="291"/>
      <c r="R20" s="194">
        <f t="shared" si="1"/>
        <v>0</v>
      </c>
      <c r="S20" s="23">
        <f t="shared" si="2"/>
        <v>0</v>
      </c>
      <c r="T20" s="67">
        <f>P20*K20</f>
        <v>0</v>
      </c>
      <c r="U20" s="272">
        <f t="shared" si="0"/>
        <v>0</v>
      </c>
      <c r="V20" s="274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97"/>
      <c r="N21" s="98">
        <v>1</v>
      </c>
      <c r="O21" s="17">
        <v>1</v>
      </c>
      <c r="P21" s="99">
        <v>1</v>
      </c>
      <c r="Q21" s="286"/>
      <c r="R21" s="190">
        <f t="shared" si="1"/>
        <v>0.42899999999999999</v>
      </c>
      <c r="S21" s="16">
        <f t="shared" si="2"/>
        <v>0.42899999999999999</v>
      </c>
      <c r="T21" s="73">
        <f>P21*L21</f>
        <v>0</v>
      </c>
      <c r="U21" s="264">
        <f t="shared" si="0"/>
        <v>0.85799999999999998</v>
      </c>
      <c r="V21" s="265"/>
    </row>
    <row r="22" spans="1:23" ht="15">
      <c r="A22" s="602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7"/>
      <c r="N22" s="98">
        <v>0</v>
      </c>
      <c r="O22" s="17">
        <v>0</v>
      </c>
      <c r="P22" s="99">
        <v>1</v>
      </c>
      <c r="Q22" s="286"/>
      <c r="R22" s="190">
        <f t="shared" si="1"/>
        <v>0</v>
      </c>
      <c r="S22" s="16">
        <f t="shared" si="2"/>
        <v>0</v>
      </c>
      <c r="T22" s="73">
        <f>P22*K22</f>
        <v>0.04</v>
      </c>
      <c r="U22" s="264">
        <f t="shared" si="0"/>
        <v>0.04</v>
      </c>
      <c r="V22" s="265"/>
    </row>
    <row r="23" spans="1:23" ht="15">
      <c r="A23" s="604"/>
      <c r="B23" s="53"/>
      <c r="C23" s="602" t="s">
        <v>66</v>
      </c>
      <c r="D23" s="602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7"/>
      <c r="N23" s="98">
        <v>0.9</v>
      </c>
      <c r="O23" s="17">
        <v>0.9</v>
      </c>
      <c r="P23" s="99">
        <v>0.8</v>
      </c>
      <c r="Q23" s="286"/>
      <c r="R23" s="190">
        <f>N23*L23</f>
        <v>0.35639999999999999</v>
      </c>
      <c r="S23" s="16">
        <f>O23*L23</f>
        <v>0.35639999999999999</v>
      </c>
      <c r="T23" s="73">
        <f>P23*L23</f>
        <v>0.31679999999999997</v>
      </c>
      <c r="U23" s="264">
        <f t="shared" si="0"/>
        <v>1.0295999999999998</v>
      </c>
      <c r="V23" s="265"/>
    </row>
    <row r="24" spans="1:23" ht="15" customHeight="1">
      <c r="A24" s="604"/>
      <c r="B24" s="53"/>
      <c r="C24" s="603"/>
      <c r="D24" s="603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7"/>
      <c r="N24" s="98">
        <f>1-N23</f>
        <v>9.9999999999999978E-2</v>
      </c>
      <c r="O24" s="17">
        <f>1-O23</f>
        <v>9.9999999999999978E-2</v>
      </c>
      <c r="P24" s="99">
        <f>1-P23</f>
        <v>0.19999999999999996</v>
      </c>
      <c r="Q24" s="286"/>
      <c r="R24" s="190">
        <f>N24*L24</f>
        <v>0.3299999999999999</v>
      </c>
      <c r="S24" s="16">
        <f>O24*L24</f>
        <v>0.3299999999999999</v>
      </c>
      <c r="T24" s="73">
        <f>P24*L24</f>
        <v>0.65999999999999981</v>
      </c>
      <c r="U24" s="264">
        <f t="shared" si="0"/>
        <v>1.3199999999999996</v>
      </c>
      <c r="V24" s="265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4">
        <f>J25/5</f>
        <v>0.122</v>
      </c>
      <c r="H25" s="84">
        <f>K25/5</f>
        <v>0.54</v>
      </c>
      <c r="I25" s="85">
        <f>L25/5</f>
        <v>1</v>
      </c>
      <c r="J25" s="87">
        <v>0.61</v>
      </c>
      <c r="K25" s="88">
        <v>2.7</v>
      </c>
      <c r="L25" s="89">
        <v>5</v>
      </c>
      <c r="M25" s="100"/>
      <c r="N25" s="112">
        <v>0</v>
      </c>
      <c r="O25" s="113">
        <v>0</v>
      </c>
      <c r="P25" s="114">
        <v>0</v>
      </c>
      <c r="Q25" s="287"/>
      <c r="R25" s="191">
        <f t="shared" si="1"/>
        <v>0</v>
      </c>
      <c r="S25" s="18">
        <f>O25*K25</f>
        <v>0</v>
      </c>
      <c r="T25" s="75">
        <f>P25*K25</f>
        <v>0</v>
      </c>
      <c r="U25" s="266">
        <f t="shared" si="0"/>
        <v>0</v>
      </c>
      <c r="V25" s="267"/>
    </row>
    <row r="26" spans="1:23">
      <c r="G26" s="86"/>
      <c r="H26" s="86"/>
      <c r="I26" s="86"/>
      <c r="J26" s="86"/>
      <c r="K26" s="86"/>
      <c r="M26" s="7"/>
      <c r="Q26" s="146" t="s">
        <v>163</v>
      </c>
      <c r="R26" s="300">
        <f>SUM(R5:R25)/Y15</f>
        <v>5.0115555555555549</v>
      </c>
      <c r="S26" s="252">
        <f>SUM(S5:S25)/Y15</f>
        <v>4.9004444444444442</v>
      </c>
      <c r="T26" s="301">
        <f>SUM(T5:T25)/Y15</f>
        <v>14.896666666666665</v>
      </c>
      <c r="U26" s="275">
        <f>SUM(R26+S26+T26)</f>
        <v>24.808666666666664</v>
      </c>
      <c r="V26" s="276" t="s">
        <v>119</v>
      </c>
      <c r="W26" s="1" t="s">
        <v>4</v>
      </c>
    </row>
    <row r="27" spans="1:23">
      <c r="M27"/>
      <c r="Q27" s="117" t="s">
        <v>10</v>
      </c>
      <c r="R27" s="296">
        <f>1.135*20*N4/3600</f>
        <v>18.747149233302121</v>
      </c>
      <c r="S27" s="253">
        <v>0</v>
      </c>
      <c r="T27" s="302">
        <v>0</v>
      </c>
      <c r="U27" s="275">
        <f t="shared" ref="U27:U32" si="4">SUM(R27+S27+T27)</f>
        <v>18.747149233302121</v>
      </c>
      <c r="V27" s="276" t="s">
        <v>129</v>
      </c>
      <c r="W27" s="3"/>
    </row>
    <row r="28" spans="1:23">
      <c r="M28"/>
      <c r="Q28" s="117" t="s">
        <v>9</v>
      </c>
      <c r="R28" s="296">
        <f>R26*N4/3600</f>
        <v>4.1388713608363128</v>
      </c>
      <c r="S28" s="253">
        <f>S26*O4/3600</f>
        <v>2.7535988155032616</v>
      </c>
      <c r="T28" s="302">
        <f>T26*P4/3600</f>
        <v>2.8179527777777778</v>
      </c>
      <c r="U28" s="275">
        <f t="shared" si="4"/>
        <v>9.7104229541173517</v>
      </c>
      <c r="V28" s="276" t="s">
        <v>129</v>
      </c>
      <c r="W28" s="3"/>
    </row>
    <row r="29" spans="1:23">
      <c r="M29"/>
      <c r="Q29" s="292" t="s">
        <v>98</v>
      </c>
      <c r="R29" s="295">
        <f>U27-U28</f>
        <v>9.0367262791847693</v>
      </c>
      <c r="S29" s="253"/>
      <c r="T29" s="302"/>
      <c r="U29" s="275">
        <f t="shared" si="4"/>
        <v>9.0367262791847693</v>
      </c>
      <c r="V29" s="276" t="s">
        <v>129</v>
      </c>
    </row>
    <row r="30" spans="1:23">
      <c r="M30"/>
      <c r="Q30" s="292" t="s">
        <v>11</v>
      </c>
      <c r="R30" s="296">
        <f>100*($U$27/U28-1)</f>
        <v>93.06212841483979</v>
      </c>
      <c r="S30" s="253"/>
      <c r="T30" s="302"/>
      <c r="U30" s="275">
        <f t="shared" si="4"/>
        <v>93.06212841483979</v>
      </c>
      <c r="V30" s="276" t="s">
        <v>110</v>
      </c>
    </row>
    <row r="31" spans="1:23">
      <c r="M31"/>
      <c r="Q31" s="292" t="s">
        <v>107</v>
      </c>
      <c r="R31" s="296">
        <f>U29/$U$27*100</f>
        <v>48.203202346797774</v>
      </c>
      <c r="S31" s="253"/>
      <c r="T31" s="302"/>
      <c r="U31" s="275">
        <f t="shared" si="4"/>
        <v>48.203202346797774</v>
      </c>
      <c r="V31" s="276" t="s">
        <v>110</v>
      </c>
      <c r="W31" s="21" t="s">
        <v>77</v>
      </c>
    </row>
    <row r="32" spans="1:23">
      <c r="M32"/>
      <c r="Q32" s="297" t="s">
        <v>167</v>
      </c>
      <c r="R32" s="298">
        <f>(R27-R28)/40*100</f>
        <v>36.520694681164521</v>
      </c>
      <c r="S32" s="254">
        <f>(S27-S28)/40*100</f>
        <v>-6.8839970387581539</v>
      </c>
      <c r="T32" s="303">
        <f>(T27-T28)/40*100</f>
        <v>-7.0448819444444446</v>
      </c>
      <c r="U32" s="277">
        <f t="shared" si="4"/>
        <v>22.591815697961923</v>
      </c>
      <c r="V32" s="278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09">
        <v>1</v>
      </c>
      <c r="Y34" s="309">
        <v>0</v>
      </c>
    </row>
    <row r="35" spans="13:26">
      <c r="W35" s="1" t="s">
        <v>124</v>
      </c>
      <c r="X35" s="1">
        <f>1.135*(6*3+6*3+4*3+4*3)/(3+3+3+3+1+1)*N4/3600*X34</f>
        <v>4.0172462642790254</v>
      </c>
      <c r="Y35" s="1">
        <f>R27*Y34</f>
        <v>0</v>
      </c>
      <c r="Z35" s="1">
        <f>X35+Y35</f>
        <v>4.0172462642790254</v>
      </c>
    </row>
    <row r="36" spans="13:26">
      <c r="W36" s="1" t="s">
        <v>128</v>
      </c>
      <c r="X36" s="1">
        <f>1.498*X34</f>
        <v>1.498</v>
      </c>
      <c r="Y36" s="1">
        <f>U28*Y34</f>
        <v>0</v>
      </c>
      <c r="Z36" s="1">
        <f>X36+Y36</f>
        <v>1.498</v>
      </c>
    </row>
    <row r="37" spans="13:26">
      <c r="W37" s="1" t="s">
        <v>123</v>
      </c>
      <c r="Z37" s="1">
        <f>Z35-Z36</f>
        <v>2.5192462642790252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Z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O31" sqref="O31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bestFit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7" t="s">
        <v>84</v>
      </c>
      <c r="B2" s="127" t="s">
        <v>154</v>
      </c>
      <c r="C2" s="127" t="s">
        <v>151</v>
      </c>
      <c r="D2" s="127" t="s">
        <v>71</v>
      </c>
      <c r="E2" s="127" t="s">
        <v>53</v>
      </c>
      <c r="F2" s="127" t="s">
        <v>174</v>
      </c>
      <c r="G2" s="596" t="s">
        <v>6</v>
      </c>
      <c r="H2" s="597"/>
      <c r="I2" s="598"/>
      <c r="J2" s="596" t="s">
        <v>76</v>
      </c>
      <c r="K2" s="597"/>
      <c r="L2" s="598"/>
      <c r="N2" s="599" t="s">
        <v>93</v>
      </c>
      <c r="O2" s="600"/>
      <c r="P2" s="601"/>
      <c r="Q2" s="599" t="s">
        <v>158</v>
      </c>
      <c r="R2" s="600"/>
      <c r="S2" s="600"/>
      <c r="T2" s="600"/>
      <c r="U2" s="600"/>
      <c r="V2" s="601"/>
      <c r="W2" s="115"/>
      <c r="X2" s="244" t="s">
        <v>91</v>
      </c>
      <c r="Y2" s="168"/>
    </row>
    <row r="3" spans="1:25">
      <c r="A3" s="48"/>
      <c r="B3" s="128"/>
      <c r="C3" s="128"/>
      <c r="D3" s="128"/>
      <c r="E3" s="128"/>
      <c r="F3" s="128"/>
      <c r="G3" s="149" t="s">
        <v>56</v>
      </c>
      <c r="H3" s="150" t="s">
        <v>73</v>
      </c>
      <c r="I3" s="151" t="s">
        <v>90</v>
      </c>
      <c r="J3" s="149" t="s">
        <v>52</v>
      </c>
      <c r="K3" s="150" t="s">
        <v>73</v>
      </c>
      <c r="L3" s="151" t="s">
        <v>90</v>
      </c>
      <c r="M3" s="1" t="s">
        <v>53</v>
      </c>
      <c r="N3" s="149" t="s">
        <v>142</v>
      </c>
      <c r="O3" s="150" t="s">
        <v>145</v>
      </c>
      <c r="P3" s="151" t="s">
        <v>150</v>
      </c>
      <c r="Q3" s="229"/>
      <c r="R3" s="149" t="s">
        <v>142</v>
      </c>
      <c r="S3" s="150" t="s">
        <v>145</v>
      </c>
      <c r="T3" s="151" t="s">
        <v>150</v>
      </c>
      <c r="U3" s="127" t="s">
        <v>40</v>
      </c>
      <c r="V3" s="152"/>
      <c r="X3" s="122" t="s">
        <v>181</v>
      </c>
      <c r="Y3" s="123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3"/>
      <c r="H4" s="230"/>
      <c r="I4" s="235"/>
      <c r="J4" s="233"/>
      <c r="K4" s="230"/>
      <c r="L4" s="235"/>
      <c r="M4" s="90" t="s">
        <v>64</v>
      </c>
      <c r="N4" s="236">
        <f>Y6</f>
        <v>3654.1161779686181</v>
      </c>
      <c r="O4" s="237">
        <f>Y7-Y5</f>
        <v>1361.8687108268114</v>
      </c>
      <c r="P4" s="238">
        <f>Y5</f>
        <v>661</v>
      </c>
      <c r="Q4" s="279"/>
      <c r="R4" s="233"/>
      <c r="S4" s="230"/>
      <c r="T4" s="235"/>
      <c r="U4" s="255"/>
      <c r="V4" s="129"/>
      <c r="X4" s="122" t="s">
        <v>176</v>
      </c>
      <c r="Y4" s="123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1"/>
      <c r="N5" s="239">
        <v>0</v>
      </c>
      <c r="O5" s="240">
        <v>0</v>
      </c>
      <c r="P5" s="241">
        <v>0</v>
      </c>
      <c r="Q5" s="280"/>
      <c r="R5" s="281">
        <f>N5*K5</f>
        <v>0</v>
      </c>
      <c r="S5" s="47">
        <f>O5*K5</f>
        <v>0</v>
      </c>
      <c r="T5" s="69">
        <f>P5*K5</f>
        <v>0</v>
      </c>
      <c r="U5" s="256">
        <f>SUM(R5+S5+T5)</f>
        <v>0</v>
      </c>
      <c r="V5" s="257"/>
      <c r="X5" s="122" t="s">
        <v>165</v>
      </c>
      <c r="Y5" s="123">
        <v>661</v>
      </c>
    </row>
    <row r="6" spans="1:25">
      <c r="A6" s="175" t="s">
        <v>27</v>
      </c>
      <c r="B6" s="175" t="s">
        <v>24</v>
      </c>
      <c r="C6" s="175"/>
      <c r="D6" s="158"/>
      <c r="E6" s="158"/>
      <c r="F6" s="158">
        <v>5</v>
      </c>
      <c r="G6" s="159"/>
      <c r="H6" s="160">
        <f>K6/F6</f>
        <v>0.04</v>
      </c>
      <c r="I6" s="161">
        <f>L6/F6</f>
        <v>0.4</v>
      </c>
      <c r="J6" s="159"/>
      <c r="K6" s="160">
        <v>0.2</v>
      </c>
      <c r="L6" s="161">
        <v>2</v>
      </c>
      <c r="M6" s="177"/>
      <c r="N6" s="182">
        <v>0</v>
      </c>
      <c r="O6" s="184">
        <v>0</v>
      </c>
      <c r="P6" s="185">
        <f>N6*K6</f>
        <v>0</v>
      </c>
      <c r="Q6" s="282"/>
      <c r="R6" s="206">
        <f>N6*K6</f>
        <v>0</v>
      </c>
      <c r="S6" s="196">
        <f>O6*K6</f>
        <v>0</v>
      </c>
      <c r="T6" s="228">
        <f>P6*K6</f>
        <v>0</v>
      </c>
      <c r="U6" s="258">
        <f t="shared" ref="U6:U25" si="0">SUM(R6+S6+T6)</f>
        <v>0</v>
      </c>
      <c r="V6" s="259"/>
      <c r="X6" s="122" t="s">
        <v>0</v>
      </c>
      <c r="Y6" s="123">
        <f>parameter!C10</f>
        <v>3654.1161779686181</v>
      </c>
    </row>
    <row r="7" spans="1:25">
      <c r="A7" s="173" t="s">
        <v>65</v>
      </c>
      <c r="B7" s="173"/>
      <c r="C7" s="173"/>
      <c r="D7" s="156"/>
      <c r="E7" s="155"/>
      <c r="F7" s="155">
        <v>3.3</v>
      </c>
      <c r="G7" s="203"/>
      <c r="H7" s="197">
        <f>K7/F7</f>
        <v>6.0606060606060615E-2</v>
      </c>
      <c r="I7" s="198">
        <f>L7/F7</f>
        <v>0.60606060606060608</v>
      </c>
      <c r="J7" s="203"/>
      <c r="K7" s="157">
        <v>0.2</v>
      </c>
      <c r="L7" s="176">
        <v>2</v>
      </c>
      <c r="M7" s="156"/>
      <c r="N7" s="183">
        <v>0</v>
      </c>
      <c r="O7" s="186">
        <v>0</v>
      </c>
      <c r="P7" s="187">
        <f>N7*K7</f>
        <v>0</v>
      </c>
      <c r="Q7" s="283"/>
      <c r="R7" s="284">
        <f>N7*K7</f>
        <v>0</v>
      </c>
      <c r="S7" s="157">
        <f>O7*K7</f>
        <v>0</v>
      </c>
      <c r="T7" s="176">
        <f>P7*K7</f>
        <v>0</v>
      </c>
      <c r="U7" s="260">
        <f t="shared" si="0"/>
        <v>0</v>
      </c>
      <c r="V7" s="261"/>
      <c r="X7" s="122" t="s">
        <v>36</v>
      </c>
      <c r="Y7" s="123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4"/>
      <c r="N8" s="95">
        <v>0</v>
      </c>
      <c r="O8" s="45">
        <v>0</v>
      </c>
      <c r="P8" s="96">
        <v>0</v>
      </c>
      <c r="Q8" s="285"/>
      <c r="R8" s="189">
        <f t="shared" ref="R8:R25" si="1">N8*K8</f>
        <v>0</v>
      </c>
      <c r="S8" s="43">
        <f t="shared" ref="S8:S22" si="2">O8*K8</f>
        <v>0</v>
      </c>
      <c r="T8" s="71">
        <f>P8*L8</f>
        <v>0</v>
      </c>
      <c r="U8" s="262">
        <f t="shared" si="0"/>
        <v>0</v>
      </c>
      <c r="V8" s="263"/>
      <c r="X8" s="122" t="s">
        <v>164</v>
      </c>
      <c r="Y8" s="123">
        <v>0.3</v>
      </c>
    </row>
    <row r="9" spans="1:25" ht="15">
      <c r="A9" s="602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83">
        <f>I9*F9</f>
        <v>0.2</v>
      </c>
      <c r="M9" s="97"/>
      <c r="N9" s="98">
        <v>1</v>
      </c>
      <c r="O9" s="17">
        <v>1</v>
      </c>
      <c r="P9" s="99">
        <v>1</v>
      </c>
      <c r="Q9" s="286"/>
      <c r="R9" s="190">
        <f>N9*K9</f>
        <v>0.11999999999999998</v>
      </c>
      <c r="S9" s="16">
        <f t="shared" si="2"/>
        <v>0.11999999999999998</v>
      </c>
      <c r="T9" s="73">
        <f>P9*$L$9+(1-P9)*K9</f>
        <v>0.2</v>
      </c>
      <c r="U9" s="264">
        <f t="shared" si="0"/>
        <v>0.43999999999999995</v>
      </c>
      <c r="V9" s="265"/>
      <c r="X9" s="122" t="s">
        <v>68</v>
      </c>
      <c r="Y9" s="123">
        <v>0.6</v>
      </c>
    </row>
    <row r="10" spans="1:25" ht="15">
      <c r="A10" s="604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83">
        <f>I10*F10</f>
        <v>0.4</v>
      </c>
      <c r="M10" s="97"/>
      <c r="N10" s="98">
        <v>1</v>
      </c>
      <c r="O10" s="17">
        <v>0.5</v>
      </c>
      <c r="P10" s="99">
        <v>1</v>
      </c>
      <c r="Q10" s="286"/>
      <c r="R10" s="190">
        <f>N10*K10</f>
        <v>0.2</v>
      </c>
      <c r="S10" s="16">
        <f t="shared" si="2"/>
        <v>0.1</v>
      </c>
      <c r="T10" s="73">
        <f>P10*$L$10+(1-P10)*K10</f>
        <v>0.4</v>
      </c>
      <c r="U10" s="264">
        <f t="shared" si="0"/>
        <v>0.70000000000000007</v>
      </c>
      <c r="V10" s="265"/>
      <c r="X10" s="122" t="s">
        <v>41</v>
      </c>
      <c r="Y10" s="123">
        <v>0.8</v>
      </c>
    </row>
    <row r="11" spans="1:25" ht="15">
      <c r="A11" s="605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58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0"/>
      <c r="N11" s="101">
        <v>1</v>
      </c>
      <c r="O11" s="19">
        <v>1</v>
      </c>
      <c r="P11" s="102">
        <v>1</v>
      </c>
      <c r="Q11" s="287"/>
      <c r="R11" s="191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6">
        <f t="shared" si="0"/>
        <v>1.5350000000000001</v>
      </c>
      <c r="V11" s="267"/>
      <c r="X11" s="122" t="s">
        <v>70</v>
      </c>
      <c r="Y11" s="123">
        <v>0.8</v>
      </c>
    </row>
    <row r="12" spans="1:25" ht="15">
      <c r="A12" s="605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18">
        <f t="shared" si="3"/>
        <v>0.32</v>
      </c>
      <c r="L12" s="75"/>
      <c r="M12" s="100"/>
      <c r="N12" s="101">
        <v>1</v>
      </c>
      <c r="O12" s="19">
        <v>1</v>
      </c>
      <c r="P12" s="102">
        <v>1</v>
      </c>
      <c r="Q12" s="287"/>
      <c r="R12" s="191">
        <f t="shared" si="1"/>
        <v>0.32</v>
      </c>
      <c r="S12" s="18">
        <f t="shared" si="2"/>
        <v>0.32</v>
      </c>
      <c r="T12" s="75">
        <f>P12*$K$12</f>
        <v>0.32</v>
      </c>
      <c r="U12" s="266">
        <f t="shared" si="0"/>
        <v>0.96</v>
      </c>
      <c r="V12" s="267"/>
      <c r="X12" s="124"/>
      <c r="Y12" s="123"/>
    </row>
    <row r="13" spans="1:25" ht="15">
      <c r="A13" s="604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7"/>
      <c r="N13" s="98">
        <v>1</v>
      </c>
      <c r="O13" s="17">
        <v>1</v>
      </c>
      <c r="P13" s="99">
        <v>1</v>
      </c>
      <c r="Q13" s="286"/>
      <c r="R13" s="190">
        <f t="shared" si="1"/>
        <v>0.2</v>
      </c>
      <c r="S13" s="16">
        <f t="shared" si="2"/>
        <v>0.2</v>
      </c>
      <c r="T13" s="73">
        <f>P13*$K$13</f>
        <v>0.2</v>
      </c>
      <c r="U13" s="264">
        <f t="shared" si="0"/>
        <v>0.60000000000000009</v>
      </c>
      <c r="V13" s="265"/>
      <c r="X13" s="124"/>
      <c r="Y13" s="123"/>
    </row>
    <row r="14" spans="1:25" ht="15">
      <c r="A14" s="604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7"/>
      <c r="N14" s="98">
        <v>1</v>
      </c>
      <c r="O14" s="17">
        <v>1</v>
      </c>
      <c r="P14" s="99">
        <v>1</v>
      </c>
      <c r="Q14" s="286"/>
      <c r="R14" s="190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4">
        <f t="shared" si="0"/>
        <v>0.10500000000000001</v>
      </c>
      <c r="V14" s="265"/>
      <c r="X14" s="122" t="s">
        <v>102</v>
      </c>
      <c r="Y14" s="123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3"/>
      <c r="N15" s="104">
        <v>1</v>
      </c>
      <c r="O15" s="22">
        <v>1</v>
      </c>
      <c r="P15" s="105">
        <v>1</v>
      </c>
      <c r="Q15" s="288"/>
      <c r="R15" s="192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68">
        <f t="shared" si="0"/>
        <v>8.0399999999999991</v>
      </c>
      <c r="V15" s="269"/>
      <c r="X15" s="122" t="s">
        <v>157</v>
      </c>
      <c r="Y15" s="123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7"/>
      <c r="N16" s="98">
        <v>1</v>
      </c>
      <c r="O16" s="17">
        <v>1</v>
      </c>
      <c r="P16" s="99">
        <v>1</v>
      </c>
      <c r="Q16" s="286"/>
      <c r="R16" s="190">
        <f t="shared" si="1"/>
        <v>0</v>
      </c>
      <c r="S16" s="16">
        <f t="shared" si="2"/>
        <v>0</v>
      </c>
      <c r="T16" s="73">
        <f>P16*K16</f>
        <v>0</v>
      </c>
      <c r="U16" s="264">
        <f t="shared" si="0"/>
        <v>0</v>
      </c>
      <c r="V16" s="265"/>
      <c r="X16" s="125" t="s">
        <v>182</v>
      </c>
      <c r="Y16" s="126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6"/>
      <c r="N17" s="107">
        <v>1</v>
      </c>
      <c r="O17" s="42">
        <v>1</v>
      </c>
      <c r="P17" s="108">
        <v>1</v>
      </c>
      <c r="Q17" s="289"/>
      <c r="R17" s="193">
        <f t="shared" si="1"/>
        <v>1.3</v>
      </c>
      <c r="S17" s="40">
        <f t="shared" si="2"/>
        <v>1.3</v>
      </c>
      <c r="T17" s="79">
        <f>P17*K17</f>
        <v>1.3</v>
      </c>
      <c r="U17" s="270">
        <f t="shared" si="0"/>
        <v>3.9000000000000004</v>
      </c>
      <c r="V17" s="271"/>
    </row>
    <row r="18" spans="1:23">
      <c r="A18" s="48"/>
      <c r="B18" s="606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6"/>
      <c r="N18" s="92">
        <v>1</v>
      </c>
      <c r="O18" s="46">
        <v>1</v>
      </c>
      <c r="P18" s="93">
        <v>1</v>
      </c>
      <c r="Q18" s="290"/>
      <c r="R18" s="188">
        <f t="shared" si="1"/>
        <v>0.1</v>
      </c>
      <c r="S18" s="2">
        <f t="shared" si="2"/>
        <v>0.1</v>
      </c>
      <c r="T18" s="67">
        <f>P18*K18</f>
        <v>0.1</v>
      </c>
      <c r="U18" s="272">
        <f t="shared" si="0"/>
        <v>0.30000000000000004</v>
      </c>
      <c r="V18" s="273"/>
    </row>
    <row r="19" spans="1:23">
      <c r="A19" s="48"/>
      <c r="B19" s="607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6"/>
      <c r="N19" s="92">
        <v>1</v>
      </c>
      <c r="O19" s="46">
        <v>1</v>
      </c>
      <c r="P19" s="93">
        <v>1</v>
      </c>
      <c r="Q19" s="290"/>
      <c r="R19" s="188">
        <f t="shared" si="1"/>
        <v>0.2</v>
      </c>
      <c r="S19" s="2">
        <f t="shared" si="2"/>
        <v>0.2</v>
      </c>
      <c r="T19" s="67">
        <f>P19*K19</f>
        <v>0.2</v>
      </c>
      <c r="U19" s="272">
        <f t="shared" si="0"/>
        <v>0.60000000000000009</v>
      </c>
      <c r="V19" s="273"/>
    </row>
    <row r="20" spans="1:23">
      <c r="A20" s="48"/>
      <c r="B20" s="608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09"/>
      <c r="N20" s="110">
        <v>1</v>
      </c>
      <c r="O20" s="24">
        <v>1</v>
      </c>
      <c r="P20" s="111">
        <v>1</v>
      </c>
      <c r="Q20" s="291"/>
      <c r="R20" s="194">
        <f t="shared" si="1"/>
        <v>0</v>
      </c>
      <c r="S20" s="23">
        <f t="shared" si="2"/>
        <v>0</v>
      </c>
      <c r="T20" s="81">
        <f>P20*K20</f>
        <v>0</v>
      </c>
      <c r="U20" s="272">
        <f t="shared" si="0"/>
        <v>0</v>
      </c>
      <c r="V20" s="274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97"/>
      <c r="N21" s="98">
        <v>1</v>
      </c>
      <c r="O21" s="17">
        <v>1</v>
      </c>
      <c r="P21" s="99">
        <v>1</v>
      </c>
      <c r="Q21" s="286"/>
      <c r="R21" s="190">
        <f t="shared" si="1"/>
        <v>0.42899999999999999</v>
      </c>
      <c r="S21" s="16">
        <f t="shared" si="2"/>
        <v>0.42899999999999999</v>
      </c>
      <c r="T21" s="73">
        <f>P21*L21</f>
        <v>0</v>
      </c>
      <c r="U21" s="264">
        <f t="shared" si="0"/>
        <v>0.85799999999999998</v>
      </c>
      <c r="V21" s="265"/>
    </row>
    <row r="22" spans="1:23" ht="15">
      <c r="A22" s="602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7"/>
      <c r="N22" s="98">
        <v>0</v>
      </c>
      <c r="O22" s="17">
        <v>0</v>
      </c>
      <c r="P22" s="99">
        <v>0</v>
      </c>
      <c r="Q22" s="286"/>
      <c r="R22" s="190">
        <f t="shared" si="1"/>
        <v>0</v>
      </c>
      <c r="S22" s="16">
        <f t="shared" si="2"/>
        <v>0</v>
      </c>
      <c r="T22" s="73">
        <f>P22*K22</f>
        <v>0</v>
      </c>
      <c r="U22" s="264">
        <f t="shared" si="0"/>
        <v>0</v>
      </c>
      <c r="V22" s="265"/>
    </row>
    <row r="23" spans="1:23" ht="15">
      <c r="A23" s="604"/>
      <c r="B23" s="53"/>
      <c r="C23" s="602" t="s">
        <v>66</v>
      </c>
      <c r="D23" s="602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7"/>
      <c r="N23" s="98">
        <v>1</v>
      </c>
      <c r="O23" s="17">
        <v>1</v>
      </c>
      <c r="P23" s="99">
        <v>1</v>
      </c>
      <c r="Q23" s="286"/>
      <c r="R23" s="190">
        <f t="shared" si="1"/>
        <v>0.18150000000000002</v>
      </c>
      <c r="S23" s="16">
        <f>O23*L23</f>
        <v>0.39599999999999996</v>
      </c>
      <c r="T23" s="73">
        <f>P23*K23</f>
        <v>0.18150000000000002</v>
      </c>
      <c r="U23" s="264">
        <f t="shared" si="0"/>
        <v>0.75900000000000001</v>
      </c>
      <c r="V23" s="265"/>
    </row>
    <row r="24" spans="1:23" ht="15" customHeight="1">
      <c r="A24" s="604"/>
      <c r="B24" s="53"/>
      <c r="C24" s="603"/>
      <c r="D24" s="603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7"/>
      <c r="N24" s="98">
        <f>1-N23</f>
        <v>0</v>
      </c>
      <c r="O24" s="17">
        <f>1-O23</f>
        <v>0</v>
      </c>
      <c r="P24" s="99">
        <f>1-P23</f>
        <v>0</v>
      </c>
      <c r="Q24" s="286"/>
      <c r="R24" s="190">
        <f t="shared" si="1"/>
        <v>0</v>
      </c>
      <c r="S24" s="16">
        <f>O24*K24</f>
        <v>0</v>
      </c>
      <c r="T24" s="73">
        <f>P24*K24</f>
        <v>0</v>
      </c>
      <c r="U24" s="264">
        <f t="shared" si="0"/>
        <v>0</v>
      </c>
      <c r="V24" s="265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204">
        <f>J25/5</f>
        <v>0.122</v>
      </c>
      <c r="H25" s="84">
        <f>K25/5</f>
        <v>0.54</v>
      </c>
      <c r="I25" s="85">
        <f>L25/5</f>
        <v>1</v>
      </c>
      <c r="J25" s="87">
        <v>0.61</v>
      </c>
      <c r="K25" s="88">
        <v>2.7</v>
      </c>
      <c r="L25" s="89">
        <v>5</v>
      </c>
      <c r="M25" s="100"/>
      <c r="N25" s="112">
        <v>0</v>
      </c>
      <c r="O25" s="113">
        <v>0</v>
      </c>
      <c r="P25" s="114">
        <v>1</v>
      </c>
      <c r="Q25" s="287"/>
      <c r="R25" s="191">
        <f t="shared" si="1"/>
        <v>0</v>
      </c>
      <c r="S25" s="18">
        <f>O25*K25</f>
        <v>0</v>
      </c>
      <c r="T25" s="75">
        <f>P25*L25</f>
        <v>5</v>
      </c>
      <c r="U25" s="266">
        <f t="shared" si="0"/>
        <v>5</v>
      </c>
      <c r="V25" s="267"/>
    </row>
    <row r="26" spans="1:23">
      <c r="G26" s="86"/>
      <c r="H26" s="86"/>
      <c r="I26" s="86"/>
      <c r="J26" s="86"/>
      <c r="K26" s="86"/>
      <c r="M26" s="7"/>
      <c r="Q26" s="146" t="s">
        <v>163</v>
      </c>
      <c r="R26" s="192">
        <f>SUM(R5:R25)/Y15</f>
        <v>4.4505555555555549</v>
      </c>
      <c r="S26" s="4">
        <f>SUM(S5:S25)/Y15</f>
        <v>4.5777777777777775</v>
      </c>
      <c r="T26" s="77">
        <f>SUM(T5:T25)/Y15</f>
        <v>17.412777777777777</v>
      </c>
      <c r="U26" s="275">
        <f>SUM(R26+S26+T26)</f>
        <v>26.441111111111109</v>
      </c>
      <c r="V26" s="276" t="s">
        <v>119</v>
      </c>
      <c r="W26" s="1" t="s">
        <v>4</v>
      </c>
    </row>
    <row r="27" spans="1:23">
      <c r="M27"/>
      <c r="Q27" s="117" t="s">
        <v>10</v>
      </c>
      <c r="R27" s="117">
        <f>1.135*20*N4/3600</f>
        <v>23.041232566635454</v>
      </c>
      <c r="S27" s="6">
        <v>0</v>
      </c>
      <c r="T27" s="293">
        <v>0</v>
      </c>
      <c r="U27" s="275">
        <f t="shared" ref="U27:U32" si="4">SUM(R27+S27+T27)</f>
        <v>23.041232566635454</v>
      </c>
      <c r="V27" s="276" t="s">
        <v>129</v>
      </c>
      <c r="W27" s="3"/>
    </row>
    <row r="28" spans="1:23">
      <c r="M28"/>
      <c r="Q28" s="117" t="s">
        <v>9</v>
      </c>
      <c r="R28" s="294">
        <f>R26*N4/3600</f>
        <v>4.5174575156954626</v>
      </c>
      <c r="S28" s="6">
        <f>S26*O4/3600</f>
        <v>1.7317589779649574</v>
      </c>
      <c r="T28" s="293">
        <f>T26*P4/3600</f>
        <v>3.1971794753086415</v>
      </c>
      <c r="U28" s="275">
        <f t="shared" si="4"/>
        <v>9.4463959689690604</v>
      </c>
      <c r="V28" s="276" t="s">
        <v>129</v>
      </c>
      <c r="W28" s="3"/>
    </row>
    <row r="29" spans="1:23">
      <c r="M29"/>
      <c r="Q29" s="292" t="s">
        <v>98</v>
      </c>
      <c r="R29" s="295">
        <f>U27-U28</f>
        <v>13.594836597666394</v>
      </c>
      <c r="S29" s="6"/>
      <c r="T29" s="293"/>
      <c r="U29" s="275">
        <f t="shared" si="4"/>
        <v>13.594836597666394</v>
      </c>
      <c r="V29" s="276" t="s">
        <v>129</v>
      </c>
    </row>
    <row r="30" spans="1:23">
      <c r="M30"/>
      <c r="Q30" s="292" t="s">
        <v>11</v>
      </c>
      <c r="R30" s="296">
        <f>100*($U$27/U28-1)</f>
        <v>143.91559111352893</v>
      </c>
      <c r="S30" s="6"/>
      <c r="T30" s="293"/>
      <c r="U30" s="275">
        <f t="shared" si="4"/>
        <v>143.91559111352893</v>
      </c>
      <c r="V30" s="276" t="s">
        <v>110</v>
      </c>
    </row>
    <row r="31" spans="1:23">
      <c r="M31"/>
      <c r="Q31" s="292" t="s">
        <v>107</v>
      </c>
      <c r="R31" s="296">
        <f>U29/$U$27*100</f>
        <v>59.002210746972864</v>
      </c>
      <c r="S31" s="6"/>
      <c r="T31" s="293"/>
      <c r="U31" s="275">
        <f t="shared" si="4"/>
        <v>59.002210746972864</v>
      </c>
      <c r="V31" s="276" t="s">
        <v>110</v>
      </c>
      <c r="W31" s="21" t="s">
        <v>77</v>
      </c>
    </row>
    <row r="32" spans="1:23">
      <c r="M32"/>
      <c r="Q32" s="297" t="s">
        <v>167</v>
      </c>
      <c r="R32" s="298">
        <f>(R27-R28)/40*100</f>
        <v>46.309437627349979</v>
      </c>
      <c r="S32" s="120">
        <f>(S27-S28)/40*100</f>
        <v>-4.3293974449123933</v>
      </c>
      <c r="T32" s="299">
        <f>(T27-T28)/40*100</f>
        <v>-7.9929486882716034</v>
      </c>
      <c r="U32" s="277">
        <f t="shared" si="4"/>
        <v>33.987091494165981</v>
      </c>
      <c r="V32" s="278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09">
        <v>1</v>
      </c>
      <c r="Y34" s="309">
        <v>0</v>
      </c>
    </row>
    <row r="35" spans="13:26">
      <c r="W35" s="1" t="s">
        <v>124</v>
      </c>
      <c r="X35" s="1">
        <f>1.135*(6*3+6*3+4*3+4*3)/(3+3+3+3+1+1)*N4/3600*X34</f>
        <v>4.9374069785647396</v>
      </c>
      <c r="Y35" s="1">
        <f>R27*Y34</f>
        <v>0</v>
      </c>
      <c r="Z35" s="1">
        <f>X35+Y35</f>
        <v>4.9374069785647396</v>
      </c>
    </row>
    <row r="36" spans="13:26">
      <c r="W36" s="1" t="s">
        <v>128</v>
      </c>
      <c r="X36" s="1">
        <f>1.498*X34</f>
        <v>1.498</v>
      </c>
      <c r="Y36" s="1">
        <f>U28*Y34</f>
        <v>0</v>
      </c>
      <c r="Z36" s="1">
        <f>X36+Y36</f>
        <v>1.498</v>
      </c>
    </row>
    <row r="37" spans="13:26">
      <c r="W37" s="1" t="s">
        <v>123</v>
      </c>
      <c r="Z37" s="1">
        <f>Z35-Z36</f>
        <v>3.4394069785647394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2:Z52"/>
  <sheetViews>
    <sheetView zoomScaleNormal="100" zoomScaleSheetLayoutView="75" workbookViewId="0">
      <pane xSplit="4" ySplit="3" topLeftCell="E4" activePane="bottomRight" state="frozen"/>
      <selection pane="topRight"/>
      <selection pane="bottomLeft"/>
      <selection pane="bottomRight" activeCell="T31" sqref="T31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bestFit="1" customWidth="1"/>
    <col min="20" max="20" width="19.25" style="1" customWidth="1"/>
    <col min="21" max="21" width="11.75" style="1" bestFit="1" customWidth="1"/>
    <col min="22" max="22" width="8" style="1" customWidth="1"/>
    <col min="23" max="23" width="11.7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7" t="s">
        <v>84</v>
      </c>
      <c r="B2" s="127" t="s">
        <v>154</v>
      </c>
      <c r="C2" s="127" t="s">
        <v>151</v>
      </c>
      <c r="D2" s="127" t="s">
        <v>71</v>
      </c>
      <c r="E2" s="127" t="s">
        <v>53</v>
      </c>
      <c r="F2" s="127" t="s">
        <v>174</v>
      </c>
      <c r="G2" s="596" t="s">
        <v>6</v>
      </c>
      <c r="H2" s="597"/>
      <c r="I2" s="598"/>
      <c r="J2" s="596" t="s">
        <v>76</v>
      </c>
      <c r="K2" s="597"/>
      <c r="L2" s="598"/>
      <c r="N2" s="599" t="s">
        <v>93</v>
      </c>
      <c r="O2" s="600"/>
      <c r="P2" s="601"/>
      <c r="Q2" s="599" t="s">
        <v>158</v>
      </c>
      <c r="R2" s="600"/>
      <c r="S2" s="600"/>
      <c r="T2" s="600"/>
      <c r="U2" s="600"/>
      <c r="V2" s="601"/>
      <c r="W2" s="115"/>
      <c r="X2" s="244" t="s">
        <v>91</v>
      </c>
      <c r="Y2" s="168"/>
    </row>
    <row r="3" spans="1:25">
      <c r="A3" s="48"/>
      <c r="B3" s="128"/>
      <c r="C3" s="128"/>
      <c r="D3" s="128"/>
      <c r="E3" s="128"/>
      <c r="F3" s="128"/>
      <c r="G3" s="149" t="s">
        <v>56</v>
      </c>
      <c r="H3" s="150" t="s">
        <v>73</v>
      </c>
      <c r="I3" s="151" t="s">
        <v>90</v>
      </c>
      <c r="J3" s="149" t="s">
        <v>52</v>
      </c>
      <c r="K3" s="150" t="s">
        <v>73</v>
      </c>
      <c r="L3" s="151" t="s">
        <v>90</v>
      </c>
      <c r="M3" s="1" t="s">
        <v>53</v>
      </c>
      <c r="N3" s="149" t="s">
        <v>142</v>
      </c>
      <c r="O3" s="242" t="s">
        <v>145</v>
      </c>
      <c r="P3" s="151" t="s">
        <v>150</v>
      </c>
      <c r="Q3" s="229"/>
      <c r="R3" s="149" t="s">
        <v>142</v>
      </c>
      <c r="S3" s="242" t="s">
        <v>145</v>
      </c>
      <c r="T3" s="151" t="s">
        <v>150</v>
      </c>
      <c r="U3" s="127" t="s">
        <v>40</v>
      </c>
      <c r="V3" s="152"/>
      <c r="X3" s="122" t="s">
        <v>181</v>
      </c>
      <c r="Y3" s="123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3"/>
      <c r="H4" s="230"/>
      <c r="I4" s="235"/>
      <c r="J4" s="233"/>
      <c r="K4" s="230"/>
      <c r="L4" s="235"/>
      <c r="M4" s="90" t="s">
        <v>64</v>
      </c>
      <c r="N4" s="245">
        <f>Y6-Y4</f>
        <v>2973.1161779686181</v>
      </c>
      <c r="O4" s="243">
        <f>Y7</f>
        <v>2022.8687108268114</v>
      </c>
      <c r="P4" s="238">
        <f>Y4</f>
        <v>681</v>
      </c>
      <c r="Q4" s="279"/>
      <c r="R4" s="233"/>
      <c r="S4" s="230"/>
      <c r="T4" s="235"/>
      <c r="U4" s="255"/>
      <c r="V4" s="129"/>
      <c r="X4" s="122" t="s">
        <v>176</v>
      </c>
      <c r="Y4" s="123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1"/>
      <c r="N5" s="239">
        <v>0</v>
      </c>
      <c r="O5" s="240">
        <v>0</v>
      </c>
      <c r="P5" s="241">
        <v>0</v>
      </c>
      <c r="Q5" s="280"/>
      <c r="R5" s="281">
        <f>N5*K5</f>
        <v>0</v>
      </c>
      <c r="S5" s="47">
        <f>O5*K5</f>
        <v>0</v>
      </c>
      <c r="T5" s="69">
        <f>P5*K5</f>
        <v>0</v>
      </c>
      <c r="U5" s="256">
        <f>SUM(R5+S5+T5)</f>
        <v>0</v>
      </c>
      <c r="V5" s="257"/>
      <c r="X5" s="122" t="s">
        <v>165</v>
      </c>
      <c r="Y5" s="123">
        <v>661</v>
      </c>
    </row>
    <row r="6" spans="1:25">
      <c r="A6" s="175" t="s">
        <v>27</v>
      </c>
      <c r="B6" s="175" t="s">
        <v>24</v>
      </c>
      <c r="C6" s="175"/>
      <c r="D6" s="158"/>
      <c r="E6" s="158"/>
      <c r="F6" s="158">
        <v>5</v>
      </c>
      <c r="G6" s="159"/>
      <c r="H6" s="160">
        <f>K6/F6</f>
        <v>0.04</v>
      </c>
      <c r="I6" s="161">
        <f>L6/F6</f>
        <v>0.4</v>
      </c>
      <c r="J6" s="159"/>
      <c r="K6" s="160">
        <v>0.2</v>
      </c>
      <c r="L6" s="161">
        <v>2</v>
      </c>
      <c r="M6" s="177"/>
      <c r="N6" s="182">
        <v>0</v>
      </c>
      <c r="O6" s="184">
        <v>0</v>
      </c>
      <c r="P6" s="185">
        <f>N6*K6</f>
        <v>0</v>
      </c>
      <c r="Q6" s="282"/>
      <c r="R6" s="206">
        <f>N6*K6</f>
        <v>0</v>
      </c>
      <c r="S6" s="196">
        <f>O6*K6</f>
        <v>0</v>
      </c>
      <c r="T6" s="228">
        <f>P6*K6</f>
        <v>0</v>
      </c>
      <c r="U6" s="258">
        <f t="shared" ref="U6:U25" si="0">SUM(R6+S6+T6)</f>
        <v>0</v>
      </c>
      <c r="V6" s="259"/>
      <c r="X6" s="122" t="s">
        <v>0</v>
      </c>
      <c r="Y6" s="123">
        <f>parameter!C10</f>
        <v>3654.1161779686181</v>
      </c>
    </row>
    <row r="7" spans="1:25">
      <c r="A7" s="173" t="s">
        <v>65</v>
      </c>
      <c r="B7" s="173"/>
      <c r="C7" s="173"/>
      <c r="D7" s="156"/>
      <c r="E7" s="155"/>
      <c r="F7" s="155">
        <v>3.3</v>
      </c>
      <c r="G7" s="203"/>
      <c r="H7" s="197">
        <f>K7/F7</f>
        <v>6.0606060606060615E-2</v>
      </c>
      <c r="I7" s="198">
        <f>L7/F7</f>
        <v>0.60606060606060608</v>
      </c>
      <c r="J7" s="203"/>
      <c r="K7" s="157">
        <v>0.2</v>
      </c>
      <c r="L7" s="176">
        <v>2</v>
      </c>
      <c r="M7" s="156"/>
      <c r="N7" s="183">
        <v>0</v>
      </c>
      <c r="O7" s="186">
        <v>0</v>
      </c>
      <c r="P7" s="187">
        <f>N7*K7</f>
        <v>0</v>
      </c>
      <c r="Q7" s="283"/>
      <c r="R7" s="284">
        <f>N7*K7</f>
        <v>0</v>
      </c>
      <c r="S7" s="157">
        <f>O7*K7</f>
        <v>0</v>
      </c>
      <c r="T7" s="176">
        <f>P7*K7</f>
        <v>0</v>
      </c>
      <c r="U7" s="260">
        <f t="shared" si="0"/>
        <v>0</v>
      </c>
      <c r="V7" s="261"/>
      <c r="X7" s="122" t="s">
        <v>36</v>
      </c>
      <c r="Y7" s="123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4"/>
      <c r="N8" s="95">
        <v>0</v>
      </c>
      <c r="O8" s="45">
        <v>0</v>
      </c>
      <c r="P8" s="96">
        <v>0</v>
      </c>
      <c r="Q8" s="285"/>
      <c r="R8" s="189">
        <f t="shared" ref="R8:R25" si="1">N8*K8</f>
        <v>0</v>
      </c>
      <c r="S8" s="43">
        <f t="shared" ref="S8:S22" si="2">O8*K8</f>
        <v>0</v>
      </c>
      <c r="T8" s="71">
        <f>P8*L8</f>
        <v>0</v>
      </c>
      <c r="U8" s="262">
        <f t="shared" si="0"/>
        <v>0</v>
      </c>
      <c r="V8" s="263"/>
      <c r="X8" s="122" t="s">
        <v>164</v>
      </c>
      <c r="Y8" s="123">
        <v>0.3</v>
      </c>
    </row>
    <row r="9" spans="1:25" ht="15">
      <c r="A9" s="602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5" si="3">H9*F9</f>
        <v>0.11999999999999998</v>
      </c>
      <c r="L9" s="83">
        <f>I9*F9</f>
        <v>0.2</v>
      </c>
      <c r="M9" s="97"/>
      <c r="N9" s="98">
        <v>1</v>
      </c>
      <c r="O9" s="17">
        <v>1</v>
      </c>
      <c r="P9" s="99">
        <v>1</v>
      </c>
      <c r="Q9" s="286"/>
      <c r="R9" s="190">
        <f>N9*K9</f>
        <v>0.11999999999999998</v>
      </c>
      <c r="S9" s="16">
        <f t="shared" si="2"/>
        <v>0.11999999999999998</v>
      </c>
      <c r="T9" s="73">
        <f>P9*$L$9+(1-P9)*K9</f>
        <v>0.2</v>
      </c>
      <c r="U9" s="264">
        <f t="shared" si="0"/>
        <v>0.43999999999999995</v>
      </c>
      <c r="V9" s="265"/>
      <c r="X9" s="122" t="s">
        <v>68</v>
      </c>
      <c r="Y9" s="123">
        <v>0.6</v>
      </c>
    </row>
    <row r="10" spans="1:25" ht="15">
      <c r="A10" s="604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83">
        <f>I10*F10</f>
        <v>0.4</v>
      </c>
      <c r="M10" s="97"/>
      <c r="N10" s="98">
        <v>1</v>
      </c>
      <c r="O10" s="17">
        <v>0.5</v>
      </c>
      <c r="P10" s="99">
        <v>1</v>
      </c>
      <c r="Q10" s="286"/>
      <c r="R10" s="190">
        <f>N10*K10</f>
        <v>0.2</v>
      </c>
      <c r="S10" s="16">
        <f t="shared" si="2"/>
        <v>0.1</v>
      </c>
      <c r="T10" s="73">
        <f>P10*$L$10+(1-P10)*K10</f>
        <v>0.4</v>
      </c>
      <c r="U10" s="264">
        <f t="shared" si="0"/>
        <v>0.70000000000000007</v>
      </c>
      <c r="V10" s="265"/>
      <c r="X10" s="122" t="s">
        <v>41</v>
      </c>
      <c r="Y10" s="123">
        <v>0.8</v>
      </c>
    </row>
    <row r="11" spans="1:25" ht="15">
      <c r="A11" s="605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58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0"/>
      <c r="N11" s="101">
        <v>1</v>
      </c>
      <c r="O11" s="19">
        <v>1</v>
      </c>
      <c r="P11" s="102">
        <v>1</v>
      </c>
      <c r="Q11" s="287"/>
      <c r="R11" s="191">
        <f t="shared" si="1"/>
        <v>0.35000000000000003</v>
      </c>
      <c r="S11" s="18">
        <f t="shared" si="2"/>
        <v>0.35000000000000003</v>
      </c>
      <c r="T11" s="75">
        <f>P11*$L$11+(1-P11)*K11</f>
        <v>0.83500000000000008</v>
      </c>
      <c r="U11" s="266">
        <f t="shared" si="0"/>
        <v>1.5350000000000001</v>
      </c>
      <c r="V11" s="267"/>
      <c r="X11" s="122" t="s">
        <v>70</v>
      </c>
      <c r="Y11" s="123">
        <v>0.8</v>
      </c>
    </row>
    <row r="12" spans="1:25" ht="15">
      <c r="A12" s="605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18">
        <f t="shared" si="3"/>
        <v>0.32</v>
      </c>
      <c r="L12" s="75"/>
      <c r="M12" s="100"/>
      <c r="N12" s="101">
        <v>1</v>
      </c>
      <c r="O12" s="19">
        <v>1</v>
      </c>
      <c r="P12" s="102">
        <v>1</v>
      </c>
      <c r="Q12" s="287"/>
      <c r="R12" s="191">
        <f t="shared" si="1"/>
        <v>0.32</v>
      </c>
      <c r="S12" s="18">
        <f t="shared" si="2"/>
        <v>0.32</v>
      </c>
      <c r="T12" s="75">
        <f>P12*$K$12</f>
        <v>0.32</v>
      </c>
      <c r="U12" s="266">
        <f t="shared" si="0"/>
        <v>0.96</v>
      </c>
      <c r="V12" s="267"/>
      <c r="X12" s="124"/>
      <c r="Y12" s="123"/>
    </row>
    <row r="13" spans="1:25" ht="15">
      <c r="A13" s="604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7"/>
      <c r="N13" s="98">
        <v>1</v>
      </c>
      <c r="O13" s="17">
        <v>1</v>
      </c>
      <c r="P13" s="99">
        <v>1</v>
      </c>
      <c r="Q13" s="286"/>
      <c r="R13" s="190">
        <f t="shared" si="1"/>
        <v>0.2</v>
      </c>
      <c r="S13" s="16">
        <f t="shared" si="2"/>
        <v>0.2</v>
      </c>
      <c r="T13" s="73">
        <f>P13*$K$13</f>
        <v>0.2</v>
      </c>
      <c r="U13" s="264">
        <f t="shared" si="0"/>
        <v>0.60000000000000009</v>
      </c>
      <c r="V13" s="265"/>
      <c r="X13" s="124"/>
      <c r="Y13" s="123"/>
    </row>
    <row r="14" spans="1:25" ht="15">
      <c r="A14" s="604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7"/>
      <c r="N14" s="98">
        <v>1</v>
      </c>
      <c r="O14" s="17">
        <v>1</v>
      </c>
      <c r="P14" s="99">
        <v>1</v>
      </c>
      <c r="Q14" s="286"/>
      <c r="R14" s="190">
        <f t="shared" si="1"/>
        <v>3.5000000000000003E-2</v>
      </c>
      <c r="S14" s="16">
        <f t="shared" si="2"/>
        <v>3.5000000000000003E-2</v>
      </c>
      <c r="T14" s="73">
        <f>P14*$K$14</f>
        <v>3.5000000000000003E-2</v>
      </c>
      <c r="U14" s="264">
        <f t="shared" si="0"/>
        <v>0.10500000000000001</v>
      </c>
      <c r="V14" s="265"/>
      <c r="X14" s="122" t="s">
        <v>102</v>
      </c>
      <c r="Y14" s="123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3"/>
      <c r="N15" s="104">
        <v>1</v>
      </c>
      <c r="O15" s="22">
        <v>1</v>
      </c>
      <c r="P15" s="105">
        <v>1</v>
      </c>
      <c r="Q15" s="288"/>
      <c r="R15" s="192">
        <f t="shared" si="1"/>
        <v>0.57000000000000006</v>
      </c>
      <c r="S15" s="4">
        <f t="shared" si="2"/>
        <v>0.57000000000000006</v>
      </c>
      <c r="T15" s="77">
        <f>P15*$L$15+(1-P15)*K15</f>
        <v>6.8999999999999995</v>
      </c>
      <c r="U15" s="268">
        <f t="shared" si="0"/>
        <v>8.0399999999999991</v>
      </c>
      <c r="V15" s="269"/>
      <c r="X15" s="122" t="s">
        <v>157</v>
      </c>
      <c r="Y15" s="123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v>0</v>
      </c>
      <c r="L16" s="73"/>
      <c r="M16" s="97"/>
      <c r="N16" s="98">
        <v>1</v>
      </c>
      <c r="O16" s="17">
        <v>1</v>
      </c>
      <c r="P16" s="99">
        <v>1</v>
      </c>
      <c r="Q16" s="286"/>
      <c r="R16" s="190">
        <f t="shared" si="1"/>
        <v>0</v>
      </c>
      <c r="S16" s="16">
        <f t="shared" si="2"/>
        <v>0</v>
      </c>
      <c r="T16" s="73">
        <f>P16*K16</f>
        <v>0</v>
      </c>
      <c r="U16" s="264">
        <f t="shared" si="0"/>
        <v>0</v>
      </c>
      <c r="V16" s="265"/>
      <c r="X16" s="125" t="s">
        <v>182</v>
      </c>
      <c r="Y16" s="126">
        <v>0.4</v>
      </c>
    </row>
    <row r="17" spans="1:23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6"/>
      <c r="N17" s="107">
        <v>1</v>
      </c>
      <c r="O17" s="42">
        <v>1</v>
      </c>
      <c r="P17" s="108">
        <v>1</v>
      </c>
      <c r="Q17" s="289"/>
      <c r="R17" s="193">
        <f t="shared" si="1"/>
        <v>1.3</v>
      </c>
      <c r="S17" s="40">
        <f t="shared" si="2"/>
        <v>1.3</v>
      </c>
      <c r="T17" s="79">
        <f>P17*K17</f>
        <v>1.3</v>
      </c>
      <c r="U17" s="270">
        <f t="shared" si="0"/>
        <v>3.9000000000000004</v>
      </c>
      <c r="V17" s="271"/>
    </row>
    <row r="18" spans="1:23">
      <c r="A18" s="48"/>
      <c r="B18" s="606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6"/>
      <c r="N18" s="92">
        <v>1</v>
      </c>
      <c r="O18" s="46">
        <v>1</v>
      </c>
      <c r="P18" s="93">
        <v>1</v>
      </c>
      <c r="Q18" s="290"/>
      <c r="R18" s="188">
        <f t="shared" si="1"/>
        <v>0.1</v>
      </c>
      <c r="S18" s="2">
        <f t="shared" si="2"/>
        <v>0.1</v>
      </c>
      <c r="T18" s="67">
        <f>P18*K18</f>
        <v>0.1</v>
      </c>
      <c r="U18" s="272">
        <f t="shared" si="0"/>
        <v>0.30000000000000004</v>
      </c>
      <c r="V18" s="273"/>
    </row>
    <row r="19" spans="1:23">
      <c r="A19" s="48"/>
      <c r="B19" s="607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6"/>
      <c r="N19" s="92">
        <v>1</v>
      </c>
      <c r="O19" s="46">
        <v>1</v>
      </c>
      <c r="P19" s="93">
        <v>1</v>
      </c>
      <c r="Q19" s="290"/>
      <c r="R19" s="188">
        <f t="shared" si="1"/>
        <v>0.2</v>
      </c>
      <c r="S19" s="2">
        <f t="shared" si="2"/>
        <v>0.2</v>
      </c>
      <c r="T19" s="67">
        <f>P19*K19</f>
        <v>0.2</v>
      </c>
      <c r="U19" s="272">
        <f t="shared" si="0"/>
        <v>0.60000000000000009</v>
      </c>
      <c r="V19" s="273"/>
    </row>
    <row r="20" spans="1:23">
      <c r="A20" s="48"/>
      <c r="B20" s="608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09"/>
      <c r="N20" s="110">
        <v>1</v>
      </c>
      <c r="O20" s="24">
        <v>1</v>
      </c>
      <c r="P20" s="111">
        <v>1</v>
      </c>
      <c r="Q20" s="291"/>
      <c r="R20" s="194">
        <f t="shared" si="1"/>
        <v>0</v>
      </c>
      <c r="S20" s="23">
        <f t="shared" si="2"/>
        <v>0</v>
      </c>
      <c r="T20" s="81">
        <f>P20*K20</f>
        <v>0</v>
      </c>
      <c r="U20" s="272">
        <f t="shared" si="0"/>
        <v>0</v>
      </c>
      <c r="V20" s="274"/>
    </row>
    <row r="21" spans="1:23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97"/>
      <c r="N21" s="98">
        <v>1</v>
      </c>
      <c r="O21" s="17">
        <v>1</v>
      </c>
      <c r="P21" s="99">
        <v>1</v>
      </c>
      <c r="Q21" s="286"/>
      <c r="R21" s="190">
        <f t="shared" si="1"/>
        <v>0.42899999999999999</v>
      </c>
      <c r="S21" s="16">
        <f t="shared" si="2"/>
        <v>0.42899999999999999</v>
      </c>
      <c r="T21" s="73">
        <f>P21*L21</f>
        <v>0</v>
      </c>
      <c r="U21" s="264">
        <f t="shared" si="0"/>
        <v>0.85799999999999998</v>
      </c>
      <c r="V21" s="265"/>
    </row>
    <row r="22" spans="1:23" ht="15">
      <c r="A22" s="602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7"/>
      <c r="N22" s="98">
        <v>0</v>
      </c>
      <c r="O22" s="17">
        <v>0</v>
      </c>
      <c r="P22" s="99">
        <v>0</v>
      </c>
      <c r="Q22" s="286"/>
      <c r="R22" s="190">
        <f t="shared" si="1"/>
        <v>0</v>
      </c>
      <c r="S22" s="16">
        <f t="shared" si="2"/>
        <v>0</v>
      </c>
      <c r="T22" s="73">
        <f>P22*K22</f>
        <v>0</v>
      </c>
      <c r="U22" s="264">
        <f t="shared" si="0"/>
        <v>0</v>
      </c>
      <c r="V22" s="265"/>
    </row>
    <row r="23" spans="1:23" ht="15">
      <c r="A23" s="604"/>
      <c r="B23" s="53"/>
      <c r="C23" s="602" t="s">
        <v>66</v>
      </c>
      <c r="D23" s="602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7"/>
      <c r="N23" s="98">
        <v>1</v>
      </c>
      <c r="O23" s="17">
        <v>1</v>
      </c>
      <c r="P23" s="99">
        <v>1</v>
      </c>
      <c r="Q23" s="286"/>
      <c r="R23" s="190">
        <f t="shared" si="1"/>
        <v>0.18150000000000002</v>
      </c>
      <c r="S23" s="16">
        <f>O23*L23</f>
        <v>0.39599999999999996</v>
      </c>
      <c r="T23" s="73">
        <f>P23*K23</f>
        <v>0.18150000000000002</v>
      </c>
      <c r="U23" s="264">
        <f t="shared" si="0"/>
        <v>0.75900000000000001</v>
      </c>
      <c r="V23" s="265"/>
    </row>
    <row r="24" spans="1:23" ht="15" customHeight="1">
      <c r="A24" s="604"/>
      <c r="B24" s="53"/>
      <c r="C24" s="603"/>
      <c r="D24" s="603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7"/>
      <c r="N24" s="98">
        <f>1-N23</f>
        <v>0</v>
      </c>
      <c r="O24" s="17">
        <f>1-O23</f>
        <v>0</v>
      </c>
      <c r="P24" s="99">
        <f>1-P23</f>
        <v>0</v>
      </c>
      <c r="Q24" s="286"/>
      <c r="R24" s="190">
        <f t="shared" si="1"/>
        <v>0</v>
      </c>
      <c r="S24" s="16">
        <f>O24*K24</f>
        <v>0</v>
      </c>
      <c r="T24" s="73">
        <f>P24*K24</f>
        <v>0</v>
      </c>
      <c r="U24" s="264">
        <f t="shared" si="0"/>
        <v>0</v>
      </c>
      <c r="V24" s="265"/>
    </row>
    <row r="25" spans="1:23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360">
        <f>J25/5</f>
        <v>0.122</v>
      </c>
      <c r="H25" s="84">
        <f>K25/5</f>
        <v>0.54</v>
      </c>
      <c r="I25" s="85">
        <f>L25/5</f>
        <v>1</v>
      </c>
      <c r="J25" s="87">
        <v>0.61</v>
      </c>
      <c r="K25" s="88">
        <v>2.7</v>
      </c>
      <c r="L25" s="89">
        <v>5</v>
      </c>
      <c r="M25" s="100"/>
      <c r="N25" s="112">
        <v>0</v>
      </c>
      <c r="O25" s="113">
        <v>0</v>
      </c>
      <c r="P25" s="114">
        <v>1</v>
      </c>
      <c r="Q25" s="287"/>
      <c r="R25" s="191">
        <f t="shared" si="1"/>
        <v>0</v>
      </c>
      <c r="S25" s="18">
        <f>O25*K25</f>
        <v>0</v>
      </c>
      <c r="T25" s="75">
        <f>P25*L25</f>
        <v>5</v>
      </c>
      <c r="U25" s="266">
        <f t="shared" si="0"/>
        <v>5</v>
      </c>
      <c r="V25" s="267"/>
    </row>
    <row r="26" spans="1:23">
      <c r="G26" s="86"/>
      <c r="H26" s="86"/>
      <c r="I26" s="86"/>
      <c r="J26" s="86"/>
      <c r="K26" s="86"/>
      <c r="M26" s="7"/>
      <c r="Q26" s="146" t="s">
        <v>163</v>
      </c>
      <c r="R26" s="192">
        <f>SUM(R5:R25)/Y15</f>
        <v>4.4505555555555549</v>
      </c>
      <c r="S26" s="4">
        <f>SUM(S5:S25)/Y15</f>
        <v>4.5777777777777775</v>
      </c>
      <c r="T26" s="77">
        <f>SUM(T5:T25)/Y15</f>
        <v>17.412777777777777</v>
      </c>
      <c r="U26" s="275">
        <f>SUM(R26+S26+T26)</f>
        <v>26.441111111111109</v>
      </c>
      <c r="V26" s="276" t="s">
        <v>119</v>
      </c>
      <c r="W26" s="1" t="s">
        <v>4</v>
      </c>
    </row>
    <row r="27" spans="1:23">
      <c r="M27"/>
      <c r="Q27" s="117" t="s">
        <v>10</v>
      </c>
      <c r="R27" s="117">
        <f>1.135*20*N4/3600</f>
        <v>18.747149233302121</v>
      </c>
      <c r="S27" s="6">
        <v>0</v>
      </c>
      <c r="T27" s="293">
        <v>0</v>
      </c>
      <c r="U27" s="275">
        <f t="shared" ref="U27:U32" si="4">SUM(R27+S27+T27)</f>
        <v>18.747149233302121</v>
      </c>
      <c r="V27" s="276" t="s">
        <v>129</v>
      </c>
      <c r="W27" s="3"/>
    </row>
    <row r="28" spans="1:23">
      <c r="M28"/>
      <c r="Q28" s="117" t="s">
        <v>9</v>
      </c>
      <c r="R28" s="294">
        <f>R26*N4/3600</f>
        <v>3.6755607564362029</v>
      </c>
      <c r="S28" s="6">
        <f>S26*O4/3600</f>
        <v>2.5722898421624882</v>
      </c>
      <c r="T28" s="293">
        <f>T26*P4/3600</f>
        <v>3.2939171296296292</v>
      </c>
      <c r="U28" s="275">
        <f t="shared" si="4"/>
        <v>9.5417677282283204</v>
      </c>
      <c r="V28" s="276" t="s">
        <v>129</v>
      </c>
      <c r="W28" s="3"/>
    </row>
    <row r="29" spans="1:23">
      <c r="M29"/>
      <c r="Q29" s="292" t="s">
        <v>98</v>
      </c>
      <c r="R29" s="295">
        <f>U27-U28</f>
        <v>9.2053815050738006</v>
      </c>
      <c r="S29" s="6"/>
      <c r="T29" s="293"/>
      <c r="U29" s="275">
        <f t="shared" si="4"/>
        <v>9.2053815050738006</v>
      </c>
      <c r="V29" s="276" t="s">
        <v>129</v>
      </c>
    </row>
    <row r="30" spans="1:23">
      <c r="M30"/>
      <c r="Q30" s="292" t="s">
        <v>11</v>
      </c>
      <c r="R30" s="296">
        <f>100*($U$27/U28-1)</f>
        <v>96.47459220622865</v>
      </c>
      <c r="S30" s="6"/>
      <c r="T30" s="293"/>
      <c r="U30" s="275">
        <f t="shared" si="4"/>
        <v>96.47459220622865</v>
      </c>
      <c r="V30" s="276" t="s">
        <v>110</v>
      </c>
    </row>
    <row r="31" spans="1:23">
      <c r="M31"/>
      <c r="Q31" s="292" t="s">
        <v>107</v>
      </c>
      <c r="R31" s="296">
        <f>U29/$U$27*100</f>
        <v>49.102833665619492</v>
      </c>
      <c r="S31" s="6"/>
      <c r="T31" s="293"/>
      <c r="U31" s="275">
        <f t="shared" si="4"/>
        <v>49.102833665619492</v>
      </c>
      <c r="V31" s="276" t="s">
        <v>110</v>
      </c>
      <c r="W31" s="21" t="s">
        <v>77</v>
      </c>
    </row>
    <row r="32" spans="1:23">
      <c r="M32"/>
      <c r="Q32" s="297" t="s">
        <v>167</v>
      </c>
      <c r="R32" s="298">
        <f>(R27-R28)/40*100</f>
        <v>37.678971192164795</v>
      </c>
      <c r="S32" s="120">
        <f>(S27-S28)/40*100</f>
        <v>-6.4307246054062208</v>
      </c>
      <c r="T32" s="299">
        <f>(T27-T28)/40*100</f>
        <v>-8.2347928240740735</v>
      </c>
      <c r="U32" s="277">
        <f t="shared" si="4"/>
        <v>23.013453762684502</v>
      </c>
      <c r="V32" s="278" t="s">
        <v>110</v>
      </c>
    </row>
    <row r="33" spans="13:26">
      <c r="M33"/>
      <c r="X33" s="1" t="s">
        <v>114</v>
      </c>
      <c r="Y33" s="1" t="s">
        <v>147</v>
      </c>
      <c r="Z33" s="1" t="s">
        <v>117</v>
      </c>
    </row>
    <row r="34" spans="13:26">
      <c r="M34"/>
      <c r="X34" s="309">
        <v>0.1</v>
      </c>
      <c r="Y34" s="309">
        <v>0.9</v>
      </c>
    </row>
    <row r="35" spans="13:26">
      <c r="W35" s="1" t="s">
        <v>124</v>
      </c>
      <c r="X35" s="1">
        <f>1.135*(6*3+6*3+4*3+4*3)/(3+3+3+3+1+1)*N4/3600*X34</f>
        <v>0.40172462642790258</v>
      </c>
      <c r="Y35" s="1">
        <f>R27*Y34</f>
        <v>16.872434309971908</v>
      </c>
      <c r="Z35" s="1">
        <f>X35+Y35</f>
        <v>17.274158936399811</v>
      </c>
    </row>
    <row r="36" spans="13:26">
      <c r="W36" s="1" t="s">
        <v>128</v>
      </c>
      <c r="X36" s="1">
        <f>1.498*X34</f>
        <v>0.14980000000000002</v>
      </c>
      <c r="Y36" s="1">
        <f>U28*Y34</f>
        <v>8.5875909554054886</v>
      </c>
      <c r="Z36" s="1">
        <f>X36+Y36</f>
        <v>8.7373909554054894</v>
      </c>
    </row>
    <row r="37" spans="13:26">
      <c r="W37" s="1" t="s">
        <v>123</v>
      </c>
      <c r="Z37" s="1">
        <f>Z35-Z36</f>
        <v>8.5367679809943215</v>
      </c>
    </row>
    <row r="41" spans="13:26">
      <c r="Q41" s="7"/>
      <c r="R41" s="7"/>
      <c r="S41" s="7"/>
    </row>
    <row r="42" spans="13:26">
      <c r="Q42" s="7"/>
      <c r="R42" s="7"/>
      <c r="S42" s="7"/>
    </row>
    <row r="43" spans="13:26">
      <c r="O43" s="7"/>
      <c r="P43" s="7"/>
      <c r="Q43" s="7"/>
      <c r="R43" s="7"/>
      <c r="S43" s="7"/>
    </row>
    <row r="44" spans="13:26">
      <c r="O44" s="7"/>
      <c r="P44" s="7"/>
      <c r="Q44" s="7"/>
      <c r="R44" s="7"/>
      <c r="S44" s="7"/>
    </row>
    <row r="45" spans="13:26">
      <c r="O45" s="7"/>
      <c r="P45" s="7"/>
      <c r="Q45" s="7"/>
      <c r="R45" s="7"/>
      <c r="S45" s="7"/>
    </row>
    <row r="46" spans="13:26">
      <c r="O46" s="7"/>
      <c r="P46" s="7"/>
      <c r="Q46" s="7"/>
      <c r="R46" s="7"/>
      <c r="S46" s="7"/>
    </row>
    <row r="47" spans="13:26">
      <c r="O47" s="7"/>
      <c r="P47" s="7"/>
      <c r="Q47" s="7"/>
      <c r="R47" s="7"/>
      <c r="S47" s="7"/>
    </row>
    <row r="48" spans="13:26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V2"/>
    <mergeCell ref="A9:A10"/>
    <mergeCell ref="A11:A12"/>
    <mergeCell ref="A13:A14"/>
    <mergeCell ref="A22:A24"/>
    <mergeCell ref="B18:B20"/>
    <mergeCell ref="G2:I2"/>
    <mergeCell ref="J2:L2"/>
    <mergeCell ref="N2:P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2:Y52"/>
  <sheetViews>
    <sheetView zoomScaleNormal="100" zoomScaleSheetLayoutView="75" workbookViewId="0">
      <pane xSplit="4" ySplit="3" topLeftCell="F4" activePane="bottomRight" state="frozen"/>
      <selection pane="topRight"/>
      <selection pane="bottomLeft"/>
      <selection pane="bottomRight" activeCell="R30" sqref="R30"/>
    </sheetView>
  </sheetViews>
  <sheetFormatPr defaultColWidth="9.125" defaultRowHeight="14.25"/>
  <cols>
    <col min="1" max="1" width="9.125" style="1"/>
    <col min="2" max="2" width="10.75" style="1" bestFit="1" customWidth="1"/>
    <col min="3" max="3" width="16.375" style="1" bestFit="1" customWidth="1"/>
    <col min="4" max="4" width="31" style="1" bestFit="1" customWidth="1"/>
    <col min="5" max="5" width="17" style="1" bestFit="1" customWidth="1"/>
    <col min="6" max="6" width="15.25" style="1" bestFit="1" customWidth="1"/>
    <col min="7" max="12" width="10.875" style="1" bestFit="1" customWidth="1"/>
    <col min="13" max="13" width="10.875" style="1" customWidth="1"/>
    <col min="14" max="15" width="15.75" style="1" customWidth="1"/>
    <col min="16" max="16" width="22" style="1" customWidth="1"/>
    <col min="17" max="17" width="35" style="1" customWidth="1"/>
    <col min="18" max="18" width="13.375" style="1" bestFit="1" customWidth="1"/>
    <col min="19" max="19" width="14.25" style="1" customWidth="1"/>
    <col min="20" max="20" width="11.75" style="1" customWidth="1"/>
    <col min="21" max="21" width="8" style="1" customWidth="1"/>
    <col min="22" max="22" width="11.75" style="1" customWidth="1"/>
    <col min="23" max="23" width="17.125" style="1" customWidth="1"/>
    <col min="24" max="24" width="20.875" style="1" customWidth="1"/>
    <col min="25" max="25" width="18.625" style="1" customWidth="1"/>
    <col min="26" max="26" width="24.625" style="1" bestFit="1" customWidth="1"/>
    <col min="27" max="27" width="13.125" style="1" bestFit="1" customWidth="1"/>
    <col min="28" max="16384" width="9.125" style="1"/>
  </cols>
  <sheetData>
    <row r="2" spans="1:25" ht="13.9" customHeight="1">
      <c r="A2" s="127" t="s">
        <v>84</v>
      </c>
      <c r="B2" s="127" t="s">
        <v>154</v>
      </c>
      <c r="C2" s="127" t="s">
        <v>151</v>
      </c>
      <c r="D2" s="127" t="s">
        <v>71</v>
      </c>
      <c r="E2" s="127" t="s">
        <v>53</v>
      </c>
      <c r="F2" s="127" t="s">
        <v>174</v>
      </c>
      <c r="G2" s="596" t="s">
        <v>6</v>
      </c>
      <c r="H2" s="597"/>
      <c r="I2" s="598"/>
      <c r="J2" s="596" t="s">
        <v>76</v>
      </c>
      <c r="K2" s="597"/>
      <c r="L2" s="598"/>
      <c r="N2" s="599" t="s">
        <v>93</v>
      </c>
      <c r="O2" s="601"/>
      <c r="Q2" s="599" t="s">
        <v>158</v>
      </c>
      <c r="R2" s="600"/>
      <c r="S2" s="600"/>
      <c r="T2" s="600"/>
      <c r="U2" s="601"/>
      <c r="X2" s="244" t="s">
        <v>91</v>
      </c>
      <c r="Y2" s="168"/>
    </row>
    <row r="3" spans="1:25">
      <c r="A3" s="48"/>
      <c r="B3" s="128"/>
      <c r="C3" s="128"/>
      <c r="D3" s="128"/>
      <c r="E3" s="128"/>
      <c r="F3" s="128"/>
      <c r="G3" s="149" t="s">
        <v>56</v>
      </c>
      <c r="H3" s="150" t="s">
        <v>73</v>
      </c>
      <c r="I3" s="151" t="s">
        <v>90</v>
      </c>
      <c r="J3" s="149" t="s">
        <v>52</v>
      </c>
      <c r="K3" s="150" t="s">
        <v>73</v>
      </c>
      <c r="L3" s="151" t="s">
        <v>90</v>
      </c>
      <c r="M3" s="1" t="s">
        <v>53</v>
      </c>
      <c r="N3" s="149" t="s">
        <v>142</v>
      </c>
      <c r="O3" s="151" t="s">
        <v>145</v>
      </c>
      <c r="Q3" s="244"/>
      <c r="R3" s="305" t="s">
        <v>142</v>
      </c>
      <c r="S3" s="306" t="s">
        <v>145</v>
      </c>
      <c r="T3" s="153" t="s">
        <v>40</v>
      </c>
      <c r="U3" s="168"/>
      <c r="X3" s="122" t="s">
        <v>181</v>
      </c>
      <c r="Y3" s="123">
        <f>parameter!C8</f>
        <v>5676.9848887954295</v>
      </c>
    </row>
    <row r="4" spans="1:25">
      <c r="A4" s="48"/>
      <c r="B4" s="50"/>
      <c r="C4" s="50"/>
      <c r="D4" s="50"/>
      <c r="E4" s="50"/>
      <c r="F4" s="50"/>
      <c r="G4" s="233"/>
      <c r="H4" s="230"/>
      <c r="I4" s="235"/>
      <c r="J4" s="233"/>
      <c r="K4" s="230"/>
      <c r="L4" s="235"/>
      <c r="M4" s="90" t="s">
        <v>64</v>
      </c>
      <c r="N4" s="236">
        <f>Y6</f>
        <v>3654.1161779686181</v>
      </c>
      <c r="O4" s="238">
        <f>Y7</f>
        <v>2022.8687108268114</v>
      </c>
      <c r="Q4" s="307"/>
      <c r="R4" s="66"/>
      <c r="S4" s="67"/>
      <c r="T4" s="255"/>
      <c r="U4" s="116"/>
      <c r="X4" s="122" t="s">
        <v>176</v>
      </c>
      <c r="Y4" s="123">
        <v>681</v>
      </c>
    </row>
    <row r="5" spans="1:25">
      <c r="A5" s="49" t="s">
        <v>47</v>
      </c>
      <c r="B5" s="49" t="s">
        <v>67</v>
      </c>
      <c r="C5" s="49"/>
      <c r="D5" s="49"/>
      <c r="E5" s="49"/>
      <c r="F5" s="49">
        <v>5</v>
      </c>
      <c r="G5" s="68"/>
      <c r="H5" s="47">
        <f>K5/F5</f>
        <v>0.04</v>
      </c>
      <c r="I5" s="69"/>
      <c r="J5" s="68"/>
      <c r="K5" s="47">
        <v>0.2</v>
      </c>
      <c r="L5" s="69"/>
      <c r="M5" s="91"/>
      <c r="N5" s="239">
        <v>0</v>
      </c>
      <c r="O5" s="241">
        <v>0</v>
      </c>
      <c r="Q5" s="280"/>
      <c r="R5" s="281">
        <f>N5*K5</f>
        <v>0</v>
      </c>
      <c r="S5" s="69">
        <f>O5*K5</f>
        <v>0</v>
      </c>
      <c r="T5" s="256">
        <f>SUM(Q5+R5+S5)</f>
        <v>0</v>
      </c>
      <c r="U5" s="257"/>
      <c r="X5" s="122" t="s">
        <v>165</v>
      </c>
      <c r="Y5" s="123">
        <v>661</v>
      </c>
    </row>
    <row r="6" spans="1:25">
      <c r="A6" s="175" t="s">
        <v>27</v>
      </c>
      <c r="B6" s="175" t="s">
        <v>24</v>
      </c>
      <c r="C6" s="175"/>
      <c r="D6" s="158"/>
      <c r="E6" s="158"/>
      <c r="F6" s="158">
        <v>5</v>
      </c>
      <c r="G6" s="159"/>
      <c r="H6" s="160">
        <f>K6/F6</f>
        <v>0.04</v>
      </c>
      <c r="I6" s="161">
        <f>L6/F6</f>
        <v>0.4</v>
      </c>
      <c r="J6" s="159"/>
      <c r="K6" s="160">
        <v>0.2</v>
      </c>
      <c r="L6" s="161">
        <v>2</v>
      </c>
      <c r="M6" s="177"/>
      <c r="N6" s="182">
        <v>0</v>
      </c>
      <c r="O6" s="185">
        <v>0</v>
      </c>
      <c r="Q6" s="282"/>
      <c r="R6" s="206">
        <f>N6*K6</f>
        <v>0</v>
      </c>
      <c r="S6" s="228">
        <f>O6*K6</f>
        <v>0</v>
      </c>
      <c r="T6" s="258">
        <f t="shared" ref="T6:T25" si="0">SUM(Q6+R6+S6)</f>
        <v>0</v>
      </c>
      <c r="U6" s="304"/>
      <c r="X6" s="122" t="s">
        <v>0</v>
      </c>
      <c r="Y6" s="123">
        <f>parameter!C10</f>
        <v>3654.1161779686181</v>
      </c>
    </row>
    <row r="7" spans="1:25">
      <c r="A7" s="173" t="s">
        <v>65</v>
      </c>
      <c r="B7" s="173"/>
      <c r="C7" s="173"/>
      <c r="D7" s="156"/>
      <c r="E7" s="155"/>
      <c r="F7" s="155">
        <v>3.3</v>
      </c>
      <c r="G7" s="203"/>
      <c r="H7" s="197">
        <f>K7/F7</f>
        <v>6.0606060606060615E-2</v>
      </c>
      <c r="I7" s="198">
        <f>L7/F7</f>
        <v>0.60606060606060608</v>
      </c>
      <c r="J7" s="203"/>
      <c r="K7" s="157">
        <v>0.2</v>
      </c>
      <c r="L7" s="176">
        <v>2</v>
      </c>
      <c r="M7" s="156"/>
      <c r="N7" s="183">
        <v>0</v>
      </c>
      <c r="O7" s="227">
        <v>0</v>
      </c>
      <c r="Q7" s="283"/>
      <c r="R7" s="284">
        <f>N7*K7</f>
        <v>0</v>
      </c>
      <c r="S7" s="176">
        <f>O7*K7</f>
        <v>0</v>
      </c>
      <c r="T7" s="260">
        <f t="shared" si="0"/>
        <v>0</v>
      </c>
      <c r="U7" s="261"/>
      <c r="X7" s="122" t="s">
        <v>36</v>
      </c>
      <c r="Y7" s="123">
        <f>parameter!C11</f>
        <v>2022.8687108268114</v>
      </c>
    </row>
    <row r="8" spans="1:25" ht="15">
      <c r="A8" s="51" t="s">
        <v>75</v>
      </c>
      <c r="B8" s="51" t="s">
        <v>22</v>
      </c>
      <c r="C8" s="51" t="s">
        <v>126</v>
      </c>
      <c r="D8" s="51" t="s">
        <v>171</v>
      </c>
      <c r="E8" s="51"/>
      <c r="F8" s="51">
        <v>3.3</v>
      </c>
      <c r="G8" s="70">
        <v>0.115</v>
      </c>
      <c r="H8" s="43">
        <v>0.24199999999999999</v>
      </c>
      <c r="I8" s="71">
        <v>0.39400000000000002</v>
      </c>
      <c r="J8" s="70">
        <f>F8*G8</f>
        <v>0.3795</v>
      </c>
      <c r="K8" s="44">
        <v>0.8</v>
      </c>
      <c r="L8" s="71">
        <f>I8*F8</f>
        <v>1.3002</v>
      </c>
      <c r="M8" s="94"/>
      <c r="N8" s="95">
        <v>0</v>
      </c>
      <c r="O8" s="96">
        <v>0</v>
      </c>
      <c r="Q8" s="285"/>
      <c r="R8" s="189">
        <f t="shared" ref="R8:R25" si="1">N8*K8</f>
        <v>0</v>
      </c>
      <c r="S8" s="71">
        <f t="shared" ref="S8:S22" si="2">O8*K8</f>
        <v>0</v>
      </c>
      <c r="T8" s="262">
        <f t="shared" si="0"/>
        <v>0</v>
      </c>
      <c r="U8" s="263"/>
      <c r="X8" s="122" t="s">
        <v>164</v>
      </c>
      <c r="Y8" s="123">
        <v>0.3</v>
      </c>
    </row>
    <row r="9" spans="1:25" ht="15">
      <c r="A9" s="602" t="s">
        <v>39</v>
      </c>
      <c r="B9" s="57" t="s">
        <v>42</v>
      </c>
      <c r="C9" s="59" t="s">
        <v>140</v>
      </c>
      <c r="D9" s="55" t="s">
        <v>26</v>
      </c>
      <c r="E9" s="55"/>
      <c r="F9" s="55">
        <v>3.3</v>
      </c>
      <c r="G9" s="72"/>
      <c r="H9" s="16">
        <f>0.12/F9</f>
        <v>3.6363636363636362E-2</v>
      </c>
      <c r="I9" s="73">
        <f>0.2/F9</f>
        <v>6.0606060606060615E-2</v>
      </c>
      <c r="J9" s="72"/>
      <c r="K9" s="37">
        <f t="shared" ref="K9:K16" si="3">H9*F9</f>
        <v>0.11999999999999998</v>
      </c>
      <c r="L9" s="83">
        <f>I9*F9</f>
        <v>0.2</v>
      </c>
      <c r="M9" s="97"/>
      <c r="N9" s="98">
        <v>1</v>
      </c>
      <c r="O9" s="99">
        <v>1</v>
      </c>
      <c r="Q9" s="286"/>
      <c r="R9" s="190">
        <f>N9*K9</f>
        <v>0.11999999999999998</v>
      </c>
      <c r="S9" s="73">
        <f t="shared" si="2"/>
        <v>0.11999999999999998</v>
      </c>
      <c r="T9" s="264">
        <f t="shared" si="0"/>
        <v>0.23999999999999996</v>
      </c>
      <c r="U9" s="265"/>
      <c r="X9" s="122" t="s">
        <v>68</v>
      </c>
      <c r="Y9" s="123">
        <v>0.6</v>
      </c>
    </row>
    <row r="10" spans="1:25" ht="15">
      <c r="A10" s="604"/>
      <c r="B10" s="53"/>
      <c r="C10" s="53"/>
      <c r="D10" s="55" t="s">
        <v>106</v>
      </c>
      <c r="E10" s="55"/>
      <c r="F10" s="55">
        <v>3.3</v>
      </c>
      <c r="G10" s="72"/>
      <c r="H10" s="16">
        <f>0.2/F10</f>
        <v>6.0606060606060615E-2</v>
      </c>
      <c r="I10" s="73">
        <f>0.4/F10</f>
        <v>0.12121212121212123</v>
      </c>
      <c r="J10" s="72"/>
      <c r="K10" s="37">
        <f t="shared" si="3"/>
        <v>0.2</v>
      </c>
      <c r="L10" s="83">
        <f>I10*F10</f>
        <v>0.4</v>
      </c>
      <c r="M10" s="97"/>
      <c r="N10" s="98">
        <v>1</v>
      </c>
      <c r="O10" s="99">
        <v>0.5</v>
      </c>
      <c r="Q10" s="286"/>
      <c r="R10" s="190">
        <f>N10*K10</f>
        <v>0.2</v>
      </c>
      <c r="S10" s="73">
        <f t="shared" si="2"/>
        <v>0.1</v>
      </c>
      <c r="T10" s="264">
        <f t="shared" si="0"/>
        <v>0.30000000000000004</v>
      </c>
      <c r="U10" s="265"/>
      <c r="X10" s="122" t="s">
        <v>41</v>
      </c>
      <c r="Y10" s="123">
        <v>0.8</v>
      </c>
    </row>
    <row r="11" spans="1:25" ht="15">
      <c r="A11" s="605" t="s">
        <v>130</v>
      </c>
      <c r="B11" s="58"/>
      <c r="C11" s="58"/>
      <c r="D11" s="64" t="s">
        <v>99</v>
      </c>
      <c r="E11" s="64"/>
      <c r="F11" s="64">
        <v>5</v>
      </c>
      <c r="G11" s="74"/>
      <c r="H11" s="38">
        <f>0.07*5/5</f>
        <v>7.0000000000000007E-2</v>
      </c>
      <c r="I11" s="358">
        <f>0.167*5/5</f>
        <v>0.16700000000000001</v>
      </c>
      <c r="J11" s="74"/>
      <c r="K11" s="18">
        <f>H11*F11</f>
        <v>0.35000000000000003</v>
      </c>
      <c r="L11" s="75">
        <f>I11*F11</f>
        <v>0.83500000000000008</v>
      </c>
      <c r="M11" s="100"/>
      <c r="N11" s="101">
        <v>1</v>
      </c>
      <c r="O11" s="102">
        <v>1</v>
      </c>
      <c r="Q11" s="287"/>
      <c r="R11" s="191">
        <f t="shared" si="1"/>
        <v>0.35000000000000003</v>
      </c>
      <c r="S11" s="75">
        <f t="shared" si="2"/>
        <v>0.35000000000000003</v>
      </c>
      <c r="T11" s="266">
        <f t="shared" si="0"/>
        <v>0.70000000000000007</v>
      </c>
      <c r="U11" s="267"/>
      <c r="X11" s="122" t="s">
        <v>70</v>
      </c>
      <c r="Y11" s="123">
        <v>0.8</v>
      </c>
    </row>
    <row r="12" spans="1:25" ht="15">
      <c r="A12" s="605"/>
      <c r="B12" s="58"/>
      <c r="C12" s="58"/>
      <c r="D12" s="64" t="s">
        <v>101</v>
      </c>
      <c r="E12" s="64"/>
      <c r="F12" s="64">
        <v>5</v>
      </c>
      <c r="G12" s="74"/>
      <c r="H12" s="38">
        <v>6.4000000000000001E-2</v>
      </c>
      <c r="I12" s="75"/>
      <c r="J12" s="74"/>
      <c r="K12" s="18">
        <f t="shared" si="3"/>
        <v>0.32</v>
      </c>
      <c r="L12" s="75"/>
      <c r="M12" s="100"/>
      <c r="N12" s="101">
        <v>1</v>
      </c>
      <c r="O12" s="102">
        <v>1</v>
      </c>
      <c r="Q12" s="287"/>
      <c r="R12" s="191">
        <f t="shared" si="1"/>
        <v>0.32</v>
      </c>
      <c r="S12" s="75">
        <f t="shared" si="2"/>
        <v>0.32</v>
      </c>
      <c r="T12" s="266">
        <f t="shared" si="0"/>
        <v>0.64</v>
      </c>
      <c r="U12" s="267"/>
      <c r="X12" s="124"/>
      <c r="Y12" s="123"/>
    </row>
    <row r="13" spans="1:25" ht="15">
      <c r="A13" s="604" t="s">
        <v>39</v>
      </c>
      <c r="B13" s="53"/>
      <c r="C13" s="53"/>
      <c r="D13" s="55" t="s">
        <v>16</v>
      </c>
      <c r="E13" s="55"/>
      <c r="F13" s="55">
        <v>3.3</v>
      </c>
      <c r="G13" s="72"/>
      <c r="H13" s="16">
        <f>0.2/F13</f>
        <v>6.0606060606060615E-2</v>
      </c>
      <c r="I13" s="73"/>
      <c r="J13" s="72"/>
      <c r="K13" s="37">
        <f t="shared" si="3"/>
        <v>0.2</v>
      </c>
      <c r="L13" s="73"/>
      <c r="M13" s="97"/>
      <c r="N13" s="98">
        <v>1</v>
      </c>
      <c r="O13" s="99">
        <v>1</v>
      </c>
      <c r="Q13" s="286"/>
      <c r="R13" s="190">
        <f t="shared" si="1"/>
        <v>0.2</v>
      </c>
      <c r="S13" s="73">
        <f t="shared" si="2"/>
        <v>0.2</v>
      </c>
      <c r="T13" s="264">
        <f t="shared" si="0"/>
        <v>0.4</v>
      </c>
      <c r="U13" s="265"/>
      <c r="X13" s="124"/>
      <c r="Y13" s="123"/>
    </row>
    <row r="14" spans="1:25" ht="15">
      <c r="A14" s="604"/>
      <c r="B14" s="53"/>
      <c r="C14" s="53"/>
      <c r="D14" s="55" t="s">
        <v>44</v>
      </c>
      <c r="E14" s="55"/>
      <c r="F14" s="55">
        <v>3.3</v>
      </c>
      <c r="G14" s="72"/>
      <c r="H14" s="16">
        <f>0.035/F14</f>
        <v>1.0606060606060608E-2</v>
      </c>
      <c r="I14" s="73"/>
      <c r="J14" s="72"/>
      <c r="K14" s="37">
        <f t="shared" si="3"/>
        <v>3.5000000000000003E-2</v>
      </c>
      <c r="L14" s="73"/>
      <c r="M14" s="97"/>
      <c r="N14" s="98">
        <v>1</v>
      </c>
      <c r="O14" s="99">
        <v>1</v>
      </c>
      <c r="Q14" s="286"/>
      <c r="R14" s="190">
        <f t="shared" si="1"/>
        <v>3.5000000000000003E-2</v>
      </c>
      <c r="S14" s="73">
        <f t="shared" si="2"/>
        <v>3.5000000000000003E-2</v>
      </c>
      <c r="T14" s="264">
        <f t="shared" si="0"/>
        <v>7.0000000000000007E-2</v>
      </c>
      <c r="U14" s="265"/>
      <c r="X14" s="122" t="s">
        <v>102</v>
      </c>
      <c r="Y14" s="123">
        <v>0.2</v>
      </c>
    </row>
    <row r="15" spans="1:25" ht="15">
      <c r="A15" s="52" t="s">
        <v>74</v>
      </c>
      <c r="B15" s="52"/>
      <c r="C15" s="60"/>
      <c r="D15" s="65" t="s">
        <v>1</v>
      </c>
      <c r="E15" s="65"/>
      <c r="F15" s="65">
        <v>8.26</v>
      </c>
      <c r="G15" s="76">
        <f>0.065*3/F15</f>
        <v>2.3607748184019371E-2</v>
      </c>
      <c r="H15" s="4">
        <f>0.19*3/F15</f>
        <v>6.9007263922518172E-2</v>
      </c>
      <c r="I15" s="77">
        <f>2.3*3/F15</f>
        <v>0.83535108958837767</v>
      </c>
      <c r="J15" s="76">
        <f>F15*G15</f>
        <v>0.19500000000000001</v>
      </c>
      <c r="K15" s="39">
        <f t="shared" si="3"/>
        <v>0.57000000000000006</v>
      </c>
      <c r="L15" s="77">
        <f>I15*F15</f>
        <v>6.8999999999999995</v>
      </c>
      <c r="M15" s="103"/>
      <c r="N15" s="104">
        <v>1</v>
      </c>
      <c r="O15" s="105">
        <v>1</v>
      </c>
      <c r="Q15" s="288"/>
      <c r="R15" s="192">
        <f t="shared" si="1"/>
        <v>0.57000000000000006</v>
      </c>
      <c r="S15" s="77">
        <f t="shared" si="2"/>
        <v>0.57000000000000006</v>
      </c>
      <c r="T15" s="268">
        <f t="shared" si="0"/>
        <v>1.1400000000000001</v>
      </c>
      <c r="U15" s="269"/>
      <c r="X15" s="122" t="s">
        <v>157</v>
      </c>
      <c r="Y15" s="123">
        <v>0.9</v>
      </c>
    </row>
    <row r="16" spans="1:25" ht="15">
      <c r="A16" s="53" t="s">
        <v>39</v>
      </c>
      <c r="B16" s="53"/>
      <c r="C16" s="55" t="s">
        <v>17</v>
      </c>
      <c r="D16" s="55" t="s">
        <v>62</v>
      </c>
      <c r="E16" s="55"/>
      <c r="F16" s="55">
        <v>3.3</v>
      </c>
      <c r="G16" s="72"/>
      <c r="H16" s="37">
        <v>0</v>
      </c>
      <c r="I16" s="73"/>
      <c r="J16" s="72"/>
      <c r="K16" s="16">
        <f t="shared" si="3"/>
        <v>0</v>
      </c>
      <c r="L16" s="73"/>
      <c r="M16" s="97"/>
      <c r="N16" s="98">
        <v>1</v>
      </c>
      <c r="O16" s="99">
        <v>1</v>
      </c>
      <c r="Q16" s="286"/>
      <c r="R16" s="190">
        <f t="shared" si="1"/>
        <v>0</v>
      </c>
      <c r="S16" s="73">
        <f t="shared" si="2"/>
        <v>0</v>
      </c>
      <c r="T16" s="264">
        <f t="shared" si="0"/>
        <v>0</v>
      </c>
      <c r="U16" s="265"/>
      <c r="X16" s="125" t="s">
        <v>182</v>
      </c>
      <c r="Y16" s="126">
        <v>0.4</v>
      </c>
    </row>
    <row r="17" spans="1:22" ht="15">
      <c r="A17" s="54" t="s">
        <v>82</v>
      </c>
      <c r="B17" s="54"/>
      <c r="C17" s="61" t="s">
        <v>25</v>
      </c>
      <c r="D17" s="61" t="s">
        <v>61</v>
      </c>
      <c r="E17" s="61"/>
      <c r="F17" s="61">
        <v>3.3</v>
      </c>
      <c r="G17" s="78"/>
      <c r="H17" s="40">
        <v>0.39400000000000002</v>
      </c>
      <c r="I17" s="79"/>
      <c r="J17" s="78"/>
      <c r="K17" s="41">
        <v>1.3</v>
      </c>
      <c r="L17" s="79"/>
      <c r="M17" s="106"/>
      <c r="N17" s="107">
        <v>1</v>
      </c>
      <c r="O17" s="108">
        <v>1</v>
      </c>
      <c r="Q17" s="289"/>
      <c r="R17" s="193">
        <f t="shared" si="1"/>
        <v>1.3</v>
      </c>
      <c r="S17" s="79">
        <f t="shared" si="2"/>
        <v>1.3</v>
      </c>
      <c r="T17" s="270">
        <f t="shared" si="0"/>
        <v>2.6</v>
      </c>
      <c r="U17" s="271"/>
    </row>
    <row r="18" spans="1:22">
      <c r="A18" s="48"/>
      <c r="B18" s="606" t="s">
        <v>19</v>
      </c>
      <c r="C18" s="50" t="s">
        <v>94</v>
      </c>
      <c r="D18" s="50" t="s">
        <v>148</v>
      </c>
      <c r="E18" s="50"/>
      <c r="F18" s="62"/>
      <c r="G18" s="80"/>
      <c r="H18" s="23"/>
      <c r="I18" s="81"/>
      <c r="J18" s="80"/>
      <c r="K18" s="23">
        <v>0.1</v>
      </c>
      <c r="L18" s="81"/>
      <c r="M18" s="86"/>
      <c r="N18" s="92">
        <v>1</v>
      </c>
      <c r="O18" s="93">
        <v>1</v>
      </c>
      <c r="Q18" s="290"/>
      <c r="R18" s="188">
        <f t="shared" si="1"/>
        <v>0.1</v>
      </c>
      <c r="S18" s="67">
        <f t="shared" si="2"/>
        <v>0.1</v>
      </c>
      <c r="T18" s="272">
        <f t="shared" si="0"/>
        <v>0.2</v>
      </c>
      <c r="U18" s="273"/>
    </row>
    <row r="19" spans="1:22">
      <c r="A19" s="48"/>
      <c r="B19" s="607"/>
      <c r="C19" s="50" t="s">
        <v>21</v>
      </c>
      <c r="D19" s="50" t="s">
        <v>104</v>
      </c>
      <c r="E19" s="50"/>
      <c r="F19" s="62"/>
      <c r="G19" s="80"/>
      <c r="H19" s="23"/>
      <c r="I19" s="81"/>
      <c r="J19" s="80"/>
      <c r="K19" s="23">
        <v>0.2</v>
      </c>
      <c r="L19" s="81"/>
      <c r="M19" s="86"/>
      <c r="N19" s="92">
        <v>1</v>
      </c>
      <c r="O19" s="93">
        <v>1</v>
      </c>
      <c r="Q19" s="290"/>
      <c r="R19" s="188">
        <f t="shared" si="1"/>
        <v>0.2</v>
      </c>
      <c r="S19" s="67">
        <f t="shared" si="2"/>
        <v>0.2</v>
      </c>
      <c r="T19" s="272">
        <f t="shared" si="0"/>
        <v>0.4</v>
      </c>
      <c r="U19" s="273"/>
    </row>
    <row r="20" spans="1:22">
      <c r="A20" s="48"/>
      <c r="B20" s="608"/>
      <c r="C20" s="62" t="s">
        <v>138</v>
      </c>
      <c r="D20" s="62" t="s">
        <v>149</v>
      </c>
      <c r="E20" s="62"/>
      <c r="F20" s="62"/>
      <c r="G20" s="80"/>
      <c r="H20" s="23"/>
      <c r="I20" s="81"/>
      <c r="J20" s="80"/>
      <c r="K20" s="23">
        <f>H20*F20</f>
        <v>0</v>
      </c>
      <c r="L20" s="81"/>
      <c r="M20" s="109"/>
      <c r="N20" s="110">
        <v>1</v>
      </c>
      <c r="O20" s="111">
        <v>1</v>
      </c>
      <c r="Q20" s="291"/>
      <c r="R20" s="194">
        <f t="shared" si="1"/>
        <v>0</v>
      </c>
      <c r="S20" s="81">
        <f t="shared" si="2"/>
        <v>0</v>
      </c>
      <c r="T20" s="272">
        <f t="shared" si="0"/>
        <v>0</v>
      </c>
      <c r="U20" s="274"/>
    </row>
    <row r="21" spans="1:22" ht="15">
      <c r="A21" s="55" t="s">
        <v>39</v>
      </c>
      <c r="B21" s="55" t="s">
        <v>23</v>
      </c>
      <c r="C21" s="55" t="s">
        <v>20</v>
      </c>
      <c r="D21" s="55" t="s">
        <v>131</v>
      </c>
      <c r="E21" s="55"/>
      <c r="F21" s="55">
        <v>3.3</v>
      </c>
      <c r="G21" s="72"/>
      <c r="H21" s="37">
        <f>0.13</f>
        <v>0.13</v>
      </c>
      <c r="I21" s="73"/>
      <c r="J21" s="72"/>
      <c r="K21" s="16">
        <f>H21*F21</f>
        <v>0.42899999999999999</v>
      </c>
      <c r="L21" s="73"/>
      <c r="M21" s="97"/>
      <c r="N21" s="98">
        <v>1</v>
      </c>
      <c r="O21" s="99">
        <v>1</v>
      </c>
      <c r="Q21" s="286"/>
      <c r="R21" s="190">
        <f t="shared" si="1"/>
        <v>0.42899999999999999</v>
      </c>
      <c r="S21" s="73">
        <f t="shared" si="2"/>
        <v>0.42899999999999999</v>
      </c>
      <c r="T21" s="264">
        <f t="shared" si="0"/>
        <v>0.85799999999999998</v>
      </c>
      <c r="U21" s="265"/>
    </row>
    <row r="22" spans="1:22" ht="15">
      <c r="A22" s="602" t="s">
        <v>39</v>
      </c>
      <c r="B22" s="57" t="s">
        <v>48</v>
      </c>
      <c r="C22" s="55" t="s">
        <v>15</v>
      </c>
      <c r="D22" s="55" t="s">
        <v>88</v>
      </c>
      <c r="E22" s="55"/>
      <c r="F22" s="55">
        <v>3.3</v>
      </c>
      <c r="G22" s="72"/>
      <c r="H22" s="16">
        <f>0.04/F22</f>
        <v>1.2121212121212123E-2</v>
      </c>
      <c r="I22" s="73">
        <f>2/F22</f>
        <v>0.60606060606060608</v>
      </c>
      <c r="J22" s="72"/>
      <c r="K22" s="37">
        <f>H22*F22</f>
        <v>0.04</v>
      </c>
      <c r="L22" s="73">
        <f>I22*F22</f>
        <v>2</v>
      </c>
      <c r="M22" s="97"/>
      <c r="N22" s="98">
        <v>0</v>
      </c>
      <c r="O22" s="99">
        <v>0</v>
      </c>
      <c r="Q22" s="286"/>
      <c r="R22" s="190">
        <f t="shared" si="1"/>
        <v>0</v>
      </c>
      <c r="S22" s="73">
        <f t="shared" si="2"/>
        <v>0</v>
      </c>
      <c r="T22" s="264">
        <f t="shared" si="0"/>
        <v>0</v>
      </c>
      <c r="U22" s="265"/>
    </row>
    <row r="23" spans="1:22" ht="15">
      <c r="A23" s="604"/>
      <c r="B23" s="53"/>
      <c r="C23" s="602" t="s">
        <v>66</v>
      </c>
      <c r="D23" s="602" t="s">
        <v>177</v>
      </c>
      <c r="E23" s="55" t="s">
        <v>115</v>
      </c>
      <c r="F23" s="55">
        <v>3.3</v>
      </c>
      <c r="G23" s="82">
        <v>4.4999999999999998E-2</v>
      </c>
      <c r="H23" s="37">
        <v>5.5000000000000007E-2</v>
      </c>
      <c r="I23" s="83">
        <v>0.12</v>
      </c>
      <c r="J23" s="72">
        <f>F23*G23</f>
        <v>0.14849999999999999</v>
      </c>
      <c r="K23" s="16">
        <f>H23*F23</f>
        <v>0.18150000000000002</v>
      </c>
      <c r="L23" s="73">
        <f>I23*F23</f>
        <v>0.39599999999999996</v>
      </c>
      <c r="M23" s="97"/>
      <c r="N23" s="98">
        <v>0.9</v>
      </c>
      <c r="O23" s="99">
        <v>0.9</v>
      </c>
      <c r="Q23" s="286"/>
      <c r="R23" s="190">
        <f t="shared" si="1"/>
        <v>0.16335000000000002</v>
      </c>
      <c r="S23" s="73">
        <f>O23*L23</f>
        <v>0.35639999999999999</v>
      </c>
      <c r="T23" s="264">
        <f t="shared" si="0"/>
        <v>0.51975000000000005</v>
      </c>
      <c r="U23" s="265"/>
    </row>
    <row r="24" spans="1:22" ht="15" customHeight="1">
      <c r="A24" s="604"/>
      <c r="B24" s="53"/>
      <c r="C24" s="603"/>
      <c r="D24" s="603"/>
      <c r="E24" s="55" t="s">
        <v>111</v>
      </c>
      <c r="F24" s="55">
        <v>3.3</v>
      </c>
      <c r="G24" s="82">
        <v>0.6</v>
      </c>
      <c r="H24" s="16"/>
      <c r="I24" s="73">
        <v>1</v>
      </c>
      <c r="J24" s="72">
        <f>F24*G24</f>
        <v>1.9799999999999998</v>
      </c>
      <c r="K24" s="16"/>
      <c r="L24" s="73">
        <f>I24*F24</f>
        <v>3.3</v>
      </c>
      <c r="M24" s="97"/>
      <c r="N24" s="98">
        <f>1-N23</f>
        <v>9.9999999999999978E-2</v>
      </c>
      <c r="O24" s="99">
        <f>1-O23</f>
        <v>9.9999999999999978E-2</v>
      </c>
      <c r="Q24" s="286"/>
      <c r="R24" s="190">
        <f t="shared" si="1"/>
        <v>0</v>
      </c>
      <c r="S24" s="73">
        <f>O24*K24</f>
        <v>0</v>
      </c>
      <c r="T24" s="264">
        <f t="shared" si="0"/>
        <v>0</v>
      </c>
      <c r="U24" s="265"/>
    </row>
    <row r="25" spans="1:22" ht="15">
      <c r="A25" s="56" t="s">
        <v>130</v>
      </c>
      <c r="B25" s="56"/>
      <c r="C25" s="63" t="s">
        <v>18</v>
      </c>
      <c r="D25" s="63" t="s">
        <v>2</v>
      </c>
      <c r="E25" s="63" t="s">
        <v>111</v>
      </c>
      <c r="F25" s="63">
        <v>5</v>
      </c>
      <c r="G25" s="360">
        <f>J25/5</f>
        <v>0.122</v>
      </c>
      <c r="H25" s="84">
        <f>K25/5</f>
        <v>0.54</v>
      </c>
      <c r="I25" s="85">
        <f>L25/5</f>
        <v>1</v>
      </c>
      <c r="J25" s="87">
        <v>0.61</v>
      </c>
      <c r="K25" s="88">
        <v>2.7</v>
      </c>
      <c r="L25" s="89">
        <v>5</v>
      </c>
      <c r="M25" s="100"/>
      <c r="N25" s="112">
        <v>0</v>
      </c>
      <c r="O25" s="114">
        <v>0</v>
      </c>
      <c r="Q25" s="287"/>
      <c r="R25" s="191">
        <f t="shared" si="1"/>
        <v>0</v>
      </c>
      <c r="S25" s="75">
        <f>O25*K25</f>
        <v>0</v>
      </c>
      <c r="T25" s="266">
        <f t="shared" si="0"/>
        <v>0</v>
      </c>
      <c r="U25" s="267"/>
    </row>
    <row r="26" spans="1:22">
      <c r="G26" s="86"/>
      <c r="H26" s="86"/>
      <c r="I26" s="86"/>
      <c r="J26" s="86"/>
      <c r="K26" s="86"/>
      <c r="M26" s="7"/>
      <c r="Q26" s="146" t="s">
        <v>163</v>
      </c>
      <c r="R26" s="192">
        <f>SUM(R5:R24)/Y15</f>
        <v>4.4303888888888885</v>
      </c>
      <c r="S26" s="77">
        <f>SUM(S5:S24)/Y15</f>
        <v>4.5337777777777779</v>
      </c>
      <c r="T26" s="275">
        <f>SUM(R26+S26)</f>
        <v>8.9641666666666673</v>
      </c>
      <c r="U26" s="276" t="s">
        <v>119</v>
      </c>
      <c r="V26" s="1" t="s">
        <v>4</v>
      </c>
    </row>
    <row r="27" spans="1:22">
      <c r="M27"/>
      <c r="Q27" s="117" t="s">
        <v>10</v>
      </c>
      <c r="R27" s="117">
        <f>1.135*20*N4/3600</f>
        <v>23.041232566635454</v>
      </c>
      <c r="S27" s="293">
        <v>0</v>
      </c>
      <c r="T27" s="275">
        <f t="shared" ref="T27:T32" si="4">SUM(R27+S27)</f>
        <v>23.041232566635454</v>
      </c>
      <c r="U27" s="276" t="s">
        <v>129</v>
      </c>
      <c r="V27" s="3"/>
    </row>
    <row r="28" spans="1:22">
      <c r="M28"/>
      <c r="Q28" s="117" t="s">
        <v>9</v>
      </c>
      <c r="R28" s="294">
        <f>R26*N4/3600</f>
        <v>4.4969876982170272</v>
      </c>
      <c r="S28" s="293">
        <f>S26*O4/3600</f>
        <v>2.5475658912523831</v>
      </c>
      <c r="T28" s="275">
        <f t="shared" si="4"/>
        <v>7.0445535894694107</v>
      </c>
      <c r="U28" s="276" t="s">
        <v>129</v>
      </c>
      <c r="V28" s="3"/>
    </row>
    <row r="29" spans="1:22">
      <c r="M29"/>
      <c r="Q29" s="292" t="s">
        <v>98</v>
      </c>
      <c r="R29" s="295">
        <f>T27-T28</f>
        <v>15.996678977166043</v>
      </c>
      <c r="S29" s="293"/>
      <c r="T29" s="275">
        <f t="shared" si="4"/>
        <v>15.996678977166043</v>
      </c>
      <c r="U29" s="276" t="s">
        <v>129</v>
      </c>
    </row>
    <row r="30" spans="1:22">
      <c r="M30"/>
      <c r="Q30" s="292" t="s">
        <v>11</v>
      </c>
      <c r="R30" s="296">
        <f>100*($T$27/T28-1)</f>
        <v>227.07867537665928</v>
      </c>
      <c r="S30" s="293"/>
      <c r="T30" s="275">
        <f t="shared" si="4"/>
        <v>227.07867537665928</v>
      </c>
      <c r="U30" s="276" t="s">
        <v>110</v>
      </c>
    </row>
    <row r="31" spans="1:22">
      <c r="M31"/>
      <c r="Q31" s="292" t="s">
        <v>107</v>
      </c>
      <c r="R31" s="296">
        <f>T29/$T$27*100</f>
        <v>69.426316195991262</v>
      </c>
      <c r="S31" s="293"/>
      <c r="T31" s="275">
        <f t="shared" si="4"/>
        <v>69.426316195991262</v>
      </c>
      <c r="U31" s="276" t="s">
        <v>110</v>
      </c>
      <c r="V31" s="21" t="s">
        <v>77</v>
      </c>
    </row>
    <row r="32" spans="1:22">
      <c r="M32"/>
      <c r="Q32" s="297" t="s">
        <v>167</v>
      </c>
      <c r="R32" s="298">
        <f>(R27-R28)/40*100</f>
        <v>46.360612171046064</v>
      </c>
      <c r="S32" s="121">
        <f>(S27-S28)/40*100</f>
        <v>-6.3689147281309575</v>
      </c>
      <c r="T32" s="277">
        <f t="shared" si="4"/>
        <v>39.991697442915104</v>
      </c>
      <c r="U32" s="278" t="s">
        <v>110</v>
      </c>
    </row>
    <row r="33" spans="13:25">
      <c r="M33"/>
      <c r="W33" s="1" t="s">
        <v>114</v>
      </c>
      <c r="X33" s="1" t="s">
        <v>147</v>
      </c>
      <c r="Y33" s="1" t="s">
        <v>117</v>
      </c>
    </row>
    <row r="34" spans="13:25">
      <c r="M34"/>
      <c r="W34" s="309">
        <v>1</v>
      </c>
      <c r="X34" s="309">
        <v>0</v>
      </c>
    </row>
    <row r="35" spans="13:25">
      <c r="V35" s="1" t="s">
        <v>124</v>
      </c>
      <c r="W35" s="1">
        <f>1.135*(6*3+6*3+4*3+4*3)/(3+3+3+3+1+1)*N4/3600*W34</f>
        <v>4.9374069785647396</v>
      </c>
      <c r="X35" s="1">
        <f>R27*X34</f>
        <v>0</v>
      </c>
      <c r="Y35" s="1">
        <f>W35+X35</f>
        <v>4.9374069785647396</v>
      </c>
    </row>
    <row r="36" spans="13:25">
      <c r="V36" s="1" t="s">
        <v>128</v>
      </c>
      <c r="W36" s="1">
        <f>1.498*W34</f>
        <v>1.498</v>
      </c>
      <c r="X36" s="1">
        <f>T28*X34</f>
        <v>0</v>
      </c>
      <c r="Y36" s="1">
        <f>W36+X36</f>
        <v>1.498</v>
      </c>
    </row>
    <row r="37" spans="13:25">
      <c r="V37" s="1" t="s">
        <v>123</v>
      </c>
      <c r="Y37" s="1">
        <f>Y35-Y36</f>
        <v>3.4394069785647394</v>
      </c>
    </row>
    <row r="41" spans="13:25">
      <c r="Q41" s="7"/>
      <c r="R41" s="7"/>
      <c r="S41" s="7"/>
    </row>
    <row r="42" spans="13:25">
      <c r="Q42" s="7"/>
      <c r="R42" s="7"/>
      <c r="S42" s="7"/>
    </row>
    <row r="43" spans="13:25">
      <c r="O43" s="7"/>
      <c r="P43" s="7"/>
      <c r="Q43" s="7"/>
      <c r="R43" s="7"/>
      <c r="S43" s="7"/>
    </row>
    <row r="44" spans="13:25">
      <c r="O44" s="7"/>
      <c r="P44" s="7"/>
      <c r="Q44" s="7"/>
      <c r="R44" s="7"/>
      <c r="S44" s="7"/>
    </row>
    <row r="45" spans="13:25">
      <c r="O45" s="7"/>
      <c r="P45" s="7"/>
      <c r="Q45" s="7"/>
      <c r="R45" s="7"/>
      <c r="S45" s="7"/>
    </row>
    <row r="46" spans="13:25">
      <c r="O46" s="7"/>
      <c r="P46" s="7"/>
      <c r="Q46" s="7"/>
      <c r="R46" s="7"/>
      <c r="S46" s="7"/>
    </row>
    <row r="47" spans="13:25">
      <c r="O47" s="7"/>
      <c r="P47" s="7"/>
      <c r="Q47" s="7"/>
      <c r="R47" s="7"/>
      <c r="S47" s="7"/>
    </row>
    <row r="48" spans="13:25">
      <c r="O48" s="7"/>
      <c r="P48" s="7"/>
      <c r="Q48" s="7"/>
      <c r="R48" s="7"/>
      <c r="S48" s="7"/>
    </row>
    <row r="49" spans="15:19">
      <c r="O49" s="7"/>
      <c r="P49" s="7"/>
      <c r="Q49" s="7"/>
      <c r="R49" s="7"/>
      <c r="S49" s="7"/>
    </row>
    <row r="50" spans="15:19">
      <c r="O50" s="7"/>
      <c r="P50" s="7"/>
      <c r="Q50" s="7"/>
      <c r="R50" s="7"/>
      <c r="S50" s="7"/>
    </row>
    <row r="51" spans="15:19">
      <c r="O51" s="7"/>
      <c r="P51" s="7"/>
    </row>
    <row r="52" spans="15:19">
      <c r="O52" s="7"/>
      <c r="P52" s="7"/>
    </row>
  </sheetData>
  <mergeCells count="11">
    <mergeCell ref="Q2:U2"/>
    <mergeCell ref="A9:A10"/>
    <mergeCell ref="A11:A12"/>
    <mergeCell ref="A13:A14"/>
    <mergeCell ref="A22:A24"/>
    <mergeCell ref="B18:B20"/>
    <mergeCell ref="G2:I2"/>
    <mergeCell ref="J2:L2"/>
    <mergeCell ref="N2:O2"/>
    <mergeCell ref="C23:C24"/>
    <mergeCell ref="D23:D24"/>
  </mergeCells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2:H28"/>
  <sheetViews>
    <sheetView zoomScaleNormal="100" zoomScaleSheetLayoutView="75" workbookViewId="0">
      <selection activeCell="B26" sqref="B26"/>
    </sheetView>
  </sheetViews>
  <sheetFormatPr defaultColWidth="9" defaultRowHeight="14.25"/>
  <cols>
    <col min="2" max="2" width="54.75" bestFit="1" customWidth="1"/>
    <col min="3" max="3" width="12.875" bestFit="1" customWidth="1"/>
    <col min="5" max="5" width="6.375" customWidth="1"/>
    <col min="6" max="6" width="9.25" customWidth="1"/>
    <col min="7" max="7" width="9.125" bestFit="1" customWidth="1"/>
    <col min="8" max="8" width="14.125" bestFit="1" customWidth="1"/>
  </cols>
  <sheetData>
    <row r="2" spans="2:8">
      <c r="B2" s="1" t="s">
        <v>135</v>
      </c>
    </row>
    <row r="4" spans="2:8">
      <c r="B4" t="s">
        <v>170</v>
      </c>
      <c r="C4">
        <v>500</v>
      </c>
      <c r="E4" t="s">
        <v>28</v>
      </c>
      <c r="F4" s="15">
        <v>22</v>
      </c>
      <c r="G4" s="15">
        <v>0</v>
      </c>
      <c r="H4">
        <v>3.3342999503020398</v>
      </c>
    </row>
    <row r="5" spans="2:8">
      <c r="B5" t="s">
        <v>172</v>
      </c>
      <c r="C5">
        <f>INDEX(G4:H28,MATCH(F4,G4:G28,0),2)</f>
        <v>30.893332021598599</v>
      </c>
      <c r="G5" s="15">
        <v>1</v>
      </c>
      <c r="H5">
        <v>-10.271498329457399</v>
      </c>
    </row>
    <row r="6" spans="2:8">
      <c r="B6" t="s">
        <v>14</v>
      </c>
      <c r="C6">
        <v>398600</v>
      </c>
      <c r="G6" s="15">
        <v>2</v>
      </c>
      <c r="H6">
        <v>-23.528290252111699</v>
      </c>
    </row>
    <row r="7" spans="2:8">
      <c r="B7" t="s">
        <v>133</v>
      </c>
      <c r="C7">
        <v>6378.14</v>
      </c>
      <c r="G7" s="15">
        <v>3</v>
      </c>
      <c r="H7">
        <v>-36.118151262630199</v>
      </c>
    </row>
    <row r="8" spans="2:8">
      <c r="B8" t="s">
        <v>160</v>
      </c>
      <c r="C8">
        <f>2*PI()*SQRT(($C$7+$C$4)^3/$C$6)</f>
        <v>5676.9848887954295</v>
      </c>
      <c r="G8" s="15">
        <v>4</v>
      </c>
      <c r="H8">
        <v>-47.400155406867697</v>
      </c>
    </row>
    <row r="9" spans="2:8">
      <c r="G9" s="15">
        <v>5</v>
      </c>
      <c r="H9">
        <v>-56.011313651595202</v>
      </c>
    </row>
    <row r="10" spans="2:8">
      <c r="B10" t="s">
        <v>173</v>
      </c>
      <c r="C10">
        <f>IF(C5&lt;ASIN(C7/(C7+C4))*180/PI(),(360-2*ASIN((((1/COS(C5*PI()/180))^2)*(((C7/(C7+C4))^2-(SIN(C5*PI()/180))^2)))^0.5)*180/PI())/360*C8,C8)</f>
        <v>3654.1161779686181</v>
      </c>
      <c r="G10" s="15">
        <v>6</v>
      </c>
      <c r="H10">
        <v>-59.571099866250798</v>
      </c>
    </row>
    <row r="11" spans="2:8">
      <c r="B11" t="s">
        <v>169</v>
      </c>
      <c r="C11">
        <f>C8-C10</f>
        <v>2022.8687108268114</v>
      </c>
      <c r="G11" s="15">
        <v>7</v>
      </c>
      <c r="H11">
        <v>-56.426129695037702</v>
      </c>
    </row>
    <row r="12" spans="2:8">
      <c r="B12" t="s">
        <v>134</v>
      </c>
      <c r="C12">
        <f>90</f>
        <v>90</v>
      </c>
      <c r="G12" s="15">
        <v>8</v>
      </c>
      <c r="H12">
        <v>-48.062620260921399</v>
      </c>
    </row>
    <row r="13" spans="2:8">
      <c r="G13" s="15">
        <v>9</v>
      </c>
      <c r="H13">
        <v>-36.902155799572</v>
      </c>
    </row>
    <row r="14" spans="2:8">
      <c r="B14" t="s">
        <v>168</v>
      </c>
      <c r="C14">
        <v>0.2</v>
      </c>
      <c r="G14" s="15">
        <v>10</v>
      </c>
      <c r="H14">
        <v>-24.37277069061</v>
      </c>
    </row>
    <row r="15" spans="2:8">
      <c r="B15" t="s">
        <v>157</v>
      </c>
      <c r="C15">
        <v>0.9</v>
      </c>
      <c r="G15" s="15">
        <v>11</v>
      </c>
      <c r="H15">
        <v>-11.147552962117</v>
      </c>
    </row>
    <row r="16" spans="2:8">
      <c r="B16" t="s">
        <v>182</v>
      </c>
      <c r="C16">
        <v>0.4</v>
      </c>
      <c r="G16" s="15">
        <v>12</v>
      </c>
      <c r="H16">
        <v>2.4420052163108199</v>
      </c>
    </row>
    <row r="17" spans="7:8">
      <c r="G17" s="15">
        <v>13</v>
      </c>
      <c r="H17">
        <v>16.205456724665702</v>
      </c>
    </row>
    <row r="18" spans="7:8">
      <c r="G18" s="15">
        <v>14</v>
      </c>
      <c r="H18">
        <v>29.998122792946798</v>
      </c>
    </row>
    <row r="19" spans="7:8">
      <c r="G19" s="15">
        <v>15</v>
      </c>
      <c r="H19">
        <v>43.647692426302797</v>
      </c>
    </row>
    <row r="20" spans="7:8">
      <c r="G20" s="15">
        <v>16</v>
      </c>
      <c r="H20">
        <v>56.810926741248501</v>
      </c>
    </row>
    <row r="21" spans="7:8">
      <c r="G21" s="15">
        <v>17</v>
      </c>
      <c r="H21">
        <v>68.422001172795902</v>
      </c>
    </row>
    <row r="22" spans="7:8">
      <c r="G22" s="15">
        <v>18</v>
      </c>
      <c r="H22">
        <v>74.371379328089901</v>
      </c>
    </row>
    <row r="23" spans="7:8">
      <c r="G23" s="15">
        <v>19</v>
      </c>
      <c r="H23">
        <v>69.058097270869794</v>
      </c>
    </row>
    <row r="24" spans="7:8">
      <c r="G24" s="15">
        <v>20</v>
      </c>
      <c r="H24">
        <v>57.633973354615897</v>
      </c>
    </row>
    <row r="25" spans="7:8">
      <c r="G25" s="15">
        <v>21</v>
      </c>
      <c r="H25">
        <v>44.524976015620197</v>
      </c>
    </row>
    <row r="26" spans="7:8">
      <c r="G26" s="15">
        <v>22</v>
      </c>
      <c r="H26">
        <v>30.893332021598599</v>
      </c>
    </row>
    <row r="27" spans="7:8">
      <c r="G27" s="15">
        <v>23</v>
      </c>
      <c r="H27">
        <v>17.103944718787101</v>
      </c>
    </row>
    <row r="28" spans="7:8">
      <c r="G28" s="15">
        <v>24</v>
      </c>
      <c r="H28">
        <v>3.3342999503020398</v>
      </c>
    </row>
  </sheetData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10"/>
  <sheetViews>
    <sheetView zoomScale="145" zoomScaleNormal="145" zoomScaleSheetLayoutView="75" workbookViewId="0">
      <selection activeCell="A6" sqref="A6:C6"/>
    </sheetView>
  </sheetViews>
  <sheetFormatPr defaultColWidth="9" defaultRowHeight="14.25"/>
  <cols>
    <col min="3" max="3" width="33.375" customWidth="1"/>
  </cols>
  <sheetData>
    <row r="1" spans="1:9">
      <c r="A1" s="610" t="s">
        <v>95</v>
      </c>
      <c r="B1" s="611"/>
      <c r="C1" s="612"/>
      <c r="D1" s="20"/>
      <c r="E1" s="6" t="e">
        <f>Detumbling!#REF!-Detumbling!#REF!</f>
        <v>#REF!</v>
      </c>
      <c r="F1" s="6"/>
      <c r="G1" s="6"/>
      <c r="H1" s="5" t="s">
        <v>129</v>
      </c>
      <c r="I1" s="1"/>
    </row>
    <row r="2" spans="1:9">
      <c r="A2" s="610" t="s">
        <v>161</v>
      </c>
      <c r="B2" s="611"/>
      <c r="C2" s="612"/>
      <c r="D2" s="20"/>
      <c r="E2" s="6" t="e">
        <f>E1/40*100</f>
        <v>#REF!</v>
      </c>
      <c r="F2" s="6"/>
      <c r="G2" s="6"/>
      <c r="H2" s="5" t="s">
        <v>110</v>
      </c>
      <c r="I2" s="1"/>
    </row>
    <row r="3" spans="1:9">
      <c r="A3" s="610" t="s">
        <v>97</v>
      </c>
      <c r="B3" s="611"/>
      <c r="C3" s="612"/>
      <c r="D3" s="20"/>
      <c r="E3" s="6" t="e">
        <f>100/E2</f>
        <v>#REF!</v>
      </c>
      <c r="F3" s="6"/>
      <c r="G3" s="6"/>
      <c r="H3" s="5" t="s">
        <v>112</v>
      </c>
      <c r="I3" s="1"/>
    </row>
    <row r="4" spans="1:9">
      <c r="A4" s="610" t="s">
        <v>12</v>
      </c>
      <c r="B4" s="611"/>
      <c r="C4" s="612"/>
      <c r="D4" s="20"/>
      <c r="E4" s="6" t="e">
        <f>IF(E2*6&gt;100,100,E2*6)</f>
        <v>#REF!</v>
      </c>
      <c r="F4" s="6"/>
      <c r="G4" s="6"/>
      <c r="H4" s="5" t="s">
        <v>110</v>
      </c>
      <c r="I4" s="1"/>
    </row>
    <row r="5" spans="1:9">
      <c r="A5" s="610" t="s">
        <v>7</v>
      </c>
      <c r="B5" s="611"/>
      <c r="C5" s="612"/>
      <c r="D5" s="20"/>
      <c r="E5" s="6"/>
      <c r="F5" s="6" t="e">
        <f>40*$E$4/100-Detumbling!#REF!</f>
        <v>#REF!</v>
      </c>
      <c r="G5" s="6" t="e">
        <f>40*$E$4/100-Detumbling!#REF!</f>
        <v>#REF!</v>
      </c>
      <c r="H5" s="5" t="s">
        <v>129</v>
      </c>
      <c r="I5" s="1"/>
    </row>
    <row r="6" spans="1:9">
      <c r="A6" s="610" t="s">
        <v>13</v>
      </c>
      <c r="B6" s="611"/>
      <c r="C6" s="612"/>
      <c r="D6" s="20"/>
      <c r="E6" s="6"/>
      <c r="F6" s="6" t="e">
        <f>F5/40*100</f>
        <v>#REF!</v>
      </c>
      <c r="G6" s="6" t="e">
        <f>G5/40*100</f>
        <v>#REF!</v>
      </c>
      <c r="H6" s="5" t="s">
        <v>110</v>
      </c>
      <c r="I6" s="3" t="s">
        <v>89</v>
      </c>
    </row>
    <row r="7" spans="1:9">
      <c r="A7" s="610" t="s">
        <v>8</v>
      </c>
      <c r="B7" s="611"/>
      <c r="C7" s="612"/>
      <c r="D7" s="20"/>
      <c r="E7" s="6"/>
      <c r="F7" s="6" t="e">
        <f>F5/40*100-40</f>
        <v>#REF!</v>
      </c>
      <c r="G7" s="6" t="e">
        <f>G5/40*100-40</f>
        <v>#REF!</v>
      </c>
      <c r="H7" s="5" t="s">
        <v>110</v>
      </c>
      <c r="I7" s="3" t="s">
        <v>89</v>
      </c>
    </row>
    <row r="8" spans="1:9">
      <c r="A8" s="13" t="s">
        <v>153</v>
      </c>
      <c r="B8" s="9"/>
      <c r="C8" s="8" t="s">
        <v>39</v>
      </c>
      <c r="D8" s="8"/>
      <c r="E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F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G8" s="4" t="e">
        <f>(Detumbling!#REF!+Detumbling!#REF!+Detumbling!#REF!+Detumbling!#REF!+Detumbling!#REF!+Detumbling!#REF!+Detumbling!#REF!+Detumbling!#REF!+Detumbling!#REF!+Detumbling!#REF!+Detumbling!#REF!+Detumbling!#REF!)/3.3</f>
        <v>#REF!</v>
      </c>
      <c r="H8" s="5"/>
      <c r="I8" s="3" t="s">
        <v>50</v>
      </c>
    </row>
    <row r="9" spans="1:9">
      <c r="A9" s="11"/>
      <c r="B9" s="10"/>
      <c r="C9" s="8" t="s">
        <v>45</v>
      </c>
      <c r="D9" s="8"/>
      <c r="E9" s="4" t="e">
        <f>(Detumbling!#REF!+Detumbling!#REF!+Detumbling!#REF!+Detumbling!#REF!+Detumbling!#REF!)/5</f>
        <v>#REF!</v>
      </c>
      <c r="F9" s="4" t="e">
        <f>(Detumbling!#REF!+Detumbling!#REF!+Detumbling!#REF!+Detumbling!#REF!+Detumbling!#REF!)/5</f>
        <v>#REF!</v>
      </c>
      <c r="G9" s="4" t="e">
        <f>(Detumbling!#REF!+Detumbling!#REF!+Detumbling!#REF!+Detumbling!#REF!+Detumbling!#REF!)/5</f>
        <v>#REF!</v>
      </c>
      <c r="H9" s="5"/>
      <c r="I9" s="3" t="s">
        <v>50</v>
      </c>
    </row>
    <row r="10" spans="1:9">
      <c r="A10" s="12"/>
      <c r="B10" s="14"/>
      <c r="C10" s="8" t="s">
        <v>57</v>
      </c>
      <c r="D10" s="8"/>
      <c r="E10" s="4" t="e">
        <f>(Detumbling!#REF!+Detumbling!#REF!+Detumbling!#REF!)/8.26</f>
        <v>#REF!</v>
      </c>
      <c r="F10" s="4" t="e">
        <f>(Detumbling!#REF!+Detumbling!#REF!+Detumbling!#REF!)/8.26</f>
        <v>#REF!</v>
      </c>
      <c r="G10" s="4" t="e">
        <f>(Detumbling!#REF!+Detumbling!#REF!+Detumbling!#REF!)/8.26</f>
        <v>#REF!</v>
      </c>
      <c r="H10" s="5"/>
      <c r="I10" s="3" t="s">
        <v>54</v>
      </c>
    </row>
  </sheetData>
  <mergeCells count="7">
    <mergeCell ref="A5:C5"/>
    <mergeCell ref="A7:C7"/>
    <mergeCell ref="A1:C1"/>
    <mergeCell ref="A2:C2"/>
    <mergeCell ref="A3:C3"/>
    <mergeCell ref="A4:C4"/>
    <mergeCell ref="A6:C6"/>
  </mergeCells>
  <phoneticPr fontId="9" type="noConversion"/>
  <pageMargins left="0.69972223043441772" right="0.69972223043441772" top="0.75" bottom="0.75" header="0.30000001192092896" footer="0.30000001192092896"/>
  <pageSetup paperSize="9" orientation="portrait" horizont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6"/>
  <sheetViews>
    <sheetView topLeftCell="A18" zoomScaleNormal="100" zoomScaleSheetLayoutView="75" workbookViewId="0">
      <selection activeCell="A60" sqref="A60"/>
    </sheetView>
  </sheetViews>
  <sheetFormatPr defaultColWidth="9" defaultRowHeight="14.25"/>
  <cols>
    <col min="1" max="1" width="23.5" customWidth="1"/>
    <col min="2" max="2" width="12.5" customWidth="1"/>
    <col min="3" max="16" width="13.75" customWidth="1"/>
  </cols>
  <sheetData>
    <row r="1" spans="1:16" ht="16.5">
      <c r="A1" s="310"/>
      <c r="B1" s="311" t="s">
        <v>113</v>
      </c>
      <c r="C1" s="311" t="s">
        <v>127</v>
      </c>
      <c r="D1" s="311" t="s">
        <v>121</v>
      </c>
      <c r="E1" s="311" t="s">
        <v>118</v>
      </c>
      <c r="F1" s="311" t="s">
        <v>120</v>
      </c>
      <c r="G1" s="311" t="s">
        <v>109</v>
      </c>
      <c r="H1" s="311" t="s">
        <v>116</v>
      </c>
      <c r="I1" s="311" t="s">
        <v>125</v>
      </c>
      <c r="J1" s="311" t="s">
        <v>122</v>
      </c>
      <c r="K1" s="311" t="s">
        <v>60</v>
      </c>
      <c r="L1" s="311" t="s">
        <v>83</v>
      </c>
      <c r="M1" s="311" t="s">
        <v>35</v>
      </c>
      <c r="N1" s="311" t="s">
        <v>78</v>
      </c>
      <c r="O1" s="311" t="s">
        <v>79</v>
      </c>
      <c r="P1" s="312" t="s">
        <v>87</v>
      </c>
    </row>
    <row r="2" spans="1:16" ht="16.5">
      <c r="A2" s="313"/>
      <c r="B2" s="27" t="s">
        <v>96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314"/>
    </row>
    <row r="3" spans="1:16">
      <c r="A3" s="313"/>
      <c r="B3" s="621" t="s">
        <v>92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314"/>
    </row>
    <row r="4" spans="1:16">
      <c r="A4" s="313"/>
      <c r="B4" s="622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314"/>
    </row>
    <row r="5" spans="1:16" ht="16.5">
      <c r="A5" s="315" t="s">
        <v>105</v>
      </c>
      <c r="B5" s="30" t="s">
        <v>132</v>
      </c>
      <c r="C5" s="31" t="s">
        <v>3</v>
      </c>
      <c r="D5" s="30" t="s">
        <v>183</v>
      </c>
      <c r="E5" s="30" t="s">
        <v>184</v>
      </c>
      <c r="F5" s="30" t="s">
        <v>185</v>
      </c>
      <c r="G5" s="30" t="s">
        <v>186</v>
      </c>
      <c r="H5" s="30" t="s">
        <v>189</v>
      </c>
      <c r="I5" s="30" t="s">
        <v>187</v>
      </c>
      <c r="J5" s="30" t="s">
        <v>188</v>
      </c>
      <c r="K5" s="30" t="s">
        <v>190</v>
      </c>
      <c r="L5" s="30" t="s">
        <v>191</v>
      </c>
      <c r="M5" s="30" t="s">
        <v>194</v>
      </c>
      <c r="N5" s="30" t="s">
        <v>192</v>
      </c>
      <c r="O5" s="30" t="s">
        <v>193</v>
      </c>
      <c r="P5" s="316" t="s">
        <v>195</v>
      </c>
    </row>
    <row r="6" spans="1:16" ht="16.5">
      <c r="A6" s="317"/>
      <c r="B6" s="623" t="s">
        <v>38</v>
      </c>
      <c r="C6" s="36" t="s">
        <v>81</v>
      </c>
      <c r="D6" s="617" t="s">
        <v>55</v>
      </c>
      <c r="E6" s="617" t="s">
        <v>34</v>
      </c>
      <c r="F6" s="617" t="s">
        <v>38</v>
      </c>
      <c r="G6" s="617" t="s">
        <v>30</v>
      </c>
      <c r="H6" s="617" t="s">
        <v>34</v>
      </c>
      <c r="I6" s="617" t="s">
        <v>51</v>
      </c>
      <c r="J6" s="617" t="s">
        <v>59</v>
      </c>
      <c r="K6" s="614" t="s">
        <v>51</v>
      </c>
      <c r="L6" s="614" t="s">
        <v>32</v>
      </c>
      <c r="M6" s="614" t="s">
        <v>34</v>
      </c>
      <c r="N6" s="614" t="s">
        <v>30</v>
      </c>
      <c r="O6" s="614" t="s">
        <v>55</v>
      </c>
      <c r="P6" s="614" t="s">
        <v>51</v>
      </c>
    </row>
    <row r="7" spans="1:16" ht="16.5">
      <c r="A7" s="317" t="s">
        <v>162</v>
      </c>
      <c r="B7" s="624"/>
      <c r="C7" s="35" t="s">
        <v>139</v>
      </c>
      <c r="D7" s="618"/>
      <c r="E7" s="618"/>
      <c r="F7" s="618"/>
      <c r="G7" s="618"/>
      <c r="H7" s="618"/>
      <c r="I7" s="618"/>
      <c r="J7" s="618"/>
      <c r="K7" s="615"/>
      <c r="L7" s="615"/>
      <c r="M7" s="615"/>
      <c r="N7" s="615"/>
      <c r="O7" s="615"/>
      <c r="P7" s="615"/>
    </row>
    <row r="8" spans="1:16" ht="16.5">
      <c r="A8" s="317"/>
      <c r="B8" s="624"/>
      <c r="C8" s="29" t="s">
        <v>43</v>
      </c>
      <c r="D8" s="618"/>
      <c r="E8" s="618"/>
      <c r="F8" s="618"/>
      <c r="G8" s="618"/>
      <c r="H8" s="618"/>
      <c r="I8" s="618"/>
      <c r="J8" s="618"/>
      <c r="K8" s="615"/>
      <c r="L8" s="615"/>
      <c r="M8" s="615"/>
      <c r="N8" s="615"/>
      <c r="O8" s="615"/>
      <c r="P8" s="615"/>
    </row>
    <row r="9" spans="1:16" ht="16.5">
      <c r="A9" s="317" t="s">
        <v>103</v>
      </c>
      <c r="B9" s="624"/>
      <c r="C9" s="32" t="s">
        <v>141</v>
      </c>
      <c r="D9" s="618"/>
      <c r="E9" s="618"/>
      <c r="F9" s="618"/>
      <c r="G9" s="618"/>
      <c r="H9" s="618"/>
      <c r="I9" s="618"/>
      <c r="J9" s="618"/>
      <c r="K9" s="615"/>
      <c r="L9" s="615"/>
      <c r="M9" s="615"/>
      <c r="N9" s="615"/>
      <c r="O9" s="615"/>
      <c r="P9" s="615"/>
    </row>
    <row r="10" spans="1:16" ht="16.5">
      <c r="A10" s="317"/>
      <c r="B10" s="625"/>
      <c r="C10" s="36" t="s">
        <v>72</v>
      </c>
      <c r="D10" s="619"/>
      <c r="E10" s="619"/>
      <c r="F10" s="619"/>
      <c r="G10" s="619"/>
      <c r="H10" s="619"/>
      <c r="I10" s="619"/>
      <c r="J10" s="619"/>
      <c r="K10" s="616"/>
      <c r="L10" s="616"/>
      <c r="M10" s="616"/>
      <c r="N10" s="616"/>
      <c r="O10" s="616"/>
      <c r="P10" s="616"/>
    </row>
    <row r="11" spans="1:16" ht="16.5">
      <c r="A11" s="318" t="s">
        <v>152</v>
      </c>
      <c r="B11" s="33" t="s">
        <v>137</v>
      </c>
      <c r="C11" s="33" t="s">
        <v>178</v>
      </c>
      <c r="D11" s="34" t="s">
        <v>196</v>
      </c>
      <c r="E11" s="34" t="s">
        <v>198</v>
      </c>
      <c r="F11" s="34" t="s">
        <v>199</v>
      </c>
      <c r="G11" s="34" t="s">
        <v>200</v>
      </c>
      <c r="H11" s="34" t="s">
        <v>207</v>
      </c>
      <c r="I11" s="34" t="s">
        <v>201</v>
      </c>
      <c r="J11" s="34" t="s">
        <v>197</v>
      </c>
      <c r="K11" s="34" t="s">
        <v>202</v>
      </c>
      <c r="L11" s="34" t="s">
        <v>208</v>
      </c>
      <c r="M11" s="34" t="s">
        <v>205</v>
      </c>
      <c r="N11" s="34" t="s">
        <v>203</v>
      </c>
      <c r="O11" s="34" t="s">
        <v>206</v>
      </c>
      <c r="P11" s="319" t="s">
        <v>204</v>
      </c>
    </row>
    <row r="12" spans="1:16" ht="16.5">
      <c r="A12" s="318"/>
      <c r="B12" s="626" t="s">
        <v>85</v>
      </c>
      <c r="C12" s="626" t="s">
        <v>49</v>
      </c>
      <c r="D12" s="621" t="s">
        <v>85</v>
      </c>
      <c r="E12" s="621" t="s">
        <v>58</v>
      </c>
      <c r="F12" s="621" t="s">
        <v>85</v>
      </c>
      <c r="G12" s="621" t="s">
        <v>46</v>
      </c>
      <c r="H12" s="621" t="s">
        <v>63</v>
      </c>
      <c r="I12" s="28" t="s">
        <v>29</v>
      </c>
      <c r="J12" s="621" t="s">
        <v>63</v>
      </c>
      <c r="K12" s="613" t="s">
        <v>46</v>
      </c>
      <c r="L12" s="613" t="s">
        <v>86</v>
      </c>
      <c r="M12" s="613" t="s">
        <v>31</v>
      </c>
      <c r="N12" s="613" t="s">
        <v>46</v>
      </c>
      <c r="O12" s="613" t="s">
        <v>46</v>
      </c>
      <c r="P12" s="620" t="s">
        <v>33</v>
      </c>
    </row>
    <row r="13" spans="1:16" ht="16.5">
      <c r="A13" s="318" t="s">
        <v>144</v>
      </c>
      <c r="B13" s="626"/>
      <c r="C13" s="626"/>
      <c r="D13" s="621"/>
      <c r="E13" s="621"/>
      <c r="F13" s="621"/>
      <c r="G13" s="621"/>
      <c r="H13" s="621"/>
      <c r="I13" s="27" t="s">
        <v>209</v>
      </c>
      <c r="J13" s="621"/>
      <c r="K13" s="613"/>
      <c r="L13" s="613"/>
      <c r="M13" s="613"/>
      <c r="N13" s="613"/>
      <c r="O13" s="613"/>
      <c r="P13" s="620"/>
    </row>
    <row r="14" spans="1:16" ht="16.5">
      <c r="A14" s="318"/>
      <c r="B14" s="626"/>
      <c r="C14" s="626"/>
      <c r="D14" s="621"/>
      <c r="E14" s="621"/>
      <c r="F14" s="621"/>
      <c r="G14" s="621"/>
      <c r="H14" s="621"/>
      <c r="I14" s="28" t="s">
        <v>69</v>
      </c>
      <c r="J14" s="621"/>
      <c r="K14" s="613"/>
      <c r="L14" s="613"/>
      <c r="M14" s="613"/>
      <c r="N14" s="613"/>
      <c r="O14" s="613"/>
      <c r="P14" s="320" t="s">
        <v>210</v>
      </c>
    </row>
    <row r="15" spans="1:16" ht="16.5">
      <c r="A15" s="318" t="s">
        <v>5</v>
      </c>
      <c r="B15" s="626"/>
      <c r="C15" s="626"/>
      <c r="D15" s="621"/>
      <c r="E15" s="621"/>
      <c r="F15" s="621"/>
      <c r="G15" s="621"/>
      <c r="H15" s="621"/>
      <c r="I15" s="27" t="s">
        <v>211</v>
      </c>
      <c r="J15" s="621"/>
      <c r="K15" s="613"/>
      <c r="L15" s="613"/>
      <c r="M15" s="613"/>
      <c r="N15" s="613"/>
      <c r="O15" s="613"/>
      <c r="P15" s="321"/>
    </row>
    <row r="16" spans="1:16" ht="16.5">
      <c r="A16" s="318"/>
      <c r="B16" s="626"/>
      <c r="C16" s="626"/>
      <c r="D16" s="621"/>
      <c r="E16" s="621"/>
      <c r="F16" s="621"/>
      <c r="G16" s="621"/>
      <c r="H16" s="621"/>
      <c r="I16" s="28" t="s">
        <v>80</v>
      </c>
      <c r="J16" s="621"/>
      <c r="K16" s="613"/>
      <c r="L16" s="613"/>
      <c r="M16" s="613"/>
      <c r="N16" s="613"/>
      <c r="O16" s="613"/>
      <c r="P16" s="321"/>
    </row>
    <row r="17" spans="1:16" ht="16.5">
      <c r="A17" s="318" t="s">
        <v>37</v>
      </c>
      <c r="B17" s="26" t="s">
        <v>143</v>
      </c>
      <c r="C17" s="26" t="s">
        <v>180</v>
      </c>
      <c r="D17" s="27" t="s">
        <v>216</v>
      </c>
      <c r="E17" s="27" t="s">
        <v>214</v>
      </c>
      <c r="F17" s="27" t="s">
        <v>222</v>
      </c>
      <c r="G17" s="27" t="s">
        <v>220</v>
      </c>
      <c r="H17" s="27" t="s">
        <v>221</v>
      </c>
      <c r="I17" s="27" t="s">
        <v>223</v>
      </c>
      <c r="J17" s="27" t="s">
        <v>213</v>
      </c>
      <c r="K17" s="27" t="s">
        <v>217</v>
      </c>
      <c r="L17" s="27" t="s">
        <v>219</v>
      </c>
      <c r="M17" s="27" t="s">
        <v>212</v>
      </c>
      <c r="N17" s="27" t="s">
        <v>215</v>
      </c>
      <c r="O17" s="27" t="s">
        <v>218</v>
      </c>
      <c r="P17" s="321"/>
    </row>
    <row r="18" spans="1:16" ht="16.5">
      <c r="A18" s="322" t="s">
        <v>175</v>
      </c>
      <c r="B18" s="308" t="s">
        <v>146</v>
      </c>
      <c r="C18" s="308">
        <v>5674</v>
      </c>
      <c r="D18" s="308">
        <v>5667</v>
      </c>
      <c r="E18" s="308">
        <v>5659</v>
      </c>
      <c r="F18" s="308">
        <v>5668</v>
      </c>
      <c r="G18" s="308">
        <v>5668</v>
      </c>
      <c r="H18" s="308">
        <v>5667</v>
      </c>
      <c r="I18" s="308">
        <v>5667</v>
      </c>
      <c r="J18" s="308">
        <v>5664</v>
      </c>
      <c r="K18" s="308">
        <v>5664</v>
      </c>
      <c r="L18" s="308">
        <v>5675</v>
      </c>
      <c r="M18" s="308">
        <v>5665</v>
      </c>
      <c r="N18" s="308">
        <v>5668</v>
      </c>
      <c r="O18" s="308">
        <v>5667</v>
      </c>
      <c r="P18" s="323">
        <v>5620</v>
      </c>
    </row>
    <row r="19" spans="1:16" ht="16.5">
      <c r="A19" s="322" t="s">
        <v>156</v>
      </c>
      <c r="B19" s="308">
        <v>23.041</v>
      </c>
      <c r="C19" s="308">
        <v>18.747</v>
      </c>
      <c r="D19" s="308">
        <v>23.041</v>
      </c>
      <c r="E19" s="308">
        <v>23.041</v>
      </c>
      <c r="F19" s="308">
        <v>23.041</v>
      </c>
      <c r="G19" s="308">
        <v>23.041</v>
      </c>
      <c r="H19" s="308">
        <v>23.041</v>
      </c>
      <c r="I19" s="308">
        <v>23.041</v>
      </c>
      <c r="J19" s="308">
        <v>23.041</v>
      </c>
      <c r="K19" s="308">
        <v>23.041</v>
      </c>
      <c r="L19" s="308">
        <v>23.041</v>
      </c>
      <c r="M19" s="308">
        <v>23.041</v>
      </c>
      <c r="N19" s="308">
        <v>23.041</v>
      </c>
      <c r="O19" s="308">
        <v>23.041</v>
      </c>
      <c r="P19" s="323">
        <v>23.041</v>
      </c>
    </row>
    <row r="20" spans="1:16" ht="16.5">
      <c r="A20" s="322" t="s">
        <v>159</v>
      </c>
      <c r="B20" s="308">
        <v>6.5960000000000001</v>
      </c>
      <c r="C20" s="308">
        <v>9.4499999999999993</v>
      </c>
      <c r="D20" s="308">
        <v>6.5960000000000001</v>
      </c>
      <c r="E20" s="308">
        <v>6.5960000000000001</v>
      </c>
      <c r="F20" s="308">
        <v>6.5960000000000001</v>
      </c>
      <c r="G20" s="308">
        <v>6.5960000000000001</v>
      </c>
      <c r="H20" s="308">
        <v>6.5960000000000001</v>
      </c>
      <c r="I20" s="308">
        <v>9.2439999999999998</v>
      </c>
      <c r="J20" s="308">
        <v>6.5960000000000001</v>
      </c>
      <c r="K20" s="308">
        <v>6.5960000000000001</v>
      </c>
      <c r="L20" s="308">
        <v>6.5960000000000001</v>
      </c>
      <c r="M20" s="308">
        <v>6.5960000000000001</v>
      </c>
      <c r="N20" s="308">
        <v>6.5960000000000001</v>
      </c>
      <c r="O20" s="308">
        <v>6.5960000000000001</v>
      </c>
      <c r="P20" s="323">
        <v>8.3952000000000009</v>
      </c>
    </row>
    <row r="21" spans="1:16" ht="16.5">
      <c r="A21" s="324" t="s">
        <v>166</v>
      </c>
      <c r="B21" s="325">
        <f>B19-B20</f>
        <v>16.445</v>
      </c>
      <c r="C21" s="325">
        <f t="shared" ref="C21:P21" si="0">C19-C20</f>
        <v>9.2970000000000006</v>
      </c>
      <c r="D21" s="325">
        <f t="shared" si="0"/>
        <v>16.445</v>
      </c>
      <c r="E21" s="325">
        <f t="shared" si="0"/>
        <v>16.445</v>
      </c>
      <c r="F21" s="325">
        <f t="shared" si="0"/>
        <v>16.445</v>
      </c>
      <c r="G21" s="325">
        <f t="shared" si="0"/>
        <v>16.445</v>
      </c>
      <c r="H21" s="325">
        <f t="shared" si="0"/>
        <v>16.445</v>
      </c>
      <c r="I21" s="325">
        <f t="shared" si="0"/>
        <v>13.797000000000001</v>
      </c>
      <c r="J21" s="325">
        <f t="shared" si="0"/>
        <v>16.445</v>
      </c>
      <c r="K21" s="325">
        <f t="shared" si="0"/>
        <v>16.445</v>
      </c>
      <c r="L21" s="325">
        <f t="shared" si="0"/>
        <v>16.445</v>
      </c>
      <c r="M21" s="325">
        <f t="shared" si="0"/>
        <v>16.445</v>
      </c>
      <c r="N21" s="325">
        <f t="shared" si="0"/>
        <v>16.445</v>
      </c>
      <c r="O21" s="325">
        <f t="shared" si="0"/>
        <v>16.445</v>
      </c>
      <c r="P21" s="326">
        <f t="shared" si="0"/>
        <v>14.645799999999999</v>
      </c>
    </row>
    <row r="26" spans="1:16" ht="16.5">
      <c r="A26" s="327"/>
      <c r="B26" s="328" t="s">
        <v>96</v>
      </c>
      <c r="C26" s="329"/>
      <c r="D26" s="329"/>
      <c r="E26" s="329"/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30"/>
    </row>
    <row r="27" spans="1:16">
      <c r="A27" s="313"/>
      <c r="B27" s="621" t="s">
        <v>92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314"/>
    </row>
    <row r="28" spans="1:16">
      <c r="A28" s="313"/>
      <c r="B28" s="622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14"/>
    </row>
    <row r="29" spans="1:16" ht="16.5">
      <c r="A29" s="315" t="s">
        <v>105</v>
      </c>
      <c r="B29" s="30" t="s">
        <v>132</v>
      </c>
      <c r="C29" s="31" t="s">
        <v>3</v>
      </c>
      <c r="D29" s="30" t="s">
        <v>183</v>
      </c>
      <c r="E29" s="30" t="s">
        <v>184</v>
      </c>
      <c r="F29" s="30" t="s">
        <v>185</v>
      </c>
      <c r="G29" s="30" t="s">
        <v>186</v>
      </c>
      <c r="H29" s="30" t="s">
        <v>189</v>
      </c>
      <c r="I29" s="30" t="s">
        <v>187</v>
      </c>
      <c r="J29" s="30" t="s">
        <v>188</v>
      </c>
      <c r="K29" s="30" t="s">
        <v>190</v>
      </c>
      <c r="L29" s="30" t="s">
        <v>191</v>
      </c>
      <c r="M29" s="30" t="s">
        <v>194</v>
      </c>
      <c r="N29" s="30" t="s">
        <v>192</v>
      </c>
      <c r="O29" s="30" t="s">
        <v>193</v>
      </c>
      <c r="P29" s="316" t="s">
        <v>195</v>
      </c>
    </row>
    <row r="30" spans="1:16" ht="16.5">
      <c r="A30" s="317"/>
      <c r="B30" s="623" t="s">
        <v>38</v>
      </c>
      <c r="C30" s="36" t="s">
        <v>81</v>
      </c>
      <c r="D30" s="617" t="s">
        <v>55</v>
      </c>
      <c r="E30" s="617" t="s">
        <v>34</v>
      </c>
      <c r="F30" s="617" t="s">
        <v>38</v>
      </c>
      <c r="G30" s="617" t="s">
        <v>30</v>
      </c>
      <c r="H30" s="617" t="s">
        <v>34</v>
      </c>
      <c r="I30" s="617" t="s">
        <v>51</v>
      </c>
      <c r="J30" s="617" t="s">
        <v>59</v>
      </c>
      <c r="K30" s="614" t="s">
        <v>51</v>
      </c>
      <c r="L30" s="614" t="s">
        <v>32</v>
      </c>
      <c r="M30" s="614" t="s">
        <v>34</v>
      </c>
      <c r="N30" s="614" t="s">
        <v>30</v>
      </c>
      <c r="O30" s="614" t="s">
        <v>55</v>
      </c>
      <c r="P30" s="614" t="s">
        <v>51</v>
      </c>
    </row>
    <row r="31" spans="1:16" ht="16.5">
      <c r="A31" s="317" t="s">
        <v>162</v>
      </c>
      <c r="B31" s="624"/>
      <c r="C31" s="35" t="s">
        <v>139</v>
      </c>
      <c r="D31" s="618"/>
      <c r="E31" s="618"/>
      <c r="F31" s="618"/>
      <c r="G31" s="618"/>
      <c r="H31" s="618"/>
      <c r="I31" s="618"/>
      <c r="J31" s="618"/>
      <c r="K31" s="615"/>
      <c r="L31" s="615"/>
      <c r="M31" s="615"/>
      <c r="N31" s="615"/>
      <c r="O31" s="615"/>
      <c r="P31" s="615"/>
    </row>
    <row r="32" spans="1:16" ht="16.5">
      <c r="A32" s="317"/>
      <c r="B32" s="624"/>
      <c r="C32" s="29" t="s">
        <v>43</v>
      </c>
      <c r="D32" s="618"/>
      <c r="E32" s="618"/>
      <c r="F32" s="618"/>
      <c r="G32" s="618"/>
      <c r="H32" s="618"/>
      <c r="I32" s="618"/>
      <c r="J32" s="618"/>
      <c r="K32" s="615"/>
      <c r="L32" s="615"/>
      <c r="M32" s="615"/>
      <c r="N32" s="615"/>
      <c r="O32" s="615"/>
      <c r="P32" s="615"/>
    </row>
    <row r="33" spans="1:16" ht="16.5">
      <c r="A33" s="317" t="s">
        <v>103</v>
      </c>
      <c r="B33" s="624"/>
      <c r="C33" s="32" t="s">
        <v>141</v>
      </c>
      <c r="D33" s="618"/>
      <c r="E33" s="618"/>
      <c r="F33" s="618"/>
      <c r="G33" s="618"/>
      <c r="H33" s="618"/>
      <c r="I33" s="618"/>
      <c r="J33" s="618"/>
      <c r="K33" s="615"/>
      <c r="L33" s="615"/>
      <c r="M33" s="615"/>
      <c r="N33" s="615"/>
      <c r="O33" s="615"/>
      <c r="P33" s="615"/>
    </row>
    <row r="34" spans="1:16" ht="16.5">
      <c r="A34" s="317"/>
      <c r="B34" s="625"/>
      <c r="C34" s="36" t="s">
        <v>72</v>
      </c>
      <c r="D34" s="619"/>
      <c r="E34" s="619"/>
      <c r="F34" s="619"/>
      <c r="G34" s="619"/>
      <c r="H34" s="619"/>
      <c r="I34" s="619"/>
      <c r="J34" s="619"/>
      <c r="K34" s="616"/>
      <c r="L34" s="616"/>
      <c r="M34" s="616"/>
      <c r="N34" s="616"/>
      <c r="O34" s="616"/>
      <c r="P34" s="616"/>
    </row>
    <row r="35" spans="1:16" ht="16.5">
      <c r="A35" s="318" t="s">
        <v>152</v>
      </c>
      <c r="B35" s="33" t="s">
        <v>137</v>
      </c>
      <c r="C35" s="33" t="s">
        <v>178</v>
      </c>
      <c r="D35" s="34" t="s">
        <v>196</v>
      </c>
      <c r="E35" s="34" t="s">
        <v>198</v>
      </c>
      <c r="F35" s="34" t="s">
        <v>199</v>
      </c>
      <c r="G35" s="34" t="s">
        <v>200</v>
      </c>
      <c r="H35" s="34" t="s">
        <v>207</v>
      </c>
      <c r="I35" s="34" t="s">
        <v>201</v>
      </c>
      <c r="J35" s="34" t="s">
        <v>197</v>
      </c>
      <c r="K35" s="34" t="s">
        <v>202</v>
      </c>
      <c r="L35" s="34" t="s">
        <v>208</v>
      </c>
      <c r="M35" s="34" t="s">
        <v>205</v>
      </c>
      <c r="N35" s="34" t="s">
        <v>203</v>
      </c>
      <c r="O35" s="34" t="s">
        <v>206</v>
      </c>
      <c r="P35" s="319" t="s">
        <v>204</v>
      </c>
    </row>
    <row r="36" spans="1:16" ht="16.5">
      <c r="A36" s="318"/>
      <c r="B36" s="626" t="s">
        <v>85</v>
      </c>
      <c r="C36" s="626" t="s">
        <v>49</v>
      </c>
      <c r="D36" s="621" t="s">
        <v>85</v>
      </c>
      <c r="E36" s="621" t="s">
        <v>58</v>
      </c>
      <c r="F36" s="621" t="s">
        <v>85</v>
      </c>
      <c r="G36" s="621" t="s">
        <v>46</v>
      </c>
      <c r="H36" s="621" t="s">
        <v>63</v>
      </c>
      <c r="I36" s="28" t="s">
        <v>29</v>
      </c>
      <c r="J36" s="621" t="s">
        <v>63</v>
      </c>
      <c r="K36" s="613" t="s">
        <v>46</v>
      </c>
      <c r="L36" s="613" t="s">
        <v>86</v>
      </c>
      <c r="M36" s="613" t="s">
        <v>31</v>
      </c>
      <c r="N36" s="613" t="s">
        <v>46</v>
      </c>
      <c r="O36" s="613" t="s">
        <v>46</v>
      </c>
      <c r="P36" s="620" t="s">
        <v>33</v>
      </c>
    </row>
    <row r="37" spans="1:16" ht="16.5">
      <c r="A37" s="318" t="s">
        <v>144</v>
      </c>
      <c r="B37" s="626"/>
      <c r="C37" s="626"/>
      <c r="D37" s="621"/>
      <c r="E37" s="621"/>
      <c r="F37" s="621"/>
      <c r="G37" s="621"/>
      <c r="H37" s="621"/>
      <c r="I37" s="27" t="s">
        <v>209</v>
      </c>
      <c r="J37" s="621"/>
      <c r="K37" s="613"/>
      <c r="L37" s="613"/>
      <c r="M37" s="613"/>
      <c r="N37" s="613"/>
      <c r="O37" s="613"/>
      <c r="P37" s="620"/>
    </row>
    <row r="38" spans="1:16" ht="16.5">
      <c r="A38" s="318"/>
      <c r="B38" s="626"/>
      <c r="C38" s="626"/>
      <c r="D38" s="621"/>
      <c r="E38" s="621"/>
      <c r="F38" s="621"/>
      <c r="G38" s="621"/>
      <c r="H38" s="621"/>
      <c r="I38" s="28" t="s">
        <v>69</v>
      </c>
      <c r="J38" s="621"/>
      <c r="K38" s="613"/>
      <c r="L38" s="613"/>
      <c r="M38" s="613"/>
      <c r="N38" s="613"/>
      <c r="O38" s="613"/>
      <c r="P38" s="320" t="s">
        <v>210</v>
      </c>
    </row>
    <row r="39" spans="1:16" ht="16.5">
      <c r="A39" s="318" t="s">
        <v>5</v>
      </c>
      <c r="B39" s="626"/>
      <c r="C39" s="626"/>
      <c r="D39" s="621"/>
      <c r="E39" s="621"/>
      <c r="F39" s="621"/>
      <c r="G39" s="621"/>
      <c r="H39" s="621"/>
      <c r="I39" s="27" t="s">
        <v>211</v>
      </c>
      <c r="J39" s="621"/>
      <c r="K39" s="613"/>
      <c r="L39" s="613"/>
      <c r="M39" s="613"/>
      <c r="N39" s="613"/>
      <c r="O39" s="613"/>
      <c r="P39" s="321"/>
    </row>
    <row r="40" spans="1:16" ht="16.5">
      <c r="A40" s="318"/>
      <c r="B40" s="626"/>
      <c r="C40" s="626"/>
      <c r="D40" s="621"/>
      <c r="E40" s="621"/>
      <c r="F40" s="621"/>
      <c r="G40" s="621"/>
      <c r="H40" s="621"/>
      <c r="I40" s="28" t="s">
        <v>80</v>
      </c>
      <c r="J40" s="621"/>
      <c r="K40" s="613"/>
      <c r="L40" s="613"/>
      <c r="M40" s="613"/>
      <c r="N40" s="613"/>
      <c r="O40" s="613"/>
      <c r="P40" s="321"/>
    </row>
    <row r="41" spans="1:16" ht="16.5">
      <c r="A41" s="318" t="s">
        <v>37</v>
      </c>
      <c r="B41" s="26" t="s">
        <v>143</v>
      </c>
      <c r="C41" s="26" t="s">
        <v>180</v>
      </c>
      <c r="D41" s="27" t="s">
        <v>216</v>
      </c>
      <c r="E41" s="27" t="s">
        <v>214</v>
      </c>
      <c r="F41" s="27" t="s">
        <v>222</v>
      </c>
      <c r="G41" s="27" t="s">
        <v>220</v>
      </c>
      <c r="H41" s="27" t="s">
        <v>221</v>
      </c>
      <c r="I41" s="27" t="s">
        <v>223</v>
      </c>
      <c r="J41" s="27" t="s">
        <v>213</v>
      </c>
      <c r="K41" s="27" t="s">
        <v>217</v>
      </c>
      <c r="L41" s="27" t="s">
        <v>219</v>
      </c>
      <c r="M41" s="27" t="s">
        <v>212</v>
      </c>
      <c r="N41" s="27" t="s">
        <v>215</v>
      </c>
      <c r="O41" s="27" t="s">
        <v>218</v>
      </c>
      <c r="P41" s="321"/>
    </row>
    <row r="42" spans="1:16" ht="16.5">
      <c r="A42" s="322" t="s">
        <v>175</v>
      </c>
      <c r="B42" s="308" t="s">
        <v>146</v>
      </c>
      <c r="C42" s="308">
        <v>5674</v>
      </c>
      <c r="D42" s="308">
        <v>5667</v>
      </c>
      <c r="E42" s="308">
        <v>5659</v>
      </c>
      <c r="F42" s="308">
        <v>5668</v>
      </c>
      <c r="G42" s="308">
        <v>5668</v>
      </c>
      <c r="H42" s="308">
        <v>5667</v>
      </c>
      <c r="I42" s="308">
        <v>5667</v>
      </c>
      <c r="J42" s="308">
        <v>5664</v>
      </c>
      <c r="K42" s="308">
        <v>5664</v>
      </c>
      <c r="L42" s="308">
        <v>5675</v>
      </c>
      <c r="M42" s="308">
        <v>5665</v>
      </c>
      <c r="N42" s="308">
        <v>5668</v>
      </c>
      <c r="O42" s="308">
        <v>5667</v>
      </c>
      <c r="P42" s="323">
        <v>5620</v>
      </c>
    </row>
    <row r="43" spans="1:16" ht="16.5">
      <c r="A43" s="322" t="s">
        <v>156</v>
      </c>
      <c r="B43" s="308">
        <v>23.041</v>
      </c>
      <c r="C43" s="308">
        <v>18.747</v>
      </c>
      <c r="D43" s="308">
        <v>23.041</v>
      </c>
      <c r="E43" s="308">
        <v>23.041</v>
      </c>
      <c r="F43" s="308">
        <v>23.041</v>
      </c>
      <c r="G43" s="308">
        <v>23.041</v>
      </c>
      <c r="H43" s="308">
        <v>23.041</v>
      </c>
      <c r="I43" s="308">
        <v>23.041</v>
      </c>
      <c r="J43" s="308">
        <v>23.041</v>
      </c>
      <c r="K43" s="308">
        <v>23.041</v>
      </c>
      <c r="L43" s="308">
        <v>23.041</v>
      </c>
      <c r="M43" s="308">
        <v>23.041</v>
      </c>
      <c r="N43" s="308">
        <v>23.041</v>
      </c>
      <c r="O43" s="308">
        <v>23.041</v>
      </c>
      <c r="P43" s="323">
        <v>23.041</v>
      </c>
    </row>
    <row r="44" spans="1:16" ht="16.5">
      <c r="A44" s="322" t="s">
        <v>159</v>
      </c>
      <c r="B44" s="308">
        <v>6.5960000000000001</v>
      </c>
      <c r="C44" s="308">
        <v>9.4499999999999993</v>
      </c>
      <c r="D44" s="308">
        <v>6.5960000000000001</v>
      </c>
      <c r="E44" s="308">
        <v>6.5960000000000001</v>
      </c>
      <c r="F44" s="308">
        <v>6.5960000000000001</v>
      </c>
      <c r="G44" s="308">
        <v>6.5960000000000001</v>
      </c>
      <c r="H44" s="308">
        <v>6.5960000000000001</v>
      </c>
      <c r="I44" s="308">
        <v>9.2439999999999998</v>
      </c>
      <c r="J44" s="308">
        <v>6.5960000000000001</v>
      </c>
      <c r="K44" s="308">
        <v>6.5960000000000001</v>
      </c>
      <c r="L44" s="308">
        <v>6.5960000000000001</v>
      </c>
      <c r="M44" s="308">
        <v>6.5960000000000001</v>
      </c>
      <c r="N44" s="308">
        <v>6.5960000000000001</v>
      </c>
      <c r="O44" s="308">
        <v>6.5960000000000001</v>
      </c>
      <c r="P44" s="323">
        <v>3.56</v>
      </c>
    </row>
    <row r="45" spans="1:16" ht="16.5">
      <c r="A45" s="324" t="s">
        <v>166</v>
      </c>
      <c r="B45" s="325">
        <f>B43-B44</f>
        <v>16.445</v>
      </c>
      <c r="C45" s="325">
        <f t="shared" ref="C45:P45" si="1">C43-C44</f>
        <v>9.2970000000000006</v>
      </c>
      <c r="D45" s="325">
        <f t="shared" si="1"/>
        <v>16.445</v>
      </c>
      <c r="E45" s="325">
        <f t="shared" si="1"/>
        <v>16.445</v>
      </c>
      <c r="F45" s="325">
        <f t="shared" si="1"/>
        <v>16.445</v>
      </c>
      <c r="G45" s="325">
        <f t="shared" si="1"/>
        <v>16.445</v>
      </c>
      <c r="H45" s="325">
        <f t="shared" si="1"/>
        <v>16.445</v>
      </c>
      <c r="I45" s="325">
        <f t="shared" si="1"/>
        <v>13.797000000000001</v>
      </c>
      <c r="J45" s="325">
        <f t="shared" si="1"/>
        <v>16.445</v>
      </c>
      <c r="K45" s="325">
        <f t="shared" si="1"/>
        <v>16.445</v>
      </c>
      <c r="L45" s="325">
        <f t="shared" si="1"/>
        <v>16.445</v>
      </c>
      <c r="M45" s="325">
        <f t="shared" si="1"/>
        <v>16.445</v>
      </c>
      <c r="N45" s="325">
        <f t="shared" si="1"/>
        <v>16.445</v>
      </c>
      <c r="O45" s="325">
        <f t="shared" si="1"/>
        <v>16.445</v>
      </c>
      <c r="P45" s="326">
        <f t="shared" si="1"/>
        <v>19.481000000000002</v>
      </c>
    </row>
    <row r="47" spans="1:16" ht="16.5">
      <c r="A47" s="333" t="s">
        <v>155</v>
      </c>
      <c r="B47" s="336">
        <f>B43*A48</f>
        <v>20.736900000000002</v>
      </c>
      <c r="C47" s="337">
        <f>C43*A48</f>
        <v>16.872299999999999</v>
      </c>
      <c r="D47" s="337">
        <f>D43*A48</f>
        <v>20.736900000000002</v>
      </c>
      <c r="E47" s="337">
        <f>E43*A48</f>
        <v>20.736900000000002</v>
      </c>
      <c r="F47" s="337">
        <f>F43*A48</f>
        <v>20.736900000000002</v>
      </c>
      <c r="G47" s="337">
        <f>G43*A48</f>
        <v>20.736900000000002</v>
      </c>
      <c r="H47" s="337">
        <f>H43*A48</f>
        <v>20.736900000000002</v>
      </c>
      <c r="I47" s="337">
        <f>I43*A48</f>
        <v>20.736900000000002</v>
      </c>
      <c r="J47" s="337">
        <f>J43*A48</f>
        <v>20.736900000000002</v>
      </c>
      <c r="K47" s="337">
        <f>K43*A48</f>
        <v>20.736900000000002</v>
      </c>
      <c r="L47" s="337">
        <f>L43*A48</f>
        <v>20.736900000000002</v>
      </c>
      <c r="M47" s="337">
        <f>M43*A48</f>
        <v>20.736900000000002</v>
      </c>
      <c r="N47" s="337">
        <f>N43*A48</f>
        <v>20.736900000000002</v>
      </c>
      <c r="O47" s="337">
        <f>O43*A48</f>
        <v>20.736900000000002</v>
      </c>
      <c r="P47" s="342">
        <f>P43*A48</f>
        <v>20.736900000000002</v>
      </c>
    </row>
    <row r="48" spans="1:16" ht="16.5">
      <c r="A48" s="340">
        <v>0.9</v>
      </c>
      <c r="B48" s="338">
        <f t="shared" ref="B48:P48" si="2">B44</f>
        <v>6.5960000000000001</v>
      </c>
      <c r="C48" s="339">
        <f t="shared" si="2"/>
        <v>9.4499999999999993</v>
      </c>
      <c r="D48" s="339">
        <f t="shared" si="2"/>
        <v>6.5960000000000001</v>
      </c>
      <c r="E48" s="339">
        <f t="shared" si="2"/>
        <v>6.5960000000000001</v>
      </c>
      <c r="F48" s="339">
        <f t="shared" si="2"/>
        <v>6.5960000000000001</v>
      </c>
      <c r="G48" s="339">
        <f t="shared" si="2"/>
        <v>6.5960000000000001</v>
      </c>
      <c r="H48" s="339">
        <f t="shared" si="2"/>
        <v>6.5960000000000001</v>
      </c>
      <c r="I48" s="339">
        <f t="shared" si="2"/>
        <v>9.2439999999999998</v>
      </c>
      <c r="J48" s="339">
        <f t="shared" si="2"/>
        <v>6.5960000000000001</v>
      </c>
      <c r="K48" s="339">
        <f t="shared" si="2"/>
        <v>6.5960000000000001</v>
      </c>
      <c r="L48" s="339">
        <f t="shared" si="2"/>
        <v>6.5960000000000001</v>
      </c>
      <c r="M48" s="339">
        <f t="shared" si="2"/>
        <v>6.5960000000000001</v>
      </c>
      <c r="N48" s="339">
        <f t="shared" si="2"/>
        <v>6.5960000000000001</v>
      </c>
      <c r="O48" s="339">
        <f t="shared" si="2"/>
        <v>6.5960000000000001</v>
      </c>
      <c r="P48" s="347">
        <f t="shared" si="2"/>
        <v>3.56</v>
      </c>
    </row>
    <row r="49" spans="1:16" ht="16.5">
      <c r="A49" s="334"/>
      <c r="B49" s="335">
        <f>B47-B48</f>
        <v>14.140900000000002</v>
      </c>
      <c r="C49" s="348">
        <f>C47-C48</f>
        <v>7.4222999999999999</v>
      </c>
      <c r="D49" s="348">
        <f t="shared" ref="D49:P49" si="3">D47-D48</f>
        <v>14.140900000000002</v>
      </c>
      <c r="E49" s="348">
        <f t="shared" si="3"/>
        <v>14.140900000000002</v>
      </c>
      <c r="F49" s="348">
        <f t="shared" si="3"/>
        <v>14.140900000000002</v>
      </c>
      <c r="G49" s="348">
        <f t="shared" si="3"/>
        <v>14.140900000000002</v>
      </c>
      <c r="H49" s="348">
        <f t="shared" si="3"/>
        <v>14.140900000000002</v>
      </c>
      <c r="I49" s="348">
        <f t="shared" si="3"/>
        <v>11.492900000000002</v>
      </c>
      <c r="J49" s="348">
        <f t="shared" si="3"/>
        <v>14.140900000000002</v>
      </c>
      <c r="K49" s="348">
        <f t="shared" si="3"/>
        <v>14.140900000000002</v>
      </c>
      <c r="L49" s="348">
        <f t="shared" si="3"/>
        <v>14.140900000000002</v>
      </c>
      <c r="M49" s="348">
        <f t="shared" si="3"/>
        <v>14.140900000000002</v>
      </c>
      <c r="N49" s="348">
        <f t="shared" si="3"/>
        <v>14.140900000000002</v>
      </c>
      <c r="O49" s="348">
        <f t="shared" si="3"/>
        <v>14.140900000000002</v>
      </c>
      <c r="P49" s="349">
        <f t="shared" si="3"/>
        <v>17.176900000000003</v>
      </c>
    </row>
    <row r="50" spans="1:16" ht="16.5">
      <c r="A50" s="331" t="s">
        <v>155</v>
      </c>
      <c r="B50" s="350">
        <f>B43*A51</f>
        <v>18.4328</v>
      </c>
      <c r="C50" s="351">
        <f>C43*A51</f>
        <v>14.9976</v>
      </c>
      <c r="D50" s="351">
        <f>D43*A51</f>
        <v>18.4328</v>
      </c>
      <c r="E50" s="351">
        <f>E43*A51</f>
        <v>18.4328</v>
      </c>
      <c r="F50" s="351">
        <f>F43*A51</f>
        <v>18.4328</v>
      </c>
      <c r="G50" s="351">
        <f>G43*A51</f>
        <v>18.4328</v>
      </c>
      <c r="H50" s="351">
        <f>H43*A51</f>
        <v>18.4328</v>
      </c>
      <c r="I50" s="351">
        <f>I43*A51</f>
        <v>18.4328</v>
      </c>
      <c r="J50" s="351">
        <f>J43*A51</f>
        <v>18.4328</v>
      </c>
      <c r="K50" s="351">
        <f>K43*A51</f>
        <v>18.4328</v>
      </c>
      <c r="L50" s="351">
        <f>L43*A51</f>
        <v>18.4328</v>
      </c>
      <c r="M50" s="351">
        <f>M43*A51</f>
        <v>18.4328</v>
      </c>
      <c r="N50" s="351">
        <f>N43*A51</f>
        <v>18.4328</v>
      </c>
      <c r="O50" s="351">
        <f>O43*A51</f>
        <v>18.4328</v>
      </c>
      <c r="P50" s="354">
        <f>P43*A51</f>
        <v>18.4328</v>
      </c>
    </row>
    <row r="51" spans="1:16" ht="16.5">
      <c r="A51" s="341">
        <v>0.8</v>
      </c>
      <c r="B51" s="343">
        <f t="shared" ref="B51:P51" si="4">B44</f>
        <v>6.5960000000000001</v>
      </c>
      <c r="C51" s="344">
        <f t="shared" si="4"/>
        <v>9.4499999999999993</v>
      </c>
      <c r="D51" s="344">
        <f t="shared" si="4"/>
        <v>6.5960000000000001</v>
      </c>
      <c r="E51" s="344">
        <f t="shared" si="4"/>
        <v>6.5960000000000001</v>
      </c>
      <c r="F51" s="344">
        <f t="shared" si="4"/>
        <v>6.5960000000000001</v>
      </c>
      <c r="G51" s="344">
        <f t="shared" si="4"/>
        <v>6.5960000000000001</v>
      </c>
      <c r="H51" s="344">
        <f t="shared" si="4"/>
        <v>6.5960000000000001</v>
      </c>
      <c r="I51" s="344">
        <f t="shared" si="4"/>
        <v>9.2439999999999998</v>
      </c>
      <c r="J51" s="344">
        <f t="shared" si="4"/>
        <v>6.5960000000000001</v>
      </c>
      <c r="K51" s="344">
        <f t="shared" si="4"/>
        <v>6.5960000000000001</v>
      </c>
      <c r="L51" s="344">
        <f t="shared" si="4"/>
        <v>6.5960000000000001</v>
      </c>
      <c r="M51" s="344">
        <f t="shared" si="4"/>
        <v>6.5960000000000001</v>
      </c>
      <c r="N51" s="344">
        <f t="shared" si="4"/>
        <v>6.5960000000000001</v>
      </c>
      <c r="O51" s="344">
        <f t="shared" si="4"/>
        <v>6.5960000000000001</v>
      </c>
      <c r="P51" s="355">
        <f t="shared" si="4"/>
        <v>3.56</v>
      </c>
    </row>
    <row r="52" spans="1:16" ht="16.5">
      <c r="A52" s="332"/>
      <c r="B52" s="352">
        <f>B50-B51</f>
        <v>11.8368</v>
      </c>
      <c r="C52" s="353">
        <f>C50-C51</f>
        <v>5.547600000000001</v>
      </c>
      <c r="D52" s="353">
        <f t="shared" ref="D52:P52" si="5">D50-D51</f>
        <v>11.8368</v>
      </c>
      <c r="E52" s="353">
        <f t="shared" si="5"/>
        <v>11.8368</v>
      </c>
      <c r="F52" s="353">
        <f t="shared" si="5"/>
        <v>11.8368</v>
      </c>
      <c r="G52" s="353">
        <f t="shared" si="5"/>
        <v>11.8368</v>
      </c>
      <c r="H52" s="353">
        <f t="shared" si="5"/>
        <v>11.8368</v>
      </c>
      <c r="I52" s="353">
        <f t="shared" si="5"/>
        <v>9.1888000000000005</v>
      </c>
      <c r="J52" s="353">
        <f t="shared" si="5"/>
        <v>11.8368</v>
      </c>
      <c r="K52" s="353">
        <f t="shared" si="5"/>
        <v>11.8368</v>
      </c>
      <c r="L52" s="353">
        <f t="shared" si="5"/>
        <v>11.8368</v>
      </c>
      <c r="M52" s="353">
        <f t="shared" si="5"/>
        <v>11.8368</v>
      </c>
      <c r="N52" s="353">
        <f t="shared" si="5"/>
        <v>11.8368</v>
      </c>
      <c r="O52" s="353">
        <f t="shared" si="5"/>
        <v>11.8368</v>
      </c>
      <c r="P52" s="356">
        <f t="shared" si="5"/>
        <v>14.8728</v>
      </c>
    </row>
    <row r="53" spans="1:16" ht="16.5">
      <c r="A53" s="333" t="s">
        <v>155</v>
      </c>
      <c r="B53" s="336">
        <f>B43*A54</f>
        <v>16.128699999999998</v>
      </c>
      <c r="C53" s="337">
        <f>C43*A54</f>
        <v>13.1229</v>
      </c>
      <c r="D53" s="337">
        <f>D43*A54</f>
        <v>16.128699999999998</v>
      </c>
      <c r="E53" s="337">
        <f>E43*A54</f>
        <v>16.128699999999998</v>
      </c>
      <c r="F53" s="337">
        <f>F43*A54</f>
        <v>16.128699999999998</v>
      </c>
      <c r="G53" s="337">
        <f>G43*A54</f>
        <v>16.128699999999998</v>
      </c>
      <c r="H53" s="337">
        <f>H43*A54</f>
        <v>16.128699999999998</v>
      </c>
      <c r="I53" s="337">
        <f>I43*A54</f>
        <v>16.128699999999998</v>
      </c>
      <c r="J53" s="337">
        <f>J43*A54</f>
        <v>16.128699999999998</v>
      </c>
      <c r="K53" s="337">
        <f>K43*A54</f>
        <v>16.128699999999998</v>
      </c>
      <c r="L53" s="337">
        <f>L43*A54</f>
        <v>16.128699999999998</v>
      </c>
      <c r="M53" s="337">
        <f>M43*A54</f>
        <v>16.128699999999998</v>
      </c>
      <c r="N53" s="337">
        <f>N43*A54</f>
        <v>16.128699999999998</v>
      </c>
      <c r="O53" s="337">
        <f>O43*A54</f>
        <v>16.128699999999998</v>
      </c>
      <c r="P53" s="342">
        <f>P43*A54</f>
        <v>16.128699999999998</v>
      </c>
    </row>
    <row r="54" spans="1:16" ht="16.5">
      <c r="A54" s="340">
        <v>0.7</v>
      </c>
      <c r="B54" s="338">
        <f t="shared" ref="B54:P54" si="6">B44</f>
        <v>6.5960000000000001</v>
      </c>
      <c r="C54" s="339">
        <f t="shared" si="6"/>
        <v>9.4499999999999993</v>
      </c>
      <c r="D54" s="339">
        <f t="shared" si="6"/>
        <v>6.5960000000000001</v>
      </c>
      <c r="E54" s="339">
        <f t="shared" si="6"/>
        <v>6.5960000000000001</v>
      </c>
      <c r="F54" s="339">
        <f t="shared" si="6"/>
        <v>6.5960000000000001</v>
      </c>
      <c r="G54" s="339">
        <f t="shared" si="6"/>
        <v>6.5960000000000001</v>
      </c>
      <c r="H54" s="339">
        <f t="shared" si="6"/>
        <v>6.5960000000000001</v>
      </c>
      <c r="I54" s="339">
        <f t="shared" si="6"/>
        <v>9.2439999999999998</v>
      </c>
      <c r="J54" s="339">
        <f t="shared" si="6"/>
        <v>6.5960000000000001</v>
      </c>
      <c r="K54" s="339">
        <f t="shared" si="6"/>
        <v>6.5960000000000001</v>
      </c>
      <c r="L54" s="339">
        <f t="shared" si="6"/>
        <v>6.5960000000000001</v>
      </c>
      <c r="M54" s="339">
        <f t="shared" si="6"/>
        <v>6.5960000000000001</v>
      </c>
      <c r="N54" s="339">
        <f t="shared" si="6"/>
        <v>6.5960000000000001</v>
      </c>
      <c r="O54" s="339">
        <f t="shared" si="6"/>
        <v>6.5960000000000001</v>
      </c>
      <c r="P54" s="347">
        <f t="shared" si="6"/>
        <v>3.56</v>
      </c>
    </row>
    <row r="55" spans="1:16" ht="16.5">
      <c r="A55" s="334"/>
      <c r="B55" s="335">
        <f>B53-B54</f>
        <v>9.5326999999999984</v>
      </c>
      <c r="C55" s="348">
        <f>C53-C54</f>
        <v>3.6729000000000003</v>
      </c>
      <c r="D55" s="348">
        <f t="shared" ref="D55:P55" si="7">D53-D54</f>
        <v>9.5326999999999984</v>
      </c>
      <c r="E55" s="348">
        <f t="shared" si="7"/>
        <v>9.5326999999999984</v>
      </c>
      <c r="F55" s="348">
        <f t="shared" si="7"/>
        <v>9.5326999999999984</v>
      </c>
      <c r="G55" s="348">
        <f t="shared" si="7"/>
        <v>9.5326999999999984</v>
      </c>
      <c r="H55" s="348">
        <f t="shared" si="7"/>
        <v>9.5326999999999984</v>
      </c>
      <c r="I55" s="348">
        <f t="shared" si="7"/>
        <v>6.8846999999999987</v>
      </c>
      <c r="J55" s="348">
        <f t="shared" si="7"/>
        <v>9.5326999999999984</v>
      </c>
      <c r="K55" s="348">
        <f t="shared" si="7"/>
        <v>9.5326999999999984</v>
      </c>
      <c r="L55" s="348">
        <f t="shared" si="7"/>
        <v>9.5326999999999984</v>
      </c>
      <c r="M55" s="348">
        <f t="shared" si="7"/>
        <v>9.5326999999999984</v>
      </c>
      <c r="N55" s="348">
        <f t="shared" si="7"/>
        <v>9.5326999999999984</v>
      </c>
      <c r="O55" s="348">
        <f t="shared" si="7"/>
        <v>9.5326999999999984</v>
      </c>
      <c r="P55" s="349">
        <f t="shared" si="7"/>
        <v>12.568699999999998</v>
      </c>
    </row>
    <row r="56" spans="1:16" ht="16.5">
      <c r="A56" s="331" t="s">
        <v>155</v>
      </c>
      <c r="B56" s="350">
        <f>B43*A57</f>
        <v>13.8246</v>
      </c>
      <c r="C56" s="351">
        <f>C43*A57</f>
        <v>11.248199999999999</v>
      </c>
      <c r="D56" s="351">
        <f>D43*A57</f>
        <v>13.8246</v>
      </c>
      <c r="E56" s="351">
        <f>E43*A57</f>
        <v>13.8246</v>
      </c>
      <c r="F56" s="351">
        <f>F43*A57</f>
        <v>13.8246</v>
      </c>
      <c r="G56" s="351">
        <f>G43*A57</f>
        <v>13.8246</v>
      </c>
      <c r="H56" s="351">
        <f>H43*A57</f>
        <v>13.8246</v>
      </c>
      <c r="I56" s="351">
        <f>I43*A57</f>
        <v>13.8246</v>
      </c>
      <c r="J56" s="351">
        <f>J43*A57</f>
        <v>13.8246</v>
      </c>
      <c r="K56" s="351">
        <f>K43*A57</f>
        <v>13.8246</v>
      </c>
      <c r="L56" s="351">
        <f>L43*A57</f>
        <v>13.8246</v>
      </c>
      <c r="M56" s="351">
        <f>M43*A57</f>
        <v>13.8246</v>
      </c>
      <c r="N56" s="351">
        <f>N43*A57</f>
        <v>13.8246</v>
      </c>
      <c r="O56" s="351">
        <f>O43*A57</f>
        <v>13.8246</v>
      </c>
      <c r="P56" s="354">
        <f>P43*A57</f>
        <v>13.8246</v>
      </c>
    </row>
    <row r="57" spans="1:16" ht="16.5">
      <c r="A57" s="341">
        <v>0.6</v>
      </c>
      <c r="B57" s="343">
        <f t="shared" ref="B57:P57" si="8">B44</f>
        <v>6.5960000000000001</v>
      </c>
      <c r="C57" s="344">
        <f t="shared" si="8"/>
        <v>9.4499999999999993</v>
      </c>
      <c r="D57" s="344">
        <f t="shared" si="8"/>
        <v>6.5960000000000001</v>
      </c>
      <c r="E57" s="344">
        <f t="shared" si="8"/>
        <v>6.5960000000000001</v>
      </c>
      <c r="F57" s="344">
        <f t="shared" si="8"/>
        <v>6.5960000000000001</v>
      </c>
      <c r="G57" s="344">
        <f t="shared" si="8"/>
        <v>6.5960000000000001</v>
      </c>
      <c r="H57" s="344">
        <f t="shared" si="8"/>
        <v>6.5960000000000001</v>
      </c>
      <c r="I57" s="344">
        <f t="shared" si="8"/>
        <v>9.2439999999999998</v>
      </c>
      <c r="J57" s="344">
        <f t="shared" si="8"/>
        <v>6.5960000000000001</v>
      </c>
      <c r="K57" s="344">
        <f t="shared" si="8"/>
        <v>6.5960000000000001</v>
      </c>
      <c r="L57" s="344">
        <f t="shared" si="8"/>
        <v>6.5960000000000001</v>
      </c>
      <c r="M57" s="344">
        <f t="shared" si="8"/>
        <v>6.5960000000000001</v>
      </c>
      <c r="N57" s="344">
        <f t="shared" si="8"/>
        <v>6.5960000000000001</v>
      </c>
      <c r="O57" s="344">
        <f t="shared" si="8"/>
        <v>6.5960000000000001</v>
      </c>
      <c r="P57" s="355">
        <f t="shared" si="8"/>
        <v>3.56</v>
      </c>
    </row>
    <row r="58" spans="1:16" ht="16.5">
      <c r="A58" s="332"/>
      <c r="B58" s="352">
        <f>B56-B57</f>
        <v>7.2286000000000001</v>
      </c>
      <c r="C58" s="353">
        <f>C56-C57</f>
        <v>1.7981999999999996</v>
      </c>
      <c r="D58" s="353">
        <f t="shared" ref="D58:P58" si="9">D56-D57</f>
        <v>7.2286000000000001</v>
      </c>
      <c r="E58" s="353">
        <f t="shared" si="9"/>
        <v>7.2286000000000001</v>
      </c>
      <c r="F58" s="353">
        <f t="shared" si="9"/>
        <v>7.2286000000000001</v>
      </c>
      <c r="G58" s="353">
        <f t="shared" si="9"/>
        <v>7.2286000000000001</v>
      </c>
      <c r="H58" s="353">
        <f t="shared" si="9"/>
        <v>7.2286000000000001</v>
      </c>
      <c r="I58" s="353">
        <f t="shared" si="9"/>
        <v>4.5806000000000004</v>
      </c>
      <c r="J58" s="353">
        <f t="shared" si="9"/>
        <v>7.2286000000000001</v>
      </c>
      <c r="K58" s="353">
        <f t="shared" si="9"/>
        <v>7.2286000000000001</v>
      </c>
      <c r="L58" s="353">
        <f t="shared" si="9"/>
        <v>7.2286000000000001</v>
      </c>
      <c r="M58" s="353">
        <f t="shared" si="9"/>
        <v>7.2286000000000001</v>
      </c>
      <c r="N58" s="353">
        <f t="shared" si="9"/>
        <v>7.2286000000000001</v>
      </c>
      <c r="O58" s="353">
        <f t="shared" si="9"/>
        <v>7.2286000000000001</v>
      </c>
      <c r="P58" s="356">
        <f t="shared" si="9"/>
        <v>10.2646</v>
      </c>
    </row>
    <row r="59" spans="1:16" ht="16.5">
      <c r="A59" s="333" t="s">
        <v>155</v>
      </c>
      <c r="B59" s="336">
        <f>B43*A60</f>
        <v>11.5205</v>
      </c>
      <c r="C59" s="337">
        <f>C43*A60</f>
        <v>9.3734999999999999</v>
      </c>
      <c r="D59" s="337">
        <f>D43*A60</f>
        <v>11.5205</v>
      </c>
      <c r="E59" s="337">
        <f>E43*A60</f>
        <v>11.5205</v>
      </c>
      <c r="F59" s="337">
        <f>F43*A60</f>
        <v>11.5205</v>
      </c>
      <c r="G59" s="337">
        <f>G43*A60</f>
        <v>11.5205</v>
      </c>
      <c r="H59" s="337">
        <f>H43*A60</f>
        <v>11.5205</v>
      </c>
      <c r="I59" s="337">
        <f>I43*A60</f>
        <v>11.5205</v>
      </c>
      <c r="J59" s="337">
        <f>J43*A60</f>
        <v>11.5205</v>
      </c>
      <c r="K59" s="337">
        <f>K43*A60</f>
        <v>11.5205</v>
      </c>
      <c r="L59" s="337">
        <f>L43*A60</f>
        <v>11.5205</v>
      </c>
      <c r="M59" s="337">
        <f>M43*A60</f>
        <v>11.5205</v>
      </c>
      <c r="N59" s="337">
        <f>N43*A60</f>
        <v>11.5205</v>
      </c>
      <c r="O59" s="337">
        <f>O43*A60</f>
        <v>11.5205</v>
      </c>
      <c r="P59" s="342">
        <f>P43*A60</f>
        <v>11.5205</v>
      </c>
    </row>
    <row r="60" spans="1:16" ht="16.5">
      <c r="A60" s="340">
        <v>0.5</v>
      </c>
      <c r="B60" s="338">
        <f t="shared" ref="B60:P60" si="10">B44</f>
        <v>6.5960000000000001</v>
      </c>
      <c r="C60" s="339">
        <f t="shared" si="10"/>
        <v>9.4499999999999993</v>
      </c>
      <c r="D60" s="339">
        <f t="shared" si="10"/>
        <v>6.5960000000000001</v>
      </c>
      <c r="E60" s="339">
        <f t="shared" si="10"/>
        <v>6.5960000000000001</v>
      </c>
      <c r="F60" s="339">
        <f t="shared" si="10"/>
        <v>6.5960000000000001</v>
      </c>
      <c r="G60" s="339">
        <f t="shared" si="10"/>
        <v>6.5960000000000001</v>
      </c>
      <c r="H60" s="339">
        <f t="shared" si="10"/>
        <v>6.5960000000000001</v>
      </c>
      <c r="I60" s="339">
        <f t="shared" si="10"/>
        <v>9.2439999999999998</v>
      </c>
      <c r="J60" s="339">
        <f t="shared" si="10"/>
        <v>6.5960000000000001</v>
      </c>
      <c r="K60" s="339">
        <f t="shared" si="10"/>
        <v>6.5960000000000001</v>
      </c>
      <c r="L60" s="339">
        <f t="shared" si="10"/>
        <v>6.5960000000000001</v>
      </c>
      <c r="M60" s="339">
        <f t="shared" si="10"/>
        <v>6.5960000000000001</v>
      </c>
      <c r="N60" s="339">
        <f t="shared" si="10"/>
        <v>6.5960000000000001</v>
      </c>
      <c r="O60" s="339">
        <f t="shared" si="10"/>
        <v>6.5960000000000001</v>
      </c>
      <c r="P60" s="347">
        <f t="shared" si="10"/>
        <v>3.56</v>
      </c>
    </row>
    <row r="61" spans="1:16" ht="16.5">
      <c r="A61" s="334"/>
      <c r="B61" s="335">
        <f>B59-B60</f>
        <v>4.9245000000000001</v>
      </c>
      <c r="C61" s="348">
        <f>C59-C60</f>
        <v>-7.6499999999999346E-2</v>
      </c>
      <c r="D61" s="348">
        <f t="shared" ref="D61:P61" si="11">D59-D60</f>
        <v>4.9245000000000001</v>
      </c>
      <c r="E61" s="348">
        <f t="shared" si="11"/>
        <v>4.9245000000000001</v>
      </c>
      <c r="F61" s="348">
        <f t="shared" si="11"/>
        <v>4.9245000000000001</v>
      </c>
      <c r="G61" s="348">
        <f t="shared" si="11"/>
        <v>4.9245000000000001</v>
      </c>
      <c r="H61" s="348">
        <f t="shared" si="11"/>
        <v>4.9245000000000001</v>
      </c>
      <c r="I61" s="348">
        <f t="shared" si="11"/>
        <v>2.2765000000000004</v>
      </c>
      <c r="J61" s="348">
        <f t="shared" si="11"/>
        <v>4.9245000000000001</v>
      </c>
      <c r="K61" s="348">
        <f t="shared" si="11"/>
        <v>4.9245000000000001</v>
      </c>
      <c r="L61" s="348">
        <f t="shared" si="11"/>
        <v>4.9245000000000001</v>
      </c>
      <c r="M61" s="348">
        <f t="shared" si="11"/>
        <v>4.9245000000000001</v>
      </c>
      <c r="N61" s="348">
        <f t="shared" si="11"/>
        <v>4.9245000000000001</v>
      </c>
      <c r="O61" s="348">
        <f t="shared" si="11"/>
        <v>4.9245000000000001</v>
      </c>
      <c r="P61" s="349">
        <f t="shared" si="11"/>
        <v>7.9604999999999997</v>
      </c>
    </row>
    <row r="62" spans="1:16" ht="16.5">
      <c r="A62" s="331" t="s">
        <v>155</v>
      </c>
      <c r="B62" s="350">
        <f>B43*A63</f>
        <v>9.2164000000000001</v>
      </c>
      <c r="C62" s="351">
        <f>C43*A63</f>
        <v>7.4988000000000001</v>
      </c>
      <c r="D62" s="351">
        <f>D43*A63</f>
        <v>9.2164000000000001</v>
      </c>
      <c r="E62" s="351">
        <f>E43*A63</f>
        <v>9.2164000000000001</v>
      </c>
      <c r="F62" s="351">
        <f>F43*A63</f>
        <v>9.2164000000000001</v>
      </c>
      <c r="G62" s="351">
        <f>G43*A63</f>
        <v>9.2164000000000001</v>
      </c>
      <c r="H62" s="351">
        <f>H43*A63</f>
        <v>9.2164000000000001</v>
      </c>
      <c r="I62" s="351">
        <f>I43*A63</f>
        <v>9.2164000000000001</v>
      </c>
      <c r="J62" s="351">
        <f>J43*A63</f>
        <v>9.2164000000000001</v>
      </c>
      <c r="K62" s="351">
        <f>K43*A63</f>
        <v>9.2164000000000001</v>
      </c>
      <c r="L62" s="351">
        <f>L43*A63</f>
        <v>9.2164000000000001</v>
      </c>
      <c r="M62" s="351">
        <f>M43*A63</f>
        <v>9.2164000000000001</v>
      </c>
      <c r="N62" s="351">
        <f>N43*A63</f>
        <v>9.2164000000000001</v>
      </c>
      <c r="O62" s="351">
        <f>O43*A63</f>
        <v>9.2164000000000001</v>
      </c>
      <c r="P62" s="354">
        <f>P43*A63</f>
        <v>9.2164000000000001</v>
      </c>
    </row>
    <row r="63" spans="1:16" ht="16.5">
      <c r="A63" s="341">
        <v>0.4</v>
      </c>
      <c r="B63" s="343">
        <f t="shared" ref="B63:P63" si="12">B44</f>
        <v>6.5960000000000001</v>
      </c>
      <c r="C63" s="344">
        <f t="shared" si="12"/>
        <v>9.4499999999999993</v>
      </c>
      <c r="D63" s="344">
        <f t="shared" si="12"/>
        <v>6.5960000000000001</v>
      </c>
      <c r="E63" s="344">
        <f t="shared" si="12"/>
        <v>6.5960000000000001</v>
      </c>
      <c r="F63" s="344">
        <f t="shared" si="12"/>
        <v>6.5960000000000001</v>
      </c>
      <c r="G63" s="344">
        <f t="shared" si="12"/>
        <v>6.5960000000000001</v>
      </c>
      <c r="H63" s="344">
        <f t="shared" si="12"/>
        <v>6.5960000000000001</v>
      </c>
      <c r="I63" s="344">
        <f t="shared" si="12"/>
        <v>9.2439999999999998</v>
      </c>
      <c r="J63" s="344">
        <f t="shared" si="12"/>
        <v>6.5960000000000001</v>
      </c>
      <c r="K63" s="344">
        <f t="shared" si="12"/>
        <v>6.5960000000000001</v>
      </c>
      <c r="L63" s="344">
        <f t="shared" si="12"/>
        <v>6.5960000000000001</v>
      </c>
      <c r="M63" s="344">
        <f t="shared" si="12"/>
        <v>6.5960000000000001</v>
      </c>
      <c r="N63" s="344">
        <f t="shared" si="12"/>
        <v>6.5960000000000001</v>
      </c>
      <c r="O63" s="344">
        <f t="shared" si="12"/>
        <v>6.5960000000000001</v>
      </c>
      <c r="P63" s="355">
        <f t="shared" si="12"/>
        <v>3.56</v>
      </c>
    </row>
    <row r="64" spans="1:16" ht="16.5">
      <c r="A64" s="332"/>
      <c r="B64" s="352">
        <f>B62-B63</f>
        <v>2.6204000000000001</v>
      </c>
      <c r="C64" s="353">
        <f>C62-C63</f>
        <v>-1.9511999999999992</v>
      </c>
      <c r="D64" s="353">
        <f t="shared" ref="D64:P64" si="13">D62-D63</f>
        <v>2.6204000000000001</v>
      </c>
      <c r="E64" s="353">
        <f t="shared" si="13"/>
        <v>2.6204000000000001</v>
      </c>
      <c r="F64" s="353">
        <f t="shared" si="13"/>
        <v>2.6204000000000001</v>
      </c>
      <c r="G64" s="353">
        <f t="shared" si="13"/>
        <v>2.6204000000000001</v>
      </c>
      <c r="H64" s="353">
        <f t="shared" si="13"/>
        <v>2.6204000000000001</v>
      </c>
      <c r="I64" s="353">
        <f t="shared" si="13"/>
        <v>-2.7599999999999625E-2</v>
      </c>
      <c r="J64" s="353">
        <f t="shared" si="13"/>
        <v>2.6204000000000001</v>
      </c>
      <c r="K64" s="353">
        <f t="shared" si="13"/>
        <v>2.6204000000000001</v>
      </c>
      <c r="L64" s="353">
        <f t="shared" si="13"/>
        <v>2.6204000000000001</v>
      </c>
      <c r="M64" s="353">
        <f t="shared" si="13"/>
        <v>2.6204000000000001</v>
      </c>
      <c r="N64" s="353">
        <f t="shared" si="13"/>
        <v>2.6204000000000001</v>
      </c>
      <c r="O64" s="353">
        <f t="shared" si="13"/>
        <v>2.6204000000000001</v>
      </c>
      <c r="P64" s="356">
        <f t="shared" si="13"/>
        <v>5.6563999999999997</v>
      </c>
    </row>
    <row r="65" spans="1:16" ht="16.5">
      <c r="A65" s="333" t="s">
        <v>155</v>
      </c>
      <c r="B65" s="336">
        <f>B43*A66</f>
        <v>6.9123000000000001</v>
      </c>
      <c r="C65" s="337">
        <f>C43*A66</f>
        <v>5.6240999999999994</v>
      </c>
      <c r="D65" s="337">
        <f>D43*A66</f>
        <v>6.9123000000000001</v>
      </c>
      <c r="E65" s="337">
        <f>E43*A66</f>
        <v>6.9123000000000001</v>
      </c>
      <c r="F65" s="337">
        <f>F43*A66</f>
        <v>6.9123000000000001</v>
      </c>
      <c r="G65" s="337">
        <f>G43*A66</f>
        <v>6.9123000000000001</v>
      </c>
      <c r="H65" s="337">
        <f>H43*A66</f>
        <v>6.9123000000000001</v>
      </c>
      <c r="I65" s="337">
        <f>I43*A66</f>
        <v>6.9123000000000001</v>
      </c>
      <c r="J65" s="337">
        <f>J43*A66</f>
        <v>6.9123000000000001</v>
      </c>
      <c r="K65" s="337">
        <f>K43*A66</f>
        <v>6.9123000000000001</v>
      </c>
      <c r="L65" s="337">
        <f>L43*A66</f>
        <v>6.9123000000000001</v>
      </c>
      <c r="M65" s="337">
        <f>M43*A66</f>
        <v>6.9123000000000001</v>
      </c>
      <c r="N65" s="337">
        <f>N43*A66</f>
        <v>6.9123000000000001</v>
      </c>
      <c r="O65" s="337">
        <f>O43*A66</f>
        <v>6.9123000000000001</v>
      </c>
      <c r="P65" s="342">
        <f>P43*A66</f>
        <v>6.9123000000000001</v>
      </c>
    </row>
    <row r="66" spans="1:16" ht="16.5">
      <c r="A66" s="340">
        <v>0.3</v>
      </c>
      <c r="B66" s="338">
        <f t="shared" ref="B66:P66" si="14">B44</f>
        <v>6.5960000000000001</v>
      </c>
      <c r="C66" s="339">
        <f t="shared" si="14"/>
        <v>9.4499999999999993</v>
      </c>
      <c r="D66" s="339">
        <f t="shared" si="14"/>
        <v>6.5960000000000001</v>
      </c>
      <c r="E66" s="339">
        <f t="shared" si="14"/>
        <v>6.5960000000000001</v>
      </c>
      <c r="F66" s="339">
        <f t="shared" si="14"/>
        <v>6.5960000000000001</v>
      </c>
      <c r="G66" s="339">
        <f t="shared" si="14"/>
        <v>6.5960000000000001</v>
      </c>
      <c r="H66" s="339">
        <f t="shared" si="14"/>
        <v>6.5960000000000001</v>
      </c>
      <c r="I66" s="339">
        <f t="shared" si="14"/>
        <v>9.2439999999999998</v>
      </c>
      <c r="J66" s="339">
        <f t="shared" si="14"/>
        <v>6.5960000000000001</v>
      </c>
      <c r="K66" s="339">
        <f t="shared" si="14"/>
        <v>6.5960000000000001</v>
      </c>
      <c r="L66" s="339">
        <f t="shared" si="14"/>
        <v>6.5960000000000001</v>
      </c>
      <c r="M66" s="339">
        <f t="shared" si="14"/>
        <v>6.5960000000000001</v>
      </c>
      <c r="N66" s="339">
        <f t="shared" si="14"/>
        <v>6.5960000000000001</v>
      </c>
      <c r="O66" s="339">
        <f t="shared" si="14"/>
        <v>6.5960000000000001</v>
      </c>
      <c r="P66" s="347">
        <f t="shared" si="14"/>
        <v>3.56</v>
      </c>
    </row>
    <row r="67" spans="1:16" ht="16.5">
      <c r="A67" s="334"/>
      <c r="B67" s="335">
        <f>B65-B66</f>
        <v>0.31630000000000003</v>
      </c>
      <c r="C67" s="348">
        <f>C65-C66</f>
        <v>-3.8258999999999999</v>
      </c>
      <c r="D67" s="348">
        <f t="shared" ref="D67:P67" si="15">D65-D66</f>
        <v>0.31630000000000003</v>
      </c>
      <c r="E67" s="348">
        <f t="shared" si="15"/>
        <v>0.31630000000000003</v>
      </c>
      <c r="F67" s="348">
        <f t="shared" si="15"/>
        <v>0.31630000000000003</v>
      </c>
      <c r="G67" s="348">
        <f t="shared" si="15"/>
        <v>0.31630000000000003</v>
      </c>
      <c r="H67" s="348">
        <f t="shared" si="15"/>
        <v>0.31630000000000003</v>
      </c>
      <c r="I67" s="348">
        <f t="shared" si="15"/>
        <v>-2.3316999999999997</v>
      </c>
      <c r="J67" s="348">
        <f t="shared" si="15"/>
        <v>0.31630000000000003</v>
      </c>
      <c r="K67" s="348">
        <f t="shared" si="15"/>
        <v>0.31630000000000003</v>
      </c>
      <c r="L67" s="348">
        <f t="shared" si="15"/>
        <v>0.31630000000000003</v>
      </c>
      <c r="M67" s="348">
        <f t="shared" si="15"/>
        <v>0.31630000000000003</v>
      </c>
      <c r="N67" s="348">
        <f t="shared" si="15"/>
        <v>0.31630000000000003</v>
      </c>
      <c r="O67" s="348">
        <f t="shared" si="15"/>
        <v>0.31630000000000003</v>
      </c>
      <c r="P67" s="349">
        <f t="shared" si="15"/>
        <v>3.3523000000000001</v>
      </c>
    </row>
    <row r="68" spans="1:16" ht="16.5">
      <c r="A68" s="331" t="s">
        <v>155</v>
      </c>
      <c r="B68" s="350">
        <f>B43*A69</f>
        <v>4.6082000000000001</v>
      </c>
      <c r="C68" s="351">
        <f>C43*A69</f>
        <v>3.7494000000000001</v>
      </c>
      <c r="D68" s="351">
        <f>D43*A69</f>
        <v>4.6082000000000001</v>
      </c>
      <c r="E68" s="351">
        <f>E43*A69</f>
        <v>4.6082000000000001</v>
      </c>
      <c r="F68" s="351">
        <f>F43*A69</f>
        <v>4.6082000000000001</v>
      </c>
      <c r="G68" s="351">
        <f>G43*A69</f>
        <v>4.6082000000000001</v>
      </c>
      <c r="H68" s="351">
        <f>H43*A69</f>
        <v>4.6082000000000001</v>
      </c>
      <c r="I68" s="351">
        <f>I43*A69</f>
        <v>4.6082000000000001</v>
      </c>
      <c r="J68" s="351">
        <f>J43*A69</f>
        <v>4.6082000000000001</v>
      </c>
      <c r="K68" s="351">
        <f>K43*A69</f>
        <v>4.6082000000000001</v>
      </c>
      <c r="L68" s="351">
        <f>L43*A69</f>
        <v>4.6082000000000001</v>
      </c>
      <c r="M68" s="351">
        <f>M43*A69</f>
        <v>4.6082000000000001</v>
      </c>
      <c r="N68" s="351">
        <f>N43*J69</f>
        <v>151.97843600000002</v>
      </c>
      <c r="O68" s="351">
        <f>O43*A69</f>
        <v>4.6082000000000001</v>
      </c>
      <c r="P68" s="354">
        <f>P43*A69</f>
        <v>4.6082000000000001</v>
      </c>
    </row>
    <row r="69" spans="1:16" ht="16.5">
      <c r="A69" s="341">
        <v>0.2</v>
      </c>
      <c r="B69" s="343">
        <f t="shared" ref="B69:P69" si="16">B44</f>
        <v>6.5960000000000001</v>
      </c>
      <c r="C69" s="344">
        <f t="shared" si="16"/>
        <v>9.4499999999999993</v>
      </c>
      <c r="D69" s="344">
        <f t="shared" si="16"/>
        <v>6.5960000000000001</v>
      </c>
      <c r="E69" s="344">
        <f t="shared" si="16"/>
        <v>6.5960000000000001</v>
      </c>
      <c r="F69" s="344">
        <f t="shared" si="16"/>
        <v>6.5960000000000001</v>
      </c>
      <c r="G69" s="344">
        <f t="shared" si="16"/>
        <v>6.5960000000000001</v>
      </c>
      <c r="H69" s="344">
        <f t="shared" si="16"/>
        <v>6.5960000000000001</v>
      </c>
      <c r="I69" s="344">
        <f t="shared" si="16"/>
        <v>9.2439999999999998</v>
      </c>
      <c r="J69" s="344">
        <f t="shared" si="16"/>
        <v>6.5960000000000001</v>
      </c>
      <c r="K69" s="344">
        <f t="shared" si="16"/>
        <v>6.5960000000000001</v>
      </c>
      <c r="L69" s="344">
        <f t="shared" si="16"/>
        <v>6.5960000000000001</v>
      </c>
      <c r="M69" s="344">
        <f t="shared" si="16"/>
        <v>6.5960000000000001</v>
      </c>
      <c r="N69" s="344">
        <f t="shared" si="16"/>
        <v>6.5960000000000001</v>
      </c>
      <c r="O69" s="344">
        <f t="shared" si="16"/>
        <v>6.5960000000000001</v>
      </c>
      <c r="P69" s="355">
        <f t="shared" si="16"/>
        <v>3.56</v>
      </c>
    </row>
    <row r="70" spans="1:16" ht="16.5">
      <c r="A70" s="332"/>
      <c r="B70" s="352">
        <f>B68-B69</f>
        <v>-1.9878</v>
      </c>
      <c r="C70" s="353">
        <f>C68-C69</f>
        <v>-5.7005999999999997</v>
      </c>
      <c r="D70" s="353">
        <f t="shared" ref="D70:P70" si="17">D68-D69</f>
        <v>-1.9878</v>
      </c>
      <c r="E70" s="353">
        <f t="shared" si="17"/>
        <v>-1.9878</v>
      </c>
      <c r="F70" s="353">
        <f t="shared" si="17"/>
        <v>-1.9878</v>
      </c>
      <c r="G70" s="353">
        <f t="shared" si="17"/>
        <v>-1.9878</v>
      </c>
      <c r="H70" s="353">
        <f t="shared" si="17"/>
        <v>-1.9878</v>
      </c>
      <c r="I70" s="353">
        <f t="shared" si="17"/>
        <v>-4.6357999999999997</v>
      </c>
      <c r="J70" s="353">
        <f t="shared" si="17"/>
        <v>-1.9878</v>
      </c>
      <c r="K70" s="353">
        <f t="shared" si="17"/>
        <v>-1.9878</v>
      </c>
      <c r="L70" s="353">
        <f t="shared" si="17"/>
        <v>-1.9878</v>
      </c>
      <c r="M70" s="353">
        <f t="shared" si="17"/>
        <v>-1.9878</v>
      </c>
      <c r="N70" s="353">
        <f t="shared" si="17"/>
        <v>145.38243600000001</v>
      </c>
      <c r="O70" s="353">
        <f t="shared" si="17"/>
        <v>-1.9878</v>
      </c>
      <c r="P70" s="356">
        <f t="shared" si="17"/>
        <v>1.0482</v>
      </c>
    </row>
    <row r="71" spans="1:16" ht="16.5">
      <c r="A71" s="333" t="s">
        <v>155</v>
      </c>
      <c r="B71" s="336">
        <f>B43*A72</f>
        <v>2.3041</v>
      </c>
      <c r="C71" s="337">
        <f>C43*A72</f>
        <v>1.8747</v>
      </c>
      <c r="D71" s="337">
        <f>D43*A72</f>
        <v>2.3041</v>
      </c>
      <c r="E71" s="337">
        <f>E43*A72</f>
        <v>2.3041</v>
      </c>
      <c r="F71" s="337">
        <f>F43*A72</f>
        <v>2.3041</v>
      </c>
      <c r="G71" s="337">
        <f>G43*A72</f>
        <v>2.3041</v>
      </c>
      <c r="H71" s="337">
        <f>H43*A72</f>
        <v>2.3041</v>
      </c>
      <c r="I71" s="337">
        <f>I43*A72</f>
        <v>2.3041</v>
      </c>
      <c r="J71" s="337">
        <f>J43*A72</f>
        <v>2.3041</v>
      </c>
      <c r="K71" s="337">
        <f>K43*A72</f>
        <v>2.3041</v>
      </c>
      <c r="L71" s="337">
        <f>L43*A72</f>
        <v>2.3041</v>
      </c>
      <c r="M71" s="337">
        <f>M43*A72</f>
        <v>2.3041</v>
      </c>
      <c r="N71" s="337">
        <f>N43*A72</f>
        <v>2.3041</v>
      </c>
      <c r="O71" s="337">
        <f>O43*A72</f>
        <v>2.3041</v>
      </c>
      <c r="P71" s="342">
        <f>P43*A72</f>
        <v>2.3041</v>
      </c>
    </row>
    <row r="72" spans="1:16" ht="16.5">
      <c r="A72" s="340">
        <v>0.1</v>
      </c>
      <c r="B72" s="338">
        <f t="shared" ref="B72:P72" si="18">B44</f>
        <v>6.5960000000000001</v>
      </c>
      <c r="C72" s="339">
        <f t="shared" si="18"/>
        <v>9.4499999999999993</v>
      </c>
      <c r="D72" s="339">
        <f t="shared" si="18"/>
        <v>6.5960000000000001</v>
      </c>
      <c r="E72" s="339">
        <f t="shared" si="18"/>
        <v>6.5960000000000001</v>
      </c>
      <c r="F72" s="339">
        <f t="shared" si="18"/>
        <v>6.5960000000000001</v>
      </c>
      <c r="G72" s="339">
        <f t="shared" si="18"/>
        <v>6.5960000000000001</v>
      </c>
      <c r="H72" s="339">
        <f t="shared" si="18"/>
        <v>6.5960000000000001</v>
      </c>
      <c r="I72" s="339">
        <f t="shared" si="18"/>
        <v>9.2439999999999998</v>
      </c>
      <c r="J72" s="339">
        <f t="shared" si="18"/>
        <v>6.5960000000000001</v>
      </c>
      <c r="K72" s="339">
        <f t="shared" si="18"/>
        <v>6.5960000000000001</v>
      </c>
      <c r="L72" s="339">
        <f t="shared" si="18"/>
        <v>6.5960000000000001</v>
      </c>
      <c r="M72" s="339">
        <f t="shared" si="18"/>
        <v>6.5960000000000001</v>
      </c>
      <c r="N72" s="339">
        <f t="shared" si="18"/>
        <v>6.5960000000000001</v>
      </c>
      <c r="O72" s="339">
        <f t="shared" si="18"/>
        <v>6.5960000000000001</v>
      </c>
      <c r="P72" s="347">
        <f t="shared" si="18"/>
        <v>3.56</v>
      </c>
    </row>
    <row r="73" spans="1:16" ht="16.5">
      <c r="A73" s="334"/>
      <c r="B73" s="335">
        <f>B71-B72</f>
        <v>-4.2919</v>
      </c>
      <c r="C73" s="348">
        <f>C71-C72</f>
        <v>-7.5752999999999995</v>
      </c>
      <c r="D73" s="348">
        <f t="shared" ref="D73:P73" si="19">D71-D72</f>
        <v>-4.2919</v>
      </c>
      <c r="E73" s="348">
        <f t="shared" si="19"/>
        <v>-4.2919</v>
      </c>
      <c r="F73" s="348">
        <f t="shared" si="19"/>
        <v>-4.2919</v>
      </c>
      <c r="G73" s="348">
        <f t="shared" si="19"/>
        <v>-4.2919</v>
      </c>
      <c r="H73" s="348">
        <f t="shared" si="19"/>
        <v>-4.2919</v>
      </c>
      <c r="I73" s="348">
        <f t="shared" si="19"/>
        <v>-6.9398999999999997</v>
      </c>
      <c r="J73" s="348">
        <f t="shared" si="19"/>
        <v>-4.2919</v>
      </c>
      <c r="K73" s="348">
        <f t="shared" si="19"/>
        <v>-4.2919</v>
      </c>
      <c r="L73" s="348">
        <f t="shared" si="19"/>
        <v>-4.2919</v>
      </c>
      <c r="M73" s="348">
        <f t="shared" si="19"/>
        <v>-4.2919</v>
      </c>
      <c r="N73" s="348">
        <f t="shared" si="19"/>
        <v>-4.2919</v>
      </c>
      <c r="O73" s="348">
        <f t="shared" si="19"/>
        <v>-4.2919</v>
      </c>
      <c r="P73" s="349">
        <f t="shared" si="19"/>
        <v>-1.2559</v>
      </c>
    </row>
    <row r="74" spans="1:16" ht="16.5">
      <c r="A74" s="331" t="s">
        <v>155</v>
      </c>
      <c r="B74" s="350">
        <f>B43*A75</f>
        <v>0</v>
      </c>
      <c r="C74" s="351">
        <f>C43*A75</f>
        <v>0</v>
      </c>
      <c r="D74" s="351">
        <f>D43*A75</f>
        <v>0</v>
      </c>
      <c r="E74" s="351">
        <f>E43*A75</f>
        <v>0</v>
      </c>
      <c r="F74" s="351">
        <f>F43*A75</f>
        <v>0</v>
      </c>
      <c r="G74" s="351">
        <f>G43*A75</f>
        <v>0</v>
      </c>
      <c r="H74" s="351">
        <f>H43*A75</f>
        <v>0</v>
      </c>
      <c r="I74" s="351">
        <f>I43*A75</f>
        <v>0</v>
      </c>
      <c r="J74" s="351">
        <f>J43*A75</f>
        <v>0</v>
      </c>
      <c r="K74" s="351">
        <f>K43*A75</f>
        <v>0</v>
      </c>
      <c r="L74" s="351">
        <f>L43*A75</f>
        <v>0</v>
      </c>
      <c r="M74" s="351">
        <f>M43*A75</f>
        <v>0</v>
      </c>
      <c r="N74" s="351">
        <f>N43*A75</f>
        <v>0</v>
      </c>
      <c r="O74" s="351">
        <f>O43*A75</f>
        <v>0</v>
      </c>
      <c r="P74" s="354">
        <f>P43*A75</f>
        <v>0</v>
      </c>
    </row>
    <row r="75" spans="1:16" ht="16.5">
      <c r="A75" s="341">
        <v>0</v>
      </c>
      <c r="B75" s="343">
        <f t="shared" ref="B75:P75" si="20">B44</f>
        <v>6.5960000000000001</v>
      </c>
      <c r="C75" s="344">
        <f t="shared" si="20"/>
        <v>9.4499999999999993</v>
      </c>
      <c r="D75" s="344">
        <f t="shared" si="20"/>
        <v>6.5960000000000001</v>
      </c>
      <c r="E75" s="344">
        <f t="shared" si="20"/>
        <v>6.5960000000000001</v>
      </c>
      <c r="F75" s="344">
        <f t="shared" si="20"/>
        <v>6.5960000000000001</v>
      </c>
      <c r="G75" s="344">
        <f t="shared" si="20"/>
        <v>6.5960000000000001</v>
      </c>
      <c r="H75" s="344">
        <f t="shared" si="20"/>
        <v>6.5960000000000001</v>
      </c>
      <c r="I75" s="344">
        <f t="shared" si="20"/>
        <v>9.2439999999999998</v>
      </c>
      <c r="J75" s="344">
        <f t="shared" si="20"/>
        <v>6.5960000000000001</v>
      </c>
      <c r="K75" s="344">
        <f t="shared" si="20"/>
        <v>6.5960000000000001</v>
      </c>
      <c r="L75" s="344">
        <f t="shared" si="20"/>
        <v>6.5960000000000001</v>
      </c>
      <c r="M75" s="344">
        <f t="shared" si="20"/>
        <v>6.5960000000000001</v>
      </c>
      <c r="N75" s="344">
        <f t="shared" si="20"/>
        <v>6.5960000000000001</v>
      </c>
      <c r="O75" s="344">
        <f t="shared" si="20"/>
        <v>6.5960000000000001</v>
      </c>
      <c r="P75" s="355">
        <f t="shared" si="20"/>
        <v>3.56</v>
      </c>
    </row>
    <row r="76" spans="1:16" ht="16.5">
      <c r="A76" s="332"/>
      <c r="B76" s="345">
        <f>B74-B75</f>
        <v>-6.5960000000000001</v>
      </c>
      <c r="C76" s="346">
        <f>C74-C75</f>
        <v>-9.4499999999999993</v>
      </c>
      <c r="D76" s="346">
        <f t="shared" ref="D76:P76" si="21">D74-D75</f>
        <v>-6.5960000000000001</v>
      </c>
      <c r="E76" s="346">
        <f t="shared" si="21"/>
        <v>-6.5960000000000001</v>
      </c>
      <c r="F76" s="346">
        <f t="shared" si="21"/>
        <v>-6.5960000000000001</v>
      </c>
      <c r="G76" s="346">
        <f t="shared" si="21"/>
        <v>-6.5960000000000001</v>
      </c>
      <c r="H76" s="346">
        <f t="shared" si="21"/>
        <v>-6.5960000000000001</v>
      </c>
      <c r="I76" s="346">
        <f t="shared" si="21"/>
        <v>-9.2439999999999998</v>
      </c>
      <c r="J76" s="346">
        <f t="shared" si="21"/>
        <v>-6.5960000000000001</v>
      </c>
      <c r="K76" s="346">
        <f t="shared" si="21"/>
        <v>-6.5960000000000001</v>
      </c>
      <c r="L76" s="346">
        <f t="shared" si="21"/>
        <v>-6.5960000000000001</v>
      </c>
      <c r="M76" s="346">
        <f t="shared" si="21"/>
        <v>-6.5960000000000001</v>
      </c>
      <c r="N76" s="346">
        <f t="shared" si="21"/>
        <v>-6.5960000000000001</v>
      </c>
      <c r="O76" s="346">
        <f t="shared" si="21"/>
        <v>-6.5960000000000001</v>
      </c>
      <c r="P76" s="357">
        <f t="shared" si="21"/>
        <v>-3.56</v>
      </c>
    </row>
  </sheetData>
  <mergeCells count="58">
    <mergeCell ref="B27:B28"/>
    <mergeCell ref="B30:B34"/>
    <mergeCell ref="B36:B40"/>
    <mergeCell ref="C36:C40"/>
    <mergeCell ref="H36:H40"/>
    <mergeCell ref="H30:H34"/>
    <mergeCell ref="G36:G40"/>
    <mergeCell ref="G30:G34"/>
    <mergeCell ref="F36:F40"/>
    <mergeCell ref="F30:F34"/>
    <mergeCell ref="E36:E40"/>
    <mergeCell ref="E30:E34"/>
    <mergeCell ref="D36:D40"/>
    <mergeCell ref="D30:D34"/>
    <mergeCell ref="M36:M40"/>
    <mergeCell ref="M30:M34"/>
    <mergeCell ref="I30:I34"/>
    <mergeCell ref="P36:P37"/>
    <mergeCell ref="L36:L40"/>
    <mergeCell ref="L30:L34"/>
    <mergeCell ref="K36:K40"/>
    <mergeCell ref="K30:K34"/>
    <mergeCell ref="J36:J40"/>
    <mergeCell ref="J30:J34"/>
    <mergeCell ref="P30:P34"/>
    <mergeCell ref="O36:O40"/>
    <mergeCell ref="O30:O34"/>
    <mergeCell ref="N36:N40"/>
    <mergeCell ref="N30:N34"/>
    <mergeCell ref="B3:B4"/>
    <mergeCell ref="B6:B10"/>
    <mergeCell ref="B12:B16"/>
    <mergeCell ref="C12:C16"/>
    <mergeCell ref="H12:H16"/>
    <mergeCell ref="H6:H10"/>
    <mergeCell ref="G12:G16"/>
    <mergeCell ref="G6:G10"/>
    <mergeCell ref="F12:F16"/>
    <mergeCell ref="F6:F10"/>
    <mergeCell ref="E12:E16"/>
    <mergeCell ref="E6:E10"/>
    <mergeCell ref="D12:D16"/>
    <mergeCell ref="D6:D10"/>
    <mergeCell ref="M12:M16"/>
    <mergeCell ref="M6:M10"/>
    <mergeCell ref="I6:I10"/>
    <mergeCell ref="P12:P13"/>
    <mergeCell ref="L12:L16"/>
    <mergeCell ref="L6:L10"/>
    <mergeCell ref="K12:K16"/>
    <mergeCell ref="K6:K10"/>
    <mergeCell ref="J12:J16"/>
    <mergeCell ref="J6:J10"/>
    <mergeCell ref="P6:P10"/>
    <mergeCell ref="O12:O16"/>
    <mergeCell ref="O6:O10"/>
    <mergeCell ref="N12:N16"/>
    <mergeCell ref="N6:N10"/>
  </mergeCells>
  <phoneticPr fontId="9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7CF-CACE-41C6-B4DB-4538C74D1387}">
  <dimension ref="B1:X52"/>
  <sheetViews>
    <sheetView zoomScale="85" zoomScaleNormal="85" workbookViewId="0">
      <pane xSplit="5" topLeftCell="I1" activePane="topRight" state="frozen"/>
      <selection pane="topRight" activeCell="T38" sqref="T3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30.125" style="1" bestFit="1" customWidth="1"/>
    <col min="20" max="20" width="13.375" style="1" bestFit="1" customWidth="1"/>
    <col min="21" max="21" width="4.375" style="1" bestFit="1" customWidth="1"/>
    <col min="22" max="22" width="10.625" style="1" bestFit="1" customWidth="1"/>
    <col min="23" max="23" width="20.125" style="1" bestFit="1" customWidth="1"/>
    <col min="24" max="24" width="13.375" style="1" bestFit="1" customWidth="1"/>
    <col min="25" max="25" width="12.875" style="1" bestFit="1" customWidth="1"/>
    <col min="26" max="26" width="24.625" style="1" bestFit="1" customWidth="1"/>
    <col min="27" max="27" width="13.125" style="1" bestFit="1" customWidth="1"/>
    <col min="28" max="16384" width="9.125" style="1"/>
  </cols>
  <sheetData>
    <row r="1" spans="2:24" ht="15" thickBot="1"/>
    <row r="2" spans="2:24" ht="13.9" customHeight="1" thickBot="1">
      <c r="B2" s="127" t="s">
        <v>154</v>
      </c>
      <c r="C2" s="599" t="s">
        <v>224</v>
      </c>
      <c r="D2" s="601"/>
      <c r="E2" s="127" t="s">
        <v>71</v>
      </c>
      <c r="F2" s="127" t="s">
        <v>256</v>
      </c>
      <c r="G2" s="127" t="s">
        <v>243</v>
      </c>
      <c r="H2" s="127" t="s">
        <v>231</v>
      </c>
      <c r="I2" s="127" t="s">
        <v>53</v>
      </c>
      <c r="J2" s="152" t="s">
        <v>174</v>
      </c>
      <c r="K2" s="599" t="s">
        <v>6</v>
      </c>
      <c r="L2" s="600"/>
      <c r="M2" s="601"/>
      <c r="N2" s="599" t="s">
        <v>76</v>
      </c>
      <c r="O2" s="600"/>
      <c r="P2" s="601"/>
      <c r="R2" s="127" t="s">
        <v>93</v>
      </c>
      <c r="S2" s="599" t="s">
        <v>158</v>
      </c>
      <c r="T2" s="600"/>
      <c r="U2" s="601"/>
      <c r="V2" s="391"/>
      <c r="W2" s="244" t="s">
        <v>91</v>
      </c>
      <c r="X2" s="168"/>
    </row>
    <row r="3" spans="2:24">
      <c r="B3" s="670"/>
      <c r="C3" s="677"/>
      <c r="D3" s="678"/>
      <c r="E3" s="670"/>
      <c r="F3" s="670"/>
      <c r="G3" s="670"/>
      <c r="H3" s="670"/>
      <c r="I3" s="670"/>
      <c r="J3" s="670"/>
      <c r="K3" s="655" t="s">
        <v>56</v>
      </c>
      <c r="L3" s="666" t="s">
        <v>73</v>
      </c>
      <c r="M3" s="668" t="s">
        <v>90</v>
      </c>
      <c r="N3" s="655" t="s">
        <v>52</v>
      </c>
      <c r="O3" s="666" t="s">
        <v>73</v>
      </c>
      <c r="P3" s="668" t="s">
        <v>90</v>
      </c>
      <c r="Q3" s="1" t="s">
        <v>53</v>
      </c>
      <c r="R3" s="154" t="s">
        <v>136</v>
      </c>
      <c r="S3" s="305"/>
      <c r="T3" s="468" t="s">
        <v>136</v>
      </c>
      <c r="U3" s="371"/>
      <c r="W3" s="124" t="s">
        <v>181</v>
      </c>
      <c r="X3" s="123">
        <f>parameter!C8</f>
        <v>5676.9848887954295</v>
      </c>
    </row>
    <row r="4" spans="2:24" ht="15" thickBot="1">
      <c r="B4" s="671"/>
      <c r="C4" s="679"/>
      <c r="D4" s="680"/>
      <c r="E4" s="671"/>
      <c r="F4" s="671"/>
      <c r="G4" s="671"/>
      <c r="H4" s="671"/>
      <c r="I4" s="671"/>
      <c r="J4" s="671"/>
      <c r="K4" s="657"/>
      <c r="L4" s="667"/>
      <c r="M4" s="669"/>
      <c r="N4" s="657"/>
      <c r="O4" s="667"/>
      <c r="P4" s="669"/>
      <c r="Q4" s="90" t="s">
        <v>64</v>
      </c>
      <c r="R4" s="483">
        <f>X3</f>
        <v>5676.9848887954295</v>
      </c>
      <c r="S4" s="370"/>
      <c r="T4" s="484">
        <f>X3</f>
        <v>5676.9848887954295</v>
      </c>
      <c r="U4" s="377"/>
      <c r="W4" s="124" t="s">
        <v>176</v>
      </c>
      <c r="X4" s="123">
        <v>681</v>
      </c>
    </row>
    <row r="5" spans="2:24" ht="15">
      <c r="B5" s="660" t="s">
        <v>226</v>
      </c>
      <c r="C5" s="655"/>
      <c r="D5" s="306" t="s">
        <v>237</v>
      </c>
      <c r="E5" s="154" t="s">
        <v>148</v>
      </c>
      <c r="F5" s="154" t="s">
        <v>290</v>
      </c>
      <c r="G5" s="670" t="s">
        <v>247</v>
      </c>
      <c r="H5" s="154"/>
      <c r="I5" s="154"/>
      <c r="J5" s="388"/>
      <c r="K5" s="392"/>
      <c r="L5" s="393"/>
      <c r="M5" s="394"/>
      <c r="N5" s="392"/>
      <c r="O5" s="727">
        <v>0.8</v>
      </c>
      <c r="P5" s="394"/>
      <c r="Q5" s="90"/>
      <c r="R5" s="574">
        <v>1</v>
      </c>
      <c r="S5" s="575"/>
      <c r="T5" s="575">
        <f>R5*O5</f>
        <v>0.8</v>
      </c>
      <c r="U5" s="581"/>
      <c r="W5" s="124" t="s">
        <v>165</v>
      </c>
      <c r="X5" s="123">
        <v>661</v>
      </c>
    </row>
    <row r="6" spans="2:24">
      <c r="B6" s="661"/>
      <c r="C6" s="659"/>
      <c r="D6" s="116" t="s">
        <v>238</v>
      </c>
      <c r="E6" s="687" t="s">
        <v>297</v>
      </c>
      <c r="F6" s="50"/>
      <c r="G6" s="676"/>
      <c r="H6" s="50"/>
      <c r="I6" s="50"/>
      <c r="J6" s="389"/>
      <c r="K6" s="397"/>
      <c r="L6" s="398"/>
      <c r="M6" s="399"/>
      <c r="N6" s="397"/>
      <c r="O6" s="398"/>
      <c r="P6" s="399"/>
      <c r="Q6" s="519"/>
      <c r="R6" s="395">
        <v>1</v>
      </c>
      <c r="S6" s="396"/>
      <c r="T6" s="396">
        <f t="shared" ref="T6:T14" si="0">R6*O6</f>
        <v>0</v>
      </c>
      <c r="U6" s="139"/>
      <c r="W6" s="124" t="s">
        <v>0</v>
      </c>
      <c r="X6" s="123">
        <f>parameter!C10</f>
        <v>3654.1161779686181</v>
      </c>
    </row>
    <row r="7" spans="2:24" ht="15" thickBot="1">
      <c r="B7" s="675"/>
      <c r="C7" s="681" t="s">
        <v>229</v>
      </c>
      <c r="D7" s="380" t="s">
        <v>138</v>
      </c>
      <c r="E7" s="361" t="s">
        <v>248</v>
      </c>
      <c r="F7" s="361"/>
      <c r="G7" s="361" t="s">
        <v>240</v>
      </c>
      <c r="H7" s="372"/>
      <c r="I7" s="361"/>
      <c r="J7" s="373"/>
      <c r="K7" s="473"/>
      <c r="L7" s="474"/>
      <c r="M7" s="475"/>
      <c r="N7" s="400"/>
      <c r="O7" s="401"/>
      <c r="P7" s="402"/>
      <c r="Q7" s="519"/>
      <c r="R7" s="577">
        <v>1</v>
      </c>
      <c r="S7" s="578"/>
      <c r="T7" s="579">
        <f t="shared" si="0"/>
        <v>0</v>
      </c>
      <c r="U7" s="582"/>
      <c r="W7" s="124" t="s">
        <v>36</v>
      </c>
      <c r="X7" s="123">
        <f>parameter!C11</f>
        <v>2022.8687108268114</v>
      </c>
    </row>
    <row r="8" spans="2:24" ht="15">
      <c r="B8" s="660" t="s">
        <v>225</v>
      </c>
      <c r="C8" s="682"/>
      <c r="D8" s="688" t="s">
        <v>298</v>
      </c>
      <c r="E8" s="359" t="s">
        <v>251</v>
      </c>
      <c r="F8" s="359"/>
      <c r="G8" s="359" t="s">
        <v>249</v>
      </c>
      <c r="H8" s="637" t="s">
        <v>232</v>
      </c>
      <c r="I8" s="368"/>
      <c r="J8" s="469">
        <v>3.3</v>
      </c>
      <c r="K8" s="433"/>
      <c r="L8" s="404">
        <v>9.3000000000000005E-4</v>
      </c>
      <c r="M8" s="405"/>
      <c r="N8" s="403"/>
      <c r="O8" s="406">
        <f>J8*L8</f>
        <v>3.0690000000000001E-3</v>
      </c>
      <c r="P8" s="407"/>
      <c r="Q8" s="90"/>
      <c r="R8" s="520">
        <v>1</v>
      </c>
      <c r="S8" s="573"/>
      <c r="T8" s="573">
        <f t="shared" si="0"/>
        <v>3.0690000000000001E-3</v>
      </c>
      <c r="U8" s="521"/>
      <c r="W8" s="124" t="s">
        <v>164</v>
      </c>
      <c r="X8" s="123">
        <v>0.3</v>
      </c>
    </row>
    <row r="9" spans="2:24" ht="15">
      <c r="B9" s="661"/>
      <c r="C9" s="658" t="s">
        <v>230</v>
      </c>
      <c r="D9" s="689" t="s">
        <v>250</v>
      </c>
      <c r="E9" s="359" t="s">
        <v>251</v>
      </c>
      <c r="F9" s="690" t="s">
        <v>299</v>
      </c>
      <c r="G9" s="602" t="s">
        <v>252</v>
      </c>
      <c r="H9" s="604"/>
      <c r="I9" s="53"/>
      <c r="J9" s="390">
        <v>3.3</v>
      </c>
      <c r="K9" s="411"/>
      <c r="L9" s="412">
        <f>O9/J9</f>
        <v>1.5151515151515154E-3</v>
      </c>
      <c r="M9" s="413"/>
      <c r="N9" s="403"/>
      <c r="O9" s="691">
        <v>5.0000000000000001E-3</v>
      </c>
      <c r="P9" s="410"/>
      <c r="Q9" s="90"/>
      <c r="R9" s="408">
        <v>1</v>
      </c>
      <c r="S9" s="409"/>
      <c r="T9" s="573">
        <f t="shared" si="0"/>
        <v>5.0000000000000001E-3</v>
      </c>
      <c r="U9" s="141"/>
      <c r="W9" s="124" t="s">
        <v>68</v>
      </c>
      <c r="X9" s="123">
        <v>0.6</v>
      </c>
    </row>
    <row r="10" spans="2:24" ht="15">
      <c r="B10" s="661"/>
      <c r="C10" s="656"/>
      <c r="D10" s="374" t="s">
        <v>241</v>
      </c>
      <c r="E10" s="55" t="s">
        <v>26</v>
      </c>
      <c r="F10" s="477"/>
      <c r="G10" s="604"/>
      <c r="H10" s="604"/>
      <c r="I10" s="55"/>
      <c r="J10" s="470">
        <v>3.3</v>
      </c>
      <c r="K10" s="411"/>
      <c r="L10" s="412">
        <f t="shared" ref="L10:L14" si="1">O10/J10</f>
        <v>3.6363636363636362E-2</v>
      </c>
      <c r="M10" s="413">
        <f t="shared" ref="M10:M13" si="2">P10/J10</f>
        <v>6.0606060606060615E-2</v>
      </c>
      <c r="N10" s="411"/>
      <c r="O10" s="414">
        <v>0.12</v>
      </c>
      <c r="P10" s="410">
        <v>0.2</v>
      </c>
      <c r="Q10" s="90"/>
      <c r="R10" s="408">
        <v>1</v>
      </c>
      <c r="S10" s="409"/>
      <c r="T10" s="409">
        <f t="shared" si="0"/>
        <v>0.12</v>
      </c>
      <c r="U10" s="141"/>
      <c r="W10" s="124" t="s">
        <v>41</v>
      </c>
      <c r="X10" s="123">
        <v>0.8</v>
      </c>
    </row>
    <row r="11" spans="2:24" ht="15">
      <c r="B11" s="661"/>
      <c r="C11" s="656"/>
      <c r="D11" s="387" t="s">
        <v>244</v>
      </c>
      <c r="E11" s="57" t="s">
        <v>106</v>
      </c>
      <c r="F11" s="55"/>
      <c r="G11" s="604"/>
      <c r="H11" s="604"/>
      <c r="I11" s="55"/>
      <c r="J11" s="470">
        <v>3.3</v>
      </c>
      <c r="K11" s="411"/>
      <c r="L11" s="412">
        <f t="shared" si="1"/>
        <v>6.0606060606060615E-2</v>
      </c>
      <c r="M11" s="413">
        <f t="shared" si="2"/>
        <v>0.12121212121212123</v>
      </c>
      <c r="N11" s="411"/>
      <c r="O11" s="414">
        <v>0.2</v>
      </c>
      <c r="P11" s="410">
        <v>0.4</v>
      </c>
      <c r="Q11" s="90"/>
      <c r="R11" s="408">
        <v>1</v>
      </c>
      <c r="S11" s="409"/>
      <c r="T11" s="409">
        <f t="shared" si="0"/>
        <v>0.2</v>
      </c>
      <c r="U11" s="141"/>
      <c r="W11" s="124" t="s">
        <v>70</v>
      </c>
      <c r="X11" s="123">
        <v>0.8</v>
      </c>
    </row>
    <row r="12" spans="2:24" ht="15">
      <c r="B12" s="661"/>
      <c r="C12" s="656"/>
      <c r="D12" s="673"/>
      <c r="E12" s="602" t="s">
        <v>16</v>
      </c>
      <c r="F12" s="55"/>
      <c r="G12" s="604"/>
      <c r="H12" s="604"/>
      <c r="I12" s="55" t="s">
        <v>307</v>
      </c>
      <c r="J12" s="470">
        <v>3.3</v>
      </c>
      <c r="K12" s="411"/>
      <c r="L12" s="412">
        <f t="shared" si="1"/>
        <v>6.0606060606060615E-2</v>
      </c>
      <c r="M12" s="413"/>
      <c r="N12" s="411"/>
      <c r="O12" s="414">
        <v>0.2</v>
      </c>
      <c r="P12" s="413"/>
      <c r="Q12" s="90"/>
      <c r="R12" s="408">
        <f>100%-R13</f>
        <v>1</v>
      </c>
      <c r="S12" s="409"/>
      <c r="T12" s="409">
        <f t="shared" si="0"/>
        <v>0.2</v>
      </c>
      <c r="U12" s="141"/>
      <c r="W12" s="124" t="s">
        <v>102</v>
      </c>
      <c r="X12" s="123">
        <v>0.2</v>
      </c>
    </row>
    <row r="13" spans="2:24" ht="15">
      <c r="B13" s="661"/>
      <c r="C13" s="656"/>
      <c r="D13" s="674"/>
      <c r="E13" s="603"/>
      <c r="F13" s="692" t="s">
        <v>257</v>
      </c>
      <c r="G13" s="604"/>
      <c r="H13" s="604"/>
      <c r="I13" s="692" t="s">
        <v>300</v>
      </c>
      <c r="J13" s="470">
        <v>3.3</v>
      </c>
      <c r="K13" s="411"/>
      <c r="L13" s="412">
        <f t="shared" si="1"/>
        <v>8.6363636363636365E-2</v>
      </c>
      <c r="M13" s="413">
        <f t="shared" si="2"/>
        <v>0.13333333333333333</v>
      </c>
      <c r="N13" s="508"/>
      <c r="O13" s="414">
        <v>0.28499999999999998</v>
      </c>
      <c r="P13" s="479">
        <v>0.44</v>
      </c>
      <c r="Q13" s="90"/>
      <c r="R13" s="408">
        <f>R16</f>
        <v>0</v>
      </c>
      <c r="S13" s="409"/>
      <c r="T13" s="409"/>
      <c r="U13" s="141"/>
      <c r="W13" s="124" t="s">
        <v>157</v>
      </c>
      <c r="X13" s="123">
        <v>0.9</v>
      </c>
    </row>
    <row r="14" spans="2:24" ht="15.75" thickBot="1">
      <c r="B14" s="661"/>
      <c r="C14" s="656"/>
      <c r="D14" s="673" t="s">
        <v>245</v>
      </c>
      <c r="E14" s="602" t="s">
        <v>44</v>
      </c>
      <c r="F14" s="55" t="s">
        <v>258</v>
      </c>
      <c r="G14" s="604"/>
      <c r="H14" s="604"/>
      <c r="I14" s="55" t="s">
        <v>307</v>
      </c>
      <c r="J14" s="470">
        <v>3.3</v>
      </c>
      <c r="K14" s="411"/>
      <c r="L14" s="412">
        <f t="shared" si="1"/>
        <v>1.0606060606060608E-2</v>
      </c>
      <c r="M14" s="413"/>
      <c r="N14" s="415"/>
      <c r="O14" s="414">
        <v>3.5000000000000003E-2</v>
      </c>
      <c r="P14" s="416"/>
      <c r="Q14" s="90"/>
      <c r="R14" s="408">
        <v>1</v>
      </c>
      <c r="S14" s="409"/>
      <c r="T14" s="409">
        <f t="shared" si="0"/>
        <v>3.5000000000000003E-2</v>
      </c>
      <c r="U14" s="141"/>
      <c r="W14" s="382" t="s">
        <v>182</v>
      </c>
      <c r="X14" s="126">
        <v>0.4</v>
      </c>
    </row>
    <row r="15" spans="2:24" ht="15">
      <c r="B15" s="661"/>
      <c r="C15" s="656"/>
      <c r="D15" s="674"/>
      <c r="E15" s="603"/>
      <c r="F15" s="528" t="s">
        <v>259</v>
      </c>
      <c r="G15" s="714" t="s">
        <v>252</v>
      </c>
      <c r="H15" s="714" t="s">
        <v>302</v>
      </c>
      <c r="I15" s="528" t="s">
        <v>291</v>
      </c>
      <c r="J15" s="722">
        <v>8</v>
      </c>
      <c r="K15" s="693"/>
      <c r="L15" s="721">
        <v>0.62</v>
      </c>
      <c r="M15" s="694"/>
      <c r="N15" s="695"/>
      <c r="O15" s="715">
        <f>J15*L15</f>
        <v>4.96</v>
      </c>
      <c r="P15" s="696"/>
      <c r="Q15" s="90"/>
      <c r="R15" s="728"/>
      <c r="S15" s="729"/>
      <c r="T15" s="729"/>
      <c r="U15" s="730"/>
    </row>
    <row r="16" spans="2:24" ht="15.75" customHeight="1">
      <c r="B16" s="661"/>
      <c r="C16" s="656"/>
      <c r="D16" s="697" t="s">
        <v>246</v>
      </c>
      <c r="E16" s="698" t="s">
        <v>253</v>
      </c>
      <c r="F16" s="716"/>
      <c r="G16" s="698" t="s">
        <v>252</v>
      </c>
      <c r="H16" s="699" t="s">
        <v>301</v>
      </c>
      <c r="I16" s="698"/>
      <c r="J16" s="700">
        <v>8.26</v>
      </c>
      <c r="K16" s="701">
        <f>0.065*3/J16</f>
        <v>2.3607748184019371E-2</v>
      </c>
      <c r="L16" s="702">
        <f>0.19*3/J16</f>
        <v>6.9007263922518172E-2</v>
      </c>
      <c r="M16" s="703">
        <f>2.3*3/J16</f>
        <v>0.83535108958837767</v>
      </c>
      <c r="N16" s="704">
        <v>6.5000000000000002E-2</v>
      </c>
      <c r="O16" s="705">
        <v>0.19</v>
      </c>
      <c r="P16" s="706">
        <v>2.2999999999999998</v>
      </c>
      <c r="Q16" s="90"/>
      <c r="R16" s="731">
        <v>0</v>
      </c>
      <c r="S16" s="732"/>
      <c r="T16" s="733">
        <f>O16*R16</f>
        <v>0</v>
      </c>
      <c r="U16" s="734"/>
    </row>
    <row r="17" spans="2:21" ht="14.25" customHeight="1">
      <c r="B17" s="661"/>
      <c r="C17" s="656"/>
      <c r="D17" s="707"/>
      <c r="E17" s="699"/>
      <c r="F17" s="717"/>
      <c r="G17" s="699"/>
      <c r="H17" s="699"/>
      <c r="I17" s="699"/>
      <c r="J17" s="708"/>
      <c r="K17" s="701"/>
      <c r="L17" s="709"/>
      <c r="M17" s="703"/>
      <c r="N17" s="704"/>
      <c r="O17" s="705"/>
      <c r="P17" s="706"/>
      <c r="Q17" s="90"/>
      <c r="R17" s="735"/>
      <c r="S17" s="736"/>
      <c r="T17" s="737"/>
      <c r="U17" s="738"/>
    </row>
    <row r="18" spans="2:21" ht="14.25" customHeight="1">
      <c r="B18" s="661"/>
      <c r="C18" s="656"/>
      <c r="D18" s="710"/>
      <c r="E18" s="711"/>
      <c r="F18" s="718"/>
      <c r="G18" s="711"/>
      <c r="H18" s="711"/>
      <c r="I18" s="711"/>
      <c r="J18" s="712"/>
      <c r="K18" s="701"/>
      <c r="L18" s="713"/>
      <c r="M18" s="703"/>
      <c r="N18" s="704"/>
      <c r="O18" s="705"/>
      <c r="P18" s="706"/>
      <c r="Q18" s="90"/>
      <c r="R18" s="739"/>
      <c r="S18" s="740"/>
      <c r="T18" s="741"/>
      <c r="U18" s="742"/>
    </row>
    <row r="19" spans="2:21" ht="15">
      <c r="B19" s="661"/>
      <c r="C19" s="656"/>
      <c r="D19" s="652" t="s">
        <v>242</v>
      </c>
      <c r="E19" s="64" t="s">
        <v>235</v>
      </c>
      <c r="F19" s="719" t="s">
        <v>304</v>
      </c>
      <c r="G19" s="605" t="s">
        <v>252</v>
      </c>
      <c r="H19" s="650" t="s">
        <v>233</v>
      </c>
      <c r="I19" s="378"/>
      <c r="J19" s="471">
        <v>5</v>
      </c>
      <c r="K19" s="463"/>
      <c r="L19" s="464">
        <f>0.07*2</f>
        <v>0.14000000000000001</v>
      </c>
      <c r="M19" s="476">
        <f>0.167*2</f>
        <v>0.33400000000000002</v>
      </c>
      <c r="N19" s="417"/>
      <c r="O19" s="418">
        <f>L19*J19</f>
        <v>0.70000000000000007</v>
      </c>
      <c r="P19" s="419">
        <f>M19*J19</f>
        <v>1.6700000000000002</v>
      </c>
      <c r="Q19" s="90"/>
      <c r="R19" s="420">
        <v>0</v>
      </c>
      <c r="S19" s="421"/>
      <c r="T19" s="421">
        <f>R19*O19</f>
        <v>0</v>
      </c>
      <c r="U19" s="142"/>
    </row>
    <row r="20" spans="2:21" ht="15">
      <c r="B20" s="661"/>
      <c r="C20" s="659"/>
      <c r="D20" s="672"/>
      <c r="E20" s="64" t="s">
        <v>236</v>
      </c>
      <c r="F20" s="720" t="s">
        <v>303</v>
      </c>
      <c r="G20" s="663"/>
      <c r="H20" s="663"/>
      <c r="I20" s="64"/>
      <c r="J20" s="379">
        <v>5</v>
      </c>
      <c r="K20" s="463"/>
      <c r="L20" s="464">
        <v>6.4000000000000001E-2</v>
      </c>
      <c r="M20" s="466"/>
      <c r="N20" s="463"/>
      <c r="O20" s="467">
        <f>L20*J20</f>
        <v>0.32</v>
      </c>
      <c r="P20" s="466"/>
      <c r="Q20" s="90"/>
      <c r="R20" s="420">
        <v>0</v>
      </c>
      <c r="S20" s="583"/>
      <c r="T20" s="502">
        <f>R20*O20</f>
        <v>0</v>
      </c>
      <c r="U20" s="495"/>
    </row>
    <row r="21" spans="2:21" ht="15">
      <c r="B21" s="661"/>
      <c r="C21" s="658"/>
      <c r="D21" s="385" t="s">
        <v>276</v>
      </c>
      <c r="E21" s="359" t="s">
        <v>62</v>
      </c>
      <c r="F21" s="359" t="s">
        <v>277</v>
      </c>
      <c r="G21" s="359" t="s">
        <v>255</v>
      </c>
      <c r="H21" s="359" t="s">
        <v>232</v>
      </c>
      <c r="I21" s="359"/>
      <c r="J21" s="472">
        <v>3.3</v>
      </c>
      <c r="K21" s="411"/>
      <c r="L21" s="412">
        <f>O21/J21</f>
        <v>3.6363636363636368E-3</v>
      </c>
      <c r="M21" s="413"/>
      <c r="N21" s="403"/>
      <c r="O21" s="406">
        <v>1.2E-2</v>
      </c>
      <c r="P21" s="465"/>
      <c r="Q21" s="90"/>
      <c r="R21" s="520">
        <v>1</v>
      </c>
      <c r="S21" s="573"/>
      <c r="T21" s="573">
        <f>R21*O21</f>
        <v>1.2E-2</v>
      </c>
      <c r="U21" s="141"/>
    </row>
    <row r="22" spans="2:21" ht="15.75" thickBot="1">
      <c r="B22" s="662"/>
      <c r="C22" s="657"/>
      <c r="D22" s="386" t="s">
        <v>239</v>
      </c>
      <c r="E22" s="369" t="s">
        <v>61</v>
      </c>
      <c r="F22" s="485"/>
      <c r="G22" s="369" t="s">
        <v>254</v>
      </c>
      <c r="H22" s="369" t="s">
        <v>234</v>
      </c>
      <c r="I22" s="369"/>
      <c r="J22" s="384">
        <v>3.3</v>
      </c>
      <c r="K22" s="428"/>
      <c r="L22" s="429">
        <f>O22/J22</f>
        <v>0.39393939393939398</v>
      </c>
      <c r="M22" s="430"/>
      <c r="N22" s="428"/>
      <c r="O22" s="723">
        <v>1.3</v>
      </c>
      <c r="P22" s="430"/>
      <c r="Q22" s="90"/>
      <c r="R22" s="431">
        <v>0</v>
      </c>
      <c r="S22" s="432"/>
      <c r="T22" s="432">
        <f>R22*O22</f>
        <v>0</v>
      </c>
      <c r="U22" s="383"/>
    </row>
    <row r="23" spans="2:21" ht="15.75" thickBot="1">
      <c r="B23" s="362" t="s">
        <v>23</v>
      </c>
      <c r="C23" s="149"/>
      <c r="D23" s="376" t="s">
        <v>264</v>
      </c>
      <c r="E23" s="363" t="s">
        <v>265</v>
      </c>
      <c r="F23" s="363"/>
      <c r="G23" s="363" t="s">
        <v>260</v>
      </c>
      <c r="H23" s="363" t="s">
        <v>232</v>
      </c>
      <c r="I23" s="363"/>
      <c r="J23" s="363">
        <v>3.3</v>
      </c>
      <c r="K23" s="439"/>
      <c r="L23" s="440">
        <f>0.13</f>
        <v>0.13</v>
      </c>
      <c r="M23" s="441"/>
      <c r="N23" s="439"/>
      <c r="O23" s="442">
        <f>L23*J23</f>
        <v>0.42899999999999999</v>
      </c>
      <c r="P23" s="441"/>
      <c r="Q23" s="90"/>
      <c r="R23" s="584">
        <v>1</v>
      </c>
      <c r="S23" s="585"/>
      <c r="T23" s="585">
        <f t="shared" ref="T23" si="3">R23*O23</f>
        <v>0.42899999999999999</v>
      </c>
      <c r="U23" s="586"/>
    </row>
    <row r="24" spans="2:21" ht="15" customHeight="1">
      <c r="B24" s="660" t="s">
        <v>48</v>
      </c>
      <c r="C24" s="655"/>
      <c r="D24" s="664" t="s">
        <v>266</v>
      </c>
      <c r="E24" s="637" t="s">
        <v>267</v>
      </c>
      <c r="F24" s="523"/>
      <c r="G24" s="637" t="s">
        <v>261</v>
      </c>
      <c r="H24" s="637" t="s">
        <v>232</v>
      </c>
      <c r="I24" s="368" t="s">
        <v>278</v>
      </c>
      <c r="J24" s="367">
        <v>3.3</v>
      </c>
      <c r="K24" s="433"/>
      <c r="L24" s="434">
        <v>1.2999999999999999E-2</v>
      </c>
      <c r="M24" s="489"/>
      <c r="N24" s="433"/>
      <c r="O24" s="724">
        <f>L24*J24</f>
        <v>4.2899999999999994E-2</v>
      </c>
      <c r="P24" s="489"/>
      <c r="Q24" s="518"/>
      <c r="R24" s="520">
        <v>1</v>
      </c>
      <c r="S24" s="573"/>
      <c r="T24" s="573">
        <f t="shared" ref="T24" si="4">R24*O24</f>
        <v>4.2899999999999994E-2</v>
      </c>
      <c r="U24" s="521"/>
    </row>
    <row r="25" spans="2:21" ht="15">
      <c r="B25" s="661"/>
      <c r="C25" s="656"/>
      <c r="D25" s="636"/>
      <c r="E25" s="604"/>
      <c r="F25" s="390" t="s">
        <v>282</v>
      </c>
      <c r="G25" s="604"/>
      <c r="H25" s="604"/>
      <c r="I25" s="55" t="s">
        <v>279</v>
      </c>
      <c r="J25" s="57">
        <v>3.3</v>
      </c>
      <c r="K25" s="488"/>
      <c r="L25" s="414">
        <v>1.0999999999999999E-2</v>
      </c>
      <c r="M25" s="490"/>
      <c r="N25" s="488"/>
      <c r="O25" s="487">
        <f t="shared" ref="O25:O26" si="5">L25*J25</f>
        <v>3.6299999999999999E-2</v>
      </c>
      <c r="P25" s="413"/>
      <c r="Q25" s="518"/>
      <c r="R25" s="408"/>
      <c r="S25" s="409"/>
      <c r="T25" s="409"/>
      <c r="U25" s="141"/>
    </row>
    <row r="26" spans="2:21" ht="15">
      <c r="B26" s="661"/>
      <c r="C26" s="656"/>
      <c r="D26" s="665"/>
      <c r="E26" s="603"/>
      <c r="F26" s="470" t="s">
        <v>281</v>
      </c>
      <c r="G26" s="603"/>
      <c r="H26" s="604"/>
      <c r="I26" s="53" t="s">
        <v>280</v>
      </c>
      <c r="J26" s="55">
        <v>3.3</v>
      </c>
      <c r="K26" s="411"/>
      <c r="L26" s="482">
        <v>0.55000000000000004</v>
      </c>
      <c r="M26" s="413"/>
      <c r="N26" s="411"/>
      <c r="O26" s="412">
        <f t="shared" si="5"/>
        <v>1.8149999999999999</v>
      </c>
      <c r="P26" s="465"/>
      <c r="Q26" s="518"/>
      <c r="R26" s="408"/>
      <c r="S26" s="409"/>
      <c r="T26" s="409"/>
      <c r="U26" s="141"/>
    </row>
    <row r="27" spans="2:21" ht="15">
      <c r="B27" s="661"/>
      <c r="C27" s="656"/>
      <c r="D27" s="635" t="s">
        <v>66</v>
      </c>
      <c r="E27" s="602" t="s">
        <v>262</v>
      </c>
      <c r="F27" s="470"/>
      <c r="G27" s="602" t="s">
        <v>249</v>
      </c>
      <c r="H27" s="604"/>
      <c r="I27" s="55" t="s">
        <v>115</v>
      </c>
      <c r="J27" s="55">
        <v>3.3</v>
      </c>
      <c r="K27" s="435">
        <v>4.4999999999999998E-2</v>
      </c>
      <c r="L27" s="414">
        <v>5.5000000000000007E-2</v>
      </c>
      <c r="M27" s="410">
        <v>0.12</v>
      </c>
      <c r="N27" s="411">
        <f>J27*K27</f>
        <v>0.14849999999999999</v>
      </c>
      <c r="O27" s="412">
        <f>L27*J27</f>
        <v>0.18150000000000002</v>
      </c>
      <c r="P27" s="413">
        <f>M27*J27</f>
        <v>0.39599999999999996</v>
      </c>
      <c r="Q27" s="90"/>
      <c r="R27" s="408">
        <v>1</v>
      </c>
      <c r="S27" s="409"/>
      <c r="T27" s="409">
        <f>R27*O27</f>
        <v>0.18150000000000002</v>
      </c>
      <c r="U27" s="141"/>
    </row>
    <row r="28" spans="2:21" ht="15" customHeight="1">
      <c r="B28" s="661"/>
      <c r="C28" s="656"/>
      <c r="D28" s="636"/>
      <c r="E28" s="604"/>
      <c r="F28" s="472" t="s">
        <v>306</v>
      </c>
      <c r="G28" s="604"/>
      <c r="H28" s="604"/>
      <c r="I28" s="602" t="s">
        <v>111</v>
      </c>
      <c r="J28" s="602">
        <v>3.3</v>
      </c>
      <c r="K28" s="638">
        <v>0.6</v>
      </c>
      <c r="L28" s="640">
        <v>0.8</v>
      </c>
      <c r="M28" s="642">
        <v>1</v>
      </c>
      <c r="N28" s="644">
        <f>J28*K28</f>
        <v>1.9799999999999998</v>
      </c>
      <c r="O28" s="646">
        <f>L28*J28</f>
        <v>2.64</v>
      </c>
      <c r="P28" s="648">
        <f>M28*J28</f>
        <v>3.3</v>
      </c>
      <c r="Q28" s="90"/>
      <c r="R28" s="627">
        <f>100%-R27</f>
        <v>0</v>
      </c>
      <c r="S28" s="631"/>
      <c r="T28" s="629">
        <f>R28*O28</f>
        <v>0</v>
      </c>
      <c r="U28" s="633"/>
    </row>
    <row r="29" spans="2:21" ht="14.25" customHeight="1">
      <c r="B29" s="661"/>
      <c r="C29" s="656"/>
      <c r="D29" s="636"/>
      <c r="E29" s="604"/>
      <c r="F29" s="517" t="s">
        <v>285</v>
      </c>
      <c r="G29" s="603"/>
      <c r="H29" s="603"/>
      <c r="I29" s="603"/>
      <c r="J29" s="604"/>
      <c r="K29" s="639"/>
      <c r="L29" s="641"/>
      <c r="M29" s="643"/>
      <c r="N29" s="645"/>
      <c r="O29" s="647"/>
      <c r="P29" s="649"/>
      <c r="Q29" s="90"/>
      <c r="R29" s="628"/>
      <c r="S29" s="632"/>
      <c r="T29" s="630"/>
      <c r="U29" s="634"/>
    </row>
    <row r="30" spans="2:21">
      <c r="B30" s="661"/>
      <c r="C30" s="656"/>
      <c r="D30" s="480" t="s">
        <v>268</v>
      </c>
      <c r="E30" s="64" t="s">
        <v>270</v>
      </c>
      <c r="F30" s="379"/>
      <c r="G30" s="650" t="s">
        <v>247</v>
      </c>
      <c r="H30" s="650" t="s">
        <v>233</v>
      </c>
      <c r="I30" s="58"/>
      <c r="J30" s="64">
        <v>5</v>
      </c>
      <c r="K30" s="509"/>
      <c r="L30" s="492">
        <v>0</v>
      </c>
      <c r="M30" s="466"/>
      <c r="N30" s="509"/>
      <c r="O30" s="481">
        <v>0</v>
      </c>
      <c r="P30" s="491"/>
      <c r="R30" s="501">
        <v>0</v>
      </c>
      <c r="S30" s="478"/>
      <c r="T30" s="502">
        <f>R30*O30</f>
        <v>0</v>
      </c>
      <c r="U30" s="375"/>
    </row>
    <row r="31" spans="2:21" ht="15">
      <c r="B31" s="661"/>
      <c r="C31" s="656"/>
      <c r="D31" s="652" t="s">
        <v>269</v>
      </c>
      <c r="E31" s="650" t="s">
        <v>263</v>
      </c>
      <c r="F31" s="497"/>
      <c r="G31" s="605"/>
      <c r="H31" s="605"/>
      <c r="I31" s="64" t="s">
        <v>286</v>
      </c>
      <c r="J31" s="64">
        <v>5</v>
      </c>
      <c r="K31" s="463"/>
      <c r="L31" s="467">
        <f>O31/5</f>
        <v>0.122</v>
      </c>
      <c r="M31" s="466"/>
      <c r="N31" s="496"/>
      <c r="O31" s="464">
        <v>0.61</v>
      </c>
      <c r="P31" s="476"/>
      <c r="Q31" s="90"/>
      <c r="R31" s="493">
        <v>0</v>
      </c>
      <c r="S31" s="494"/>
      <c r="T31" s="494">
        <f>R31*O31</f>
        <v>0</v>
      </c>
      <c r="U31" s="495"/>
    </row>
    <row r="32" spans="2:21" ht="15">
      <c r="B32" s="661"/>
      <c r="C32" s="656"/>
      <c r="D32" s="653"/>
      <c r="E32" s="605"/>
      <c r="F32" s="497"/>
      <c r="G32" s="605"/>
      <c r="H32" s="605"/>
      <c r="I32" s="64" t="s">
        <v>283</v>
      </c>
      <c r="J32" s="64">
        <v>5</v>
      </c>
      <c r="K32" s="463"/>
      <c r="L32" s="467">
        <f>O32/5</f>
        <v>0.54</v>
      </c>
      <c r="M32" s="466"/>
      <c r="N32" s="496"/>
      <c r="O32" s="464">
        <v>2.7</v>
      </c>
      <c r="P32" s="476"/>
      <c r="Q32" s="90"/>
      <c r="R32" s="493">
        <v>0</v>
      </c>
      <c r="S32" s="494"/>
      <c r="T32" s="494">
        <f t="shared" ref="T32:T33" si="6">R32*O32</f>
        <v>0</v>
      </c>
      <c r="U32" s="495"/>
    </row>
    <row r="33" spans="2:22" ht="15.75" thickBot="1">
      <c r="B33" s="662"/>
      <c r="C33" s="657"/>
      <c r="D33" s="654"/>
      <c r="E33" s="651"/>
      <c r="F33" s="498"/>
      <c r="G33" s="651"/>
      <c r="H33" s="651"/>
      <c r="I33" s="63" t="s">
        <v>284</v>
      </c>
      <c r="J33" s="63">
        <v>5</v>
      </c>
      <c r="K33" s="422"/>
      <c r="L33" s="425">
        <f>O33/5</f>
        <v>0.91999999999999993</v>
      </c>
      <c r="M33" s="424">
        <f>P33/5</f>
        <v>1</v>
      </c>
      <c r="N33" s="436"/>
      <c r="O33" s="423">
        <v>4.5999999999999996</v>
      </c>
      <c r="P33" s="437">
        <v>5</v>
      </c>
      <c r="Q33" s="90"/>
      <c r="R33" s="426">
        <v>0</v>
      </c>
      <c r="S33" s="427"/>
      <c r="T33" s="507">
        <f t="shared" si="6"/>
        <v>0</v>
      </c>
      <c r="U33" s="169"/>
    </row>
    <row r="34" spans="2:22">
      <c r="B34" s="660" t="s">
        <v>67</v>
      </c>
      <c r="C34" s="381" t="s">
        <v>67</v>
      </c>
      <c r="D34" s="512" t="s">
        <v>287</v>
      </c>
      <c r="E34" s="364" t="s">
        <v>275</v>
      </c>
      <c r="F34" s="364"/>
      <c r="G34" s="364" t="s">
        <v>272</v>
      </c>
      <c r="H34" s="364" t="s">
        <v>227</v>
      </c>
      <c r="I34" s="364"/>
      <c r="J34" s="364">
        <v>5</v>
      </c>
      <c r="K34" s="443"/>
      <c r="L34" s="444">
        <f>O34/J34</f>
        <v>0.2</v>
      </c>
      <c r="M34" s="445"/>
      <c r="N34" s="443"/>
      <c r="O34" s="444">
        <v>1</v>
      </c>
      <c r="P34" s="445"/>
      <c r="Q34" s="130"/>
      <c r="R34" s="446">
        <v>0</v>
      </c>
      <c r="S34" s="447"/>
      <c r="T34" s="448">
        <f>R34*O34</f>
        <v>0</v>
      </c>
      <c r="U34" s="251"/>
    </row>
    <row r="35" spans="2:22">
      <c r="B35" s="661"/>
      <c r="C35" s="658" t="s">
        <v>24</v>
      </c>
      <c r="D35" s="513" t="s">
        <v>288</v>
      </c>
      <c r="E35" s="175" t="s">
        <v>274</v>
      </c>
      <c r="F35" s="175"/>
      <c r="G35" s="175" t="s">
        <v>271</v>
      </c>
      <c r="H35" s="175" t="s">
        <v>228</v>
      </c>
      <c r="I35" s="158"/>
      <c r="J35" s="158">
        <v>5</v>
      </c>
      <c r="K35" s="449"/>
      <c r="L35" s="450">
        <f>O35/J35</f>
        <v>0.2</v>
      </c>
      <c r="M35" s="451"/>
      <c r="N35" s="449"/>
      <c r="O35" s="450">
        <v>1</v>
      </c>
      <c r="P35" s="451"/>
      <c r="Q35" s="130"/>
      <c r="R35" s="452">
        <v>0</v>
      </c>
      <c r="S35" s="453"/>
      <c r="T35" s="454">
        <f>R35*O35</f>
        <v>0</v>
      </c>
      <c r="U35" s="163"/>
    </row>
    <row r="36" spans="2:22">
      <c r="B36" s="661"/>
      <c r="C36" s="659"/>
      <c r="D36" s="514" t="s">
        <v>288</v>
      </c>
      <c r="E36" s="173" t="s">
        <v>274</v>
      </c>
      <c r="F36" s="173"/>
      <c r="G36" s="173" t="s">
        <v>271</v>
      </c>
      <c r="H36" s="173" t="s">
        <v>65</v>
      </c>
      <c r="I36" s="155"/>
      <c r="J36" s="155">
        <v>3.3</v>
      </c>
      <c r="K36" s="510"/>
      <c r="L36" s="455"/>
      <c r="M36" s="511">
        <f>P36/J36</f>
        <v>0.60606060606060608</v>
      </c>
      <c r="N36" s="510"/>
      <c r="O36" s="455"/>
      <c r="P36" s="456">
        <v>2</v>
      </c>
      <c r="R36" s="457">
        <v>0</v>
      </c>
      <c r="S36" s="156"/>
      <c r="T36" s="458">
        <f>R36*O36</f>
        <v>0</v>
      </c>
      <c r="U36" s="167"/>
    </row>
    <row r="37" spans="2:22" ht="15.75" thickBot="1">
      <c r="B37" s="662"/>
      <c r="C37" s="515" t="s">
        <v>22</v>
      </c>
      <c r="D37" s="516" t="s">
        <v>289</v>
      </c>
      <c r="E37" s="366" t="s">
        <v>273</v>
      </c>
      <c r="F37" s="366" t="s">
        <v>305</v>
      </c>
      <c r="G37" s="366" t="s">
        <v>249</v>
      </c>
      <c r="H37" s="366" t="s">
        <v>75</v>
      </c>
      <c r="I37" s="365"/>
      <c r="J37" s="365">
        <v>3.3</v>
      </c>
      <c r="K37" s="459">
        <f>N37/J37</f>
        <v>0.11515151515151516</v>
      </c>
      <c r="L37" s="460">
        <f>O37/J37</f>
        <v>0.24242424242424246</v>
      </c>
      <c r="M37" s="461">
        <f>P37/J37</f>
        <v>0.54545454545454553</v>
      </c>
      <c r="N37" s="499">
        <v>0.38</v>
      </c>
      <c r="O37" s="462">
        <v>0.8</v>
      </c>
      <c r="P37" s="500">
        <v>1.8</v>
      </c>
      <c r="Q37" s="130"/>
      <c r="R37" s="503">
        <v>0</v>
      </c>
      <c r="S37" s="504"/>
      <c r="T37" s="505">
        <f>R37*O37</f>
        <v>0</v>
      </c>
      <c r="U37" s="506"/>
    </row>
    <row r="38" spans="2:22">
      <c r="O38" s="90"/>
      <c r="P38" s="90"/>
      <c r="Q38" s="90"/>
      <c r="S38" s="146" t="s">
        <v>163</v>
      </c>
      <c r="T38" s="438">
        <f>SUM(T5:T37)/X13</f>
        <v>2.2538544444444444</v>
      </c>
      <c r="U38" s="171" t="s">
        <v>119</v>
      </c>
      <c r="V38" s="1" t="s">
        <v>4</v>
      </c>
    </row>
    <row r="39" spans="2:22">
      <c r="O39" s="90"/>
      <c r="P39" s="90"/>
      <c r="Q39" s="90"/>
      <c r="S39" s="117" t="s">
        <v>10</v>
      </c>
      <c r="T39" s="526">
        <f>1.135*(6*3+6*3+4*3+4*3)/(3+3+3+3+1+1)*X6/3600</f>
        <v>4.9374069785647396</v>
      </c>
      <c r="U39" s="118" t="s">
        <v>129</v>
      </c>
    </row>
    <row r="40" spans="2:22">
      <c r="O40" s="90"/>
      <c r="P40" s="90"/>
      <c r="Q40" s="90"/>
      <c r="R40" s="90"/>
      <c r="S40" s="117" t="s">
        <v>9</v>
      </c>
      <c r="T40" s="5">
        <f>T38*X3/3600</f>
        <v>3.5541937840709803</v>
      </c>
      <c r="U40" s="118" t="s">
        <v>129</v>
      </c>
    </row>
    <row r="41" spans="2:22">
      <c r="O41" s="90"/>
      <c r="P41" s="90"/>
      <c r="Q41" s="90"/>
      <c r="R41" s="90"/>
      <c r="S41" s="117" t="s">
        <v>100</v>
      </c>
      <c r="T41" s="5">
        <f>T39-T40</f>
        <v>1.3832131944937593</v>
      </c>
      <c r="U41" s="118" t="s">
        <v>129</v>
      </c>
    </row>
    <row r="42" spans="2:22">
      <c r="O42" s="90"/>
      <c r="P42" s="90"/>
      <c r="Q42" s="90"/>
      <c r="R42" s="90"/>
      <c r="S42" s="117" t="s">
        <v>179</v>
      </c>
      <c r="T42" s="5">
        <f>100*($T$39/T40-1)</f>
        <v>38.917776534666729</v>
      </c>
      <c r="U42" s="118" t="s">
        <v>110</v>
      </c>
    </row>
    <row r="43" spans="2:22">
      <c r="O43" s="90"/>
      <c r="P43" s="90"/>
      <c r="Q43" s="90"/>
      <c r="R43" s="90"/>
      <c r="S43" s="117" t="s">
        <v>107</v>
      </c>
      <c r="T43" s="5">
        <f>T41/$T$39*100</f>
        <v>28.014972241479008</v>
      </c>
      <c r="U43" s="118" t="s">
        <v>110</v>
      </c>
      <c r="V43" s="21" t="s">
        <v>77</v>
      </c>
    </row>
    <row r="44" spans="2:22" ht="15" thickBot="1">
      <c r="O44" s="90"/>
      <c r="P44" s="90"/>
      <c r="Q44" s="90"/>
      <c r="R44" s="90"/>
      <c r="S44" s="119" t="s">
        <v>167</v>
      </c>
      <c r="T44" s="120">
        <f>(T39-T40)/40*100</f>
        <v>3.4580329862343979</v>
      </c>
      <c r="U44" s="121" t="s">
        <v>110</v>
      </c>
    </row>
    <row r="48" spans="2:22">
      <c r="O48" s="90"/>
      <c r="P48" s="90"/>
      <c r="Q48" s="90"/>
      <c r="R48" s="90"/>
      <c r="S48" s="90"/>
    </row>
    <row r="49" spans="15:19">
      <c r="O49" s="90"/>
      <c r="P49" s="90"/>
      <c r="Q49" s="90"/>
      <c r="R49" s="90"/>
      <c r="S49" s="90"/>
    </row>
    <row r="50" spans="15:19">
      <c r="O50" s="90"/>
      <c r="P50" s="90"/>
      <c r="Q50" s="90"/>
      <c r="R50" s="90"/>
      <c r="S50" s="90"/>
    </row>
    <row r="51" spans="15:19">
      <c r="R51" s="90"/>
      <c r="S51" s="90"/>
    </row>
    <row r="52" spans="15:19">
      <c r="R52" s="90"/>
      <c r="S52" s="90"/>
    </row>
  </sheetData>
  <mergeCells count="78">
    <mergeCell ref="C2:D2"/>
    <mergeCell ref="B5:B7"/>
    <mergeCell ref="G5:G6"/>
    <mergeCell ref="B8:B22"/>
    <mergeCell ref="C9:C20"/>
    <mergeCell ref="C5:C6"/>
    <mergeCell ref="G3:G4"/>
    <mergeCell ref="F3:F4"/>
    <mergeCell ref="B3:B4"/>
    <mergeCell ref="C3:D4"/>
    <mergeCell ref="E3:E4"/>
    <mergeCell ref="C7:C8"/>
    <mergeCell ref="G9:G14"/>
    <mergeCell ref="F16:F18"/>
    <mergeCell ref="H19:H20"/>
    <mergeCell ref="D19:D20"/>
    <mergeCell ref="J16:J18"/>
    <mergeCell ref="E12:E13"/>
    <mergeCell ref="E14:E15"/>
    <mergeCell ref="E16:E18"/>
    <mergeCell ref="D12:D13"/>
    <mergeCell ref="D14:D15"/>
    <mergeCell ref="D16:D18"/>
    <mergeCell ref="H8:H14"/>
    <mergeCell ref="L16:L18"/>
    <mergeCell ref="M16:M18"/>
    <mergeCell ref="N16:N18"/>
    <mergeCell ref="O16:O18"/>
    <mergeCell ref="P16:P18"/>
    <mergeCell ref="I16:I18"/>
    <mergeCell ref="I3:I4"/>
    <mergeCell ref="H3:H4"/>
    <mergeCell ref="J3:J4"/>
    <mergeCell ref="K3:K4"/>
    <mergeCell ref="K16:K18"/>
    <mergeCell ref="H16:H18"/>
    <mergeCell ref="N3:N4"/>
    <mergeCell ref="O3:O4"/>
    <mergeCell ref="P3:P4"/>
    <mergeCell ref="K2:M2"/>
    <mergeCell ref="N2:P2"/>
    <mergeCell ref="L3:L4"/>
    <mergeCell ref="M3:M4"/>
    <mergeCell ref="C35:C36"/>
    <mergeCell ref="B34:B37"/>
    <mergeCell ref="G16:G18"/>
    <mergeCell ref="G19:G20"/>
    <mergeCell ref="E24:E26"/>
    <mergeCell ref="G24:G26"/>
    <mergeCell ref="C21:C22"/>
    <mergeCell ref="D24:D26"/>
    <mergeCell ref="B24:B33"/>
    <mergeCell ref="H30:H33"/>
    <mergeCell ref="G30:G33"/>
    <mergeCell ref="D31:D33"/>
    <mergeCell ref="E31:E33"/>
    <mergeCell ref="C24:C33"/>
    <mergeCell ref="L28:L29"/>
    <mergeCell ref="M28:M29"/>
    <mergeCell ref="N28:N29"/>
    <mergeCell ref="O28:O29"/>
    <mergeCell ref="P28:P29"/>
    <mergeCell ref="D27:D29"/>
    <mergeCell ref="E27:E29"/>
    <mergeCell ref="G27:G29"/>
    <mergeCell ref="H24:H29"/>
    <mergeCell ref="K28:K29"/>
    <mergeCell ref="I28:I29"/>
    <mergeCell ref="J28:J29"/>
    <mergeCell ref="S2:U2"/>
    <mergeCell ref="R28:R29"/>
    <mergeCell ref="T28:T29"/>
    <mergeCell ref="S28:S29"/>
    <mergeCell ref="U28:U29"/>
    <mergeCell ref="R16:R18"/>
    <mergeCell ref="S16:S18"/>
    <mergeCell ref="T16:T18"/>
    <mergeCell ref="U16:U18"/>
  </mergeCells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112-0330-4C63-BDC0-3C4623F4194E}">
  <dimension ref="B1:AC52"/>
  <sheetViews>
    <sheetView zoomScale="85" zoomScaleNormal="85" workbookViewId="0">
      <pane xSplit="5" topLeftCell="N1" activePane="topRight" state="frozen"/>
      <selection pane="topRight" activeCell="X38" sqref="X3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19.25" style="1" bestFit="1" customWidth="1"/>
    <col min="21" max="21" width="30.125" style="1" bestFit="1" customWidth="1"/>
    <col min="22" max="22" width="13.375" style="1" bestFit="1" customWidth="1"/>
    <col min="23" max="23" width="11.5" style="1" bestFit="1" customWidth="1"/>
    <col min="24" max="24" width="19.25" style="1" bestFit="1" customWidth="1"/>
    <col min="25" max="25" width="14.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16384" width="9.125" style="1"/>
  </cols>
  <sheetData>
    <row r="1" spans="2:29" ht="15" thickBot="1"/>
    <row r="2" spans="2:29" ht="13.9" customHeight="1" thickBot="1">
      <c r="B2" s="127" t="s">
        <v>154</v>
      </c>
      <c r="C2" s="599" t="s">
        <v>224</v>
      </c>
      <c r="D2" s="601"/>
      <c r="E2" s="127" t="s">
        <v>71</v>
      </c>
      <c r="F2" s="127" t="s">
        <v>256</v>
      </c>
      <c r="G2" s="127" t="s">
        <v>243</v>
      </c>
      <c r="H2" s="127" t="s">
        <v>231</v>
      </c>
      <c r="I2" s="127" t="s">
        <v>53</v>
      </c>
      <c r="J2" s="152" t="s">
        <v>174</v>
      </c>
      <c r="K2" s="599" t="s">
        <v>6</v>
      </c>
      <c r="L2" s="600"/>
      <c r="M2" s="601"/>
      <c r="N2" s="599" t="s">
        <v>76</v>
      </c>
      <c r="O2" s="600"/>
      <c r="P2" s="601"/>
      <c r="R2" s="599" t="s">
        <v>93</v>
      </c>
      <c r="S2" s="600"/>
      <c r="T2" s="601"/>
      <c r="U2" s="599" t="s">
        <v>158</v>
      </c>
      <c r="V2" s="600"/>
      <c r="W2" s="600"/>
      <c r="X2" s="600"/>
      <c r="Y2" s="600"/>
      <c r="Z2" s="601"/>
      <c r="AA2" s="391"/>
      <c r="AB2" s="244" t="s">
        <v>91</v>
      </c>
      <c r="AC2" s="168"/>
    </row>
    <row r="3" spans="2:29">
      <c r="B3" s="670"/>
      <c r="C3" s="677"/>
      <c r="D3" s="678"/>
      <c r="E3" s="670"/>
      <c r="F3" s="670"/>
      <c r="G3" s="670"/>
      <c r="H3" s="670"/>
      <c r="I3" s="670"/>
      <c r="J3" s="670"/>
      <c r="K3" s="655" t="s">
        <v>56</v>
      </c>
      <c r="L3" s="666" t="s">
        <v>73</v>
      </c>
      <c r="M3" s="668" t="s">
        <v>90</v>
      </c>
      <c r="N3" s="655" t="s">
        <v>52</v>
      </c>
      <c r="O3" s="666" t="s">
        <v>73</v>
      </c>
      <c r="P3" s="668" t="s">
        <v>90</v>
      </c>
      <c r="Q3" s="1" t="s">
        <v>53</v>
      </c>
      <c r="R3" s="154" t="s">
        <v>293</v>
      </c>
      <c r="S3" s="154" t="s">
        <v>292</v>
      </c>
      <c r="T3" s="154" t="s">
        <v>294</v>
      </c>
      <c r="U3" s="305"/>
      <c r="V3" s="524" t="s">
        <v>293</v>
      </c>
      <c r="W3" s="525" t="s">
        <v>292</v>
      </c>
      <c r="X3" s="531" t="s">
        <v>294</v>
      </c>
      <c r="Y3" s="153" t="s">
        <v>308</v>
      </c>
      <c r="Z3" s="371"/>
      <c r="AB3" s="124" t="s">
        <v>181</v>
      </c>
      <c r="AC3" s="123">
        <f>parameter!C8</f>
        <v>5676.9848887954295</v>
      </c>
    </row>
    <row r="4" spans="2:29" ht="15" thickBot="1">
      <c r="B4" s="671"/>
      <c r="C4" s="679"/>
      <c r="D4" s="680"/>
      <c r="E4" s="671"/>
      <c r="F4" s="671"/>
      <c r="G4" s="671"/>
      <c r="H4" s="671"/>
      <c r="I4" s="671"/>
      <c r="J4" s="671"/>
      <c r="K4" s="657"/>
      <c r="L4" s="667"/>
      <c r="M4" s="669"/>
      <c r="N4" s="657"/>
      <c r="O4" s="667"/>
      <c r="P4" s="669"/>
      <c r="Q4" s="90" t="s">
        <v>64</v>
      </c>
      <c r="R4" s="483">
        <f>AC6-AC4</f>
        <v>2973.1161779686181</v>
      </c>
      <c r="S4" s="483">
        <f>AC7</f>
        <v>2022.8687108268114</v>
      </c>
      <c r="T4" s="483">
        <f>AC4</f>
        <v>681</v>
      </c>
      <c r="U4" s="370"/>
      <c r="V4" s="484">
        <f>AC6-AC4</f>
        <v>2973.1161779686181</v>
      </c>
      <c r="W4" s="484">
        <f>AC7</f>
        <v>2022.8687108268114</v>
      </c>
      <c r="X4" s="529">
        <f>AC4</f>
        <v>681</v>
      </c>
      <c r="Y4" s="726">
        <f>V4+W4+X4</f>
        <v>5676.9848887954295</v>
      </c>
      <c r="Z4" s="530"/>
      <c r="AB4" s="124" t="s">
        <v>176</v>
      </c>
      <c r="AC4" s="123">
        <v>681</v>
      </c>
    </row>
    <row r="5" spans="2:29" ht="15">
      <c r="B5" s="660" t="s">
        <v>226</v>
      </c>
      <c r="C5" s="655"/>
      <c r="D5" s="306" t="s">
        <v>237</v>
      </c>
      <c r="E5" s="154" t="s">
        <v>148</v>
      </c>
      <c r="F5" s="154" t="s">
        <v>290</v>
      </c>
      <c r="G5" s="670" t="s">
        <v>247</v>
      </c>
      <c r="H5" s="154"/>
      <c r="I5" s="154"/>
      <c r="J5" s="388"/>
      <c r="K5" s="392"/>
      <c r="L5" s="393"/>
      <c r="M5" s="394"/>
      <c r="N5" s="392"/>
      <c r="O5" s="727">
        <v>0.8</v>
      </c>
      <c r="P5" s="394"/>
      <c r="Q5" s="90"/>
      <c r="R5" s="574">
        <v>1</v>
      </c>
      <c r="S5" s="574">
        <v>1</v>
      </c>
      <c r="T5" s="574">
        <v>1</v>
      </c>
      <c r="U5" s="575"/>
      <c r="V5" s="754">
        <f>R5*O5</f>
        <v>0.8</v>
      </c>
      <c r="W5" s="754">
        <f t="shared" ref="W5:W12" si="0">O5*S5</f>
        <v>0.8</v>
      </c>
      <c r="X5" s="755">
        <f>O5*T5</f>
        <v>0.8</v>
      </c>
      <c r="Y5" s="759">
        <f>(V5*2973.11618+W5*2022.86871+X5*681)/5676.98489</f>
        <v>0.8</v>
      </c>
      <c r="Z5" s="576"/>
      <c r="AB5" s="124" t="s">
        <v>165</v>
      </c>
      <c r="AC5" s="123">
        <v>661</v>
      </c>
    </row>
    <row r="6" spans="2:29">
      <c r="B6" s="661"/>
      <c r="C6" s="659"/>
      <c r="D6" s="116" t="s">
        <v>238</v>
      </c>
      <c r="E6" s="687" t="s">
        <v>297</v>
      </c>
      <c r="F6" s="50"/>
      <c r="G6" s="676"/>
      <c r="H6" s="50"/>
      <c r="I6" s="50"/>
      <c r="J6" s="389"/>
      <c r="K6" s="397"/>
      <c r="L6" s="398"/>
      <c r="M6" s="399"/>
      <c r="N6" s="397"/>
      <c r="O6" s="398"/>
      <c r="P6" s="399"/>
      <c r="Q6" s="519"/>
      <c r="R6" s="395">
        <v>1</v>
      </c>
      <c r="S6" s="395">
        <v>1</v>
      </c>
      <c r="T6" s="395">
        <v>1</v>
      </c>
      <c r="U6" s="396"/>
      <c r="V6" s="757">
        <f t="shared" ref="V6:V7" si="1">R6*O6</f>
        <v>0</v>
      </c>
      <c r="W6" s="396">
        <f t="shared" ref="W6:W7" si="2">O6*S6</f>
        <v>0</v>
      </c>
      <c r="X6" s="532">
        <f t="shared" ref="X6:X7" si="3">O6*T6</f>
        <v>0</v>
      </c>
      <c r="Y6" s="557">
        <f t="shared" ref="Y6:Y14" si="4">(V6*2973.11618+W6*2022.86871+X6*681)/5676.98489</f>
        <v>0</v>
      </c>
      <c r="Z6" s="542"/>
      <c r="AB6" s="124" t="s">
        <v>0</v>
      </c>
      <c r="AC6" s="123">
        <f>parameter!C10</f>
        <v>3654.1161779686181</v>
      </c>
    </row>
    <row r="7" spans="2:29" ht="15" thickBot="1">
      <c r="B7" s="675"/>
      <c r="C7" s="681" t="s">
        <v>229</v>
      </c>
      <c r="D7" s="380" t="s">
        <v>138</v>
      </c>
      <c r="E7" s="361" t="s">
        <v>248</v>
      </c>
      <c r="F7" s="361"/>
      <c r="G7" s="361" t="s">
        <v>240</v>
      </c>
      <c r="H7" s="372"/>
      <c r="I7" s="361"/>
      <c r="J7" s="373"/>
      <c r="K7" s="473"/>
      <c r="L7" s="474"/>
      <c r="M7" s="475"/>
      <c r="N7" s="400"/>
      <c r="O7" s="401"/>
      <c r="P7" s="402"/>
      <c r="Q7" s="519"/>
      <c r="R7" s="577">
        <v>1</v>
      </c>
      <c r="S7" s="577">
        <v>1</v>
      </c>
      <c r="T7" s="588">
        <v>1</v>
      </c>
      <c r="U7" s="578"/>
      <c r="V7" s="756">
        <f t="shared" si="1"/>
        <v>0</v>
      </c>
      <c r="W7" s="579">
        <f t="shared" si="2"/>
        <v>0</v>
      </c>
      <c r="X7" s="589">
        <f t="shared" si="3"/>
        <v>0</v>
      </c>
      <c r="Y7" s="565">
        <f t="shared" si="4"/>
        <v>0</v>
      </c>
      <c r="Z7" s="590"/>
      <c r="AB7" s="124" t="s">
        <v>36</v>
      </c>
      <c r="AC7" s="123">
        <f>parameter!C11</f>
        <v>2022.8687108268114</v>
      </c>
    </row>
    <row r="8" spans="2:29" ht="15">
      <c r="B8" s="660" t="s">
        <v>225</v>
      </c>
      <c r="C8" s="682"/>
      <c r="D8" s="688" t="s">
        <v>298</v>
      </c>
      <c r="E8" s="359" t="s">
        <v>251</v>
      </c>
      <c r="F8" s="359"/>
      <c r="G8" s="359" t="s">
        <v>249</v>
      </c>
      <c r="H8" s="637" t="s">
        <v>232</v>
      </c>
      <c r="I8" s="368"/>
      <c r="J8" s="469">
        <v>3.3</v>
      </c>
      <c r="K8" s="433"/>
      <c r="L8" s="404">
        <v>9.3000000000000005E-4</v>
      </c>
      <c r="M8" s="405"/>
      <c r="N8" s="403"/>
      <c r="O8" s="406">
        <f>J8*L8</f>
        <v>3.0690000000000001E-3</v>
      </c>
      <c r="P8" s="407"/>
      <c r="Q8" s="90"/>
      <c r="R8" s="520">
        <v>1</v>
      </c>
      <c r="S8" s="520">
        <v>1</v>
      </c>
      <c r="T8" s="520">
        <v>1</v>
      </c>
      <c r="U8" s="573"/>
      <c r="V8" s="573">
        <f t="shared" ref="V8:V14" si="5">R8*O8</f>
        <v>3.0690000000000001E-3</v>
      </c>
      <c r="W8" s="573">
        <f t="shared" si="0"/>
        <v>3.0690000000000001E-3</v>
      </c>
      <c r="X8" s="587">
        <f t="shared" ref="X8:X9" si="6">O8*T8</f>
        <v>3.0690000000000001E-3</v>
      </c>
      <c r="Y8" s="765">
        <f t="shared" si="4"/>
        <v>3.0690000000000001E-3</v>
      </c>
      <c r="Z8" s="549"/>
      <c r="AB8" s="486" t="s">
        <v>164</v>
      </c>
      <c r="AC8" s="123">
        <v>0.3</v>
      </c>
    </row>
    <row r="9" spans="2:29" ht="15">
      <c r="B9" s="661"/>
      <c r="C9" s="658" t="s">
        <v>230</v>
      </c>
      <c r="D9" s="689" t="s">
        <v>250</v>
      </c>
      <c r="E9" s="359" t="s">
        <v>251</v>
      </c>
      <c r="F9" s="690" t="s">
        <v>299</v>
      </c>
      <c r="G9" s="602" t="s">
        <v>252</v>
      </c>
      <c r="H9" s="604"/>
      <c r="I9" s="53"/>
      <c r="J9" s="390">
        <v>3.3</v>
      </c>
      <c r="K9" s="411"/>
      <c r="L9" s="412">
        <f>O9/J9</f>
        <v>1.5151515151515154E-3</v>
      </c>
      <c r="M9" s="413"/>
      <c r="N9" s="403"/>
      <c r="O9" s="691">
        <v>5.0000000000000001E-3</v>
      </c>
      <c r="P9" s="410"/>
      <c r="Q9" s="90"/>
      <c r="R9" s="408">
        <v>1</v>
      </c>
      <c r="S9" s="408">
        <v>1</v>
      </c>
      <c r="T9" s="408">
        <v>1</v>
      </c>
      <c r="U9" s="409"/>
      <c r="V9" s="573">
        <f t="shared" si="5"/>
        <v>5.0000000000000001E-3</v>
      </c>
      <c r="W9" s="573">
        <f t="shared" si="0"/>
        <v>5.0000000000000001E-3</v>
      </c>
      <c r="X9" s="587">
        <f t="shared" si="6"/>
        <v>5.0000000000000001E-3</v>
      </c>
      <c r="Y9" s="558">
        <f t="shared" si="4"/>
        <v>5.0000000000000001E-3</v>
      </c>
      <c r="Z9" s="544"/>
      <c r="AB9" s="124" t="s">
        <v>68</v>
      </c>
      <c r="AC9" s="123">
        <v>0.6</v>
      </c>
    </row>
    <row r="10" spans="2:29" ht="15">
      <c r="B10" s="661"/>
      <c r="C10" s="656"/>
      <c r="D10" s="374" t="s">
        <v>241</v>
      </c>
      <c r="E10" s="55" t="s">
        <v>26</v>
      </c>
      <c r="F10" s="477"/>
      <c r="G10" s="604"/>
      <c r="H10" s="604"/>
      <c r="I10" s="55"/>
      <c r="J10" s="470">
        <v>3.3</v>
      </c>
      <c r="K10" s="411"/>
      <c r="L10" s="412">
        <f t="shared" ref="L10:L14" si="7">O10/J10</f>
        <v>3.6363636363636362E-2</v>
      </c>
      <c r="M10" s="413">
        <f t="shared" ref="M10:M13" si="8">P10/J10</f>
        <v>6.0606060606060615E-2</v>
      </c>
      <c r="N10" s="411"/>
      <c r="O10" s="414">
        <v>0.12</v>
      </c>
      <c r="P10" s="410">
        <v>0.2</v>
      </c>
      <c r="Q10" s="90"/>
      <c r="R10" s="408">
        <v>1</v>
      </c>
      <c r="S10" s="408">
        <v>1</v>
      </c>
      <c r="T10" s="408">
        <v>1</v>
      </c>
      <c r="U10" s="409"/>
      <c r="V10" s="409">
        <f t="shared" si="5"/>
        <v>0.12</v>
      </c>
      <c r="W10" s="409">
        <f t="shared" si="0"/>
        <v>0.12</v>
      </c>
      <c r="X10" s="533">
        <f>P10*T10</f>
        <v>0.2</v>
      </c>
      <c r="Y10" s="558">
        <f t="shared" si="4"/>
        <v>0.12959664347459626</v>
      </c>
      <c r="Z10" s="544"/>
      <c r="AB10" s="124" t="s">
        <v>41</v>
      </c>
      <c r="AC10" s="123">
        <v>0.8</v>
      </c>
    </row>
    <row r="11" spans="2:29" ht="15">
      <c r="B11" s="661"/>
      <c r="C11" s="656"/>
      <c r="D11" s="387" t="s">
        <v>244</v>
      </c>
      <c r="E11" s="57" t="s">
        <v>106</v>
      </c>
      <c r="F11" s="55"/>
      <c r="G11" s="604"/>
      <c r="H11" s="604"/>
      <c r="I11" s="55"/>
      <c r="J11" s="470">
        <v>3.3</v>
      </c>
      <c r="K11" s="411"/>
      <c r="L11" s="412">
        <f t="shared" si="7"/>
        <v>6.0606060606060615E-2</v>
      </c>
      <c r="M11" s="413">
        <f t="shared" si="8"/>
        <v>0.12121212121212123</v>
      </c>
      <c r="N11" s="411"/>
      <c r="O11" s="414">
        <v>0.2</v>
      </c>
      <c r="P11" s="410">
        <v>0.4</v>
      </c>
      <c r="Q11" s="90"/>
      <c r="R11" s="408">
        <v>1</v>
      </c>
      <c r="S11" s="408">
        <v>1</v>
      </c>
      <c r="T11" s="408">
        <v>1</v>
      </c>
      <c r="U11" s="409"/>
      <c r="V11" s="409">
        <f t="shared" si="5"/>
        <v>0.2</v>
      </c>
      <c r="W11" s="409">
        <f t="shared" si="0"/>
        <v>0.2</v>
      </c>
      <c r="X11" s="533">
        <f>P11*T11</f>
        <v>0.4</v>
      </c>
      <c r="Y11" s="558">
        <f t="shared" si="4"/>
        <v>0.22399160868649065</v>
      </c>
      <c r="Z11" s="544"/>
      <c r="AB11" s="124" t="s">
        <v>70</v>
      </c>
      <c r="AC11" s="123">
        <v>0.8</v>
      </c>
    </row>
    <row r="12" spans="2:29" ht="15">
      <c r="B12" s="661"/>
      <c r="C12" s="656"/>
      <c r="D12" s="673"/>
      <c r="E12" s="602" t="s">
        <v>16</v>
      </c>
      <c r="F12" s="55"/>
      <c r="G12" s="604"/>
      <c r="H12" s="604"/>
      <c r="I12" s="55" t="s">
        <v>307</v>
      </c>
      <c r="J12" s="470">
        <v>3.3</v>
      </c>
      <c r="K12" s="411"/>
      <c r="L12" s="412">
        <f t="shared" si="7"/>
        <v>6.0606060606060615E-2</v>
      </c>
      <c r="M12" s="413"/>
      <c r="N12" s="411"/>
      <c r="O12" s="414">
        <v>0.2</v>
      </c>
      <c r="P12" s="413"/>
      <c r="Q12" s="90"/>
      <c r="R12" s="408">
        <f>100%-R13</f>
        <v>0</v>
      </c>
      <c r="S12" s="408">
        <f>100%-S13</f>
        <v>0</v>
      </c>
      <c r="T12" s="408">
        <f>100%-T13</f>
        <v>0</v>
      </c>
      <c r="U12" s="409"/>
      <c r="V12" s="409">
        <f t="shared" si="5"/>
        <v>0</v>
      </c>
      <c r="W12" s="409">
        <f t="shared" si="0"/>
        <v>0</v>
      </c>
      <c r="X12" s="533">
        <f>T12*P12</f>
        <v>0</v>
      </c>
      <c r="Y12" s="558">
        <f t="shared" si="4"/>
        <v>0</v>
      </c>
      <c r="Z12" s="544"/>
      <c r="AB12" s="124" t="s">
        <v>102</v>
      </c>
      <c r="AC12" s="123">
        <v>0.2</v>
      </c>
    </row>
    <row r="13" spans="2:29" ht="15">
      <c r="B13" s="661"/>
      <c r="C13" s="656"/>
      <c r="D13" s="674"/>
      <c r="E13" s="603"/>
      <c r="F13" s="692" t="s">
        <v>257</v>
      </c>
      <c r="G13" s="604"/>
      <c r="H13" s="604"/>
      <c r="I13" s="692" t="s">
        <v>300</v>
      </c>
      <c r="J13" s="470">
        <v>3.3</v>
      </c>
      <c r="K13" s="411"/>
      <c r="L13" s="412">
        <f t="shared" si="7"/>
        <v>8.6363636363636365E-2</v>
      </c>
      <c r="M13" s="413">
        <f t="shared" si="8"/>
        <v>0.13333333333333333</v>
      </c>
      <c r="N13" s="508"/>
      <c r="O13" s="414">
        <v>0.28499999999999998</v>
      </c>
      <c r="P13" s="479">
        <v>0.44</v>
      </c>
      <c r="Q13" s="90"/>
      <c r="R13" s="408">
        <f>R16</f>
        <v>1</v>
      </c>
      <c r="S13" s="408">
        <f>S16</f>
        <v>1</v>
      </c>
      <c r="T13" s="408">
        <f>T16</f>
        <v>1</v>
      </c>
      <c r="U13" s="409"/>
      <c r="V13" s="409">
        <f t="shared" si="5"/>
        <v>0.28499999999999998</v>
      </c>
      <c r="W13" s="409">
        <f t="shared" ref="W13" si="9">O13*S13</f>
        <v>0.28499999999999998</v>
      </c>
      <c r="X13" s="533">
        <f>P13*T13</f>
        <v>0.44</v>
      </c>
      <c r="Y13" s="558">
        <f t="shared" si="4"/>
        <v>0.30359349673203023</v>
      </c>
      <c r="Z13" s="544"/>
      <c r="AB13" s="124" t="s">
        <v>157</v>
      </c>
      <c r="AC13" s="123">
        <v>0.9</v>
      </c>
    </row>
    <row r="14" spans="2:29" ht="15.75" thickBot="1">
      <c r="B14" s="661"/>
      <c r="C14" s="656"/>
      <c r="D14" s="673" t="s">
        <v>245</v>
      </c>
      <c r="E14" s="602" t="s">
        <v>44</v>
      </c>
      <c r="F14" s="55" t="s">
        <v>258</v>
      </c>
      <c r="G14" s="604"/>
      <c r="H14" s="604"/>
      <c r="I14" s="55" t="s">
        <v>307</v>
      </c>
      <c r="J14" s="470">
        <v>3.3</v>
      </c>
      <c r="K14" s="411"/>
      <c r="L14" s="412">
        <f t="shared" si="7"/>
        <v>1.0606060606060608E-2</v>
      </c>
      <c r="M14" s="413"/>
      <c r="N14" s="415"/>
      <c r="O14" s="414">
        <v>3.5000000000000003E-2</v>
      </c>
      <c r="P14" s="416"/>
      <c r="Q14" s="90"/>
      <c r="R14" s="408">
        <v>1</v>
      </c>
      <c r="S14" s="408">
        <v>1</v>
      </c>
      <c r="T14" s="408">
        <v>1</v>
      </c>
      <c r="U14" s="409"/>
      <c r="V14" s="409">
        <f t="shared" si="5"/>
        <v>3.5000000000000003E-2</v>
      </c>
      <c r="W14" s="409">
        <f>O14*S14</f>
        <v>3.5000000000000003E-2</v>
      </c>
      <c r="X14" s="533">
        <f>T14*O14</f>
        <v>3.5000000000000003E-2</v>
      </c>
      <c r="Y14" s="558">
        <f t="shared" si="4"/>
        <v>3.5000000000000003E-2</v>
      </c>
      <c r="Z14" s="544"/>
      <c r="AB14" s="382" t="s">
        <v>182</v>
      </c>
      <c r="AC14" s="126">
        <v>0.4</v>
      </c>
    </row>
    <row r="15" spans="2:29" ht="15">
      <c r="B15" s="661"/>
      <c r="C15" s="656"/>
      <c r="D15" s="674"/>
      <c r="E15" s="603"/>
      <c r="F15" s="528" t="s">
        <v>259</v>
      </c>
      <c r="G15" s="714" t="s">
        <v>252</v>
      </c>
      <c r="H15" s="714" t="s">
        <v>302</v>
      </c>
      <c r="I15" s="528" t="s">
        <v>291</v>
      </c>
      <c r="J15" s="722">
        <v>8</v>
      </c>
      <c r="K15" s="693"/>
      <c r="L15" s="721">
        <v>0.62</v>
      </c>
      <c r="M15" s="694"/>
      <c r="N15" s="695"/>
      <c r="O15" s="715">
        <f>J15*L15</f>
        <v>4.96</v>
      </c>
      <c r="P15" s="696"/>
      <c r="Q15" s="90"/>
      <c r="R15" s="728"/>
      <c r="S15" s="728"/>
      <c r="T15" s="728"/>
      <c r="U15" s="729"/>
      <c r="V15" s="729"/>
      <c r="W15" s="729"/>
      <c r="X15" s="752"/>
      <c r="Y15" s="760"/>
      <c r="Z15" s="753"/>
    </row>
    <row r="16" spans="2:29" ht="15.75" customHeight="1">
      <c r="B16" s="661"/>
      <c r="C16" s="656"/>
      <c r="D16" s="697" t="s">
        <v>246</v>
      </c>
      <c r="E16" s="698" t="s">
        <v>253</v>
      </c>
      <c r="F16" s="716"/>
      <c r="G16" s="698" t="s">
        <v>252</v>
      </c>
      <c r="H16" s="699" t="s">
        <v>301</v>
      </c>
      <c r="I16" s="698"/>
      <c r="J16" s="700">
        <v>8.26</v>
      </c>
      <c r="K16" s="701">
        <f>0.065*3/J16</f>
        <v>2.3607748184019371E-2</v>
      </c>
      <c r="L16" s="702">
        <f>0.19*3/J16</f>
        <v>6.9007263922518172E-2</v>
      </c>
      <c r="M16" s="703">
        <f>2.3*3/J16</f>
        <v>0.83535108958837767</v>
      </c>
      <c r="N16" s="704">
        <v>6.5000000000000002E-2</v>
      </c>
      <c r="O16" s="705">
        <v>0.19</v>
      </c>
      <c r="P16" s="706">
        <v>2.2999999999999998</v>
      </c>
      <c r="Q16" s="90"/>
      <c r="R16" s="731">
        <v>1</v>
      </c>
      <c r="S16" s="731">
        <v>1</v>
      </c>
      <c r="T16" s="731">
        <v>1</v>
      </c>
      <c r="U16" s="732"/>
      <c r="V16" s="733">
        <f>R16*O16</f>
        <v>0.19</v>
      </c>
      <c r="W16" s="733">
        <f>O16*S16</f>
        <v>0.19</v>
      </c>
      <c r="X16" s="743">
        <f>P16*T16</f>
        <v>2.2999999999999998</v>
      </c>
      <c r="Y16" s="761">
        <f>(V16*2973.11618+W16*2022.86871+X16*681)/5676.98489</f>
        <v>0.44311147164247611</v>
      </c>
      <c r="Z16" s="745"/>
    </row>
    <row r="17" spans="2:26" ht="14.25" customHeight="1">
      <c r="B17" s="661"/>
      <c r="C17" s="656"/>
      <c r="D17" s="707"/>
      <c r="E17" s="699"/>
      <c r="F17" s="717"/>
      <c r="G17" s="699"/>
      <c r="H17" s="699"/>
      <c r="I17" s="699"/>
      <c r="J17" s="708"/>
      <c r="K17" s="701"/>
      <c r="L17" s="709"/>
      <c r="M17" s="703"/>
      <c r="N17" s="704"/>
      <c r="O17" s="705"/>
      <c r="P17" s="706"/>
      <c r="Q17" s="90"/>
      <c r="R17" s="735"/>
      <c r="S17" s="735"/>
      <c r="T17" s="735"/>
      <c r="U17" s="736"/>
      <c r="V17" s="737"/>
      <c r="W17" s="737"/>
      <c r="X17" s="746"/>
      <c r="Y17" s="761"/>
      <c r="Z17" s="748"/>
    </row>
    <row r="18" spans="2:26" ht="14.25" customHeight="1">
      <c r="B18" s="661"/>
      <c r="C18" s="656"/>
      <c r="D18" s="710"/>
      <c r="E18" s="711"/>
      <c r="F18" s="718"/>
      <c r="G18" s="711"/>
      <c r="H18" s="711"/>
      <c r="I18" s="711"/>
      <c r="J18" s="712"/>
      <c r="K18" s="701"/>
      <c r="L18" s="713"/>
      <c r="M18" s="703"/>
      <c r="N18" s="704"/>
      <c r="O18" s="705"/>
      <c r="P18" s="706"/>
      <c r="Q18" s="90"/>
      <c r="R18" s="739"/>
      <c r="S18" s="739"/>
      <c r="T18" s="739"/>
      <c r="U18" s="740"/>
      <c r="V18" s="741"/>
      <c r="W18" s="741"/>
      <c r="X18" s="749"/>
      <c r="Y18" s="761"/>
      <c r="Z18" s="751"/>
    </row>
    <row r="19" spans="2:26" ht="15">
      <c r="B19" s="661"/>
      <c r="C19" s="656"/>
      <c r="D19" s="652" t="s">
        <v>242</v>
      </c>
      <c r="E19" s="64" t="s">
        <v>235</v>
      </c>
      <c r="F19" s="719" t="s">
        <v>304</v>
      </c>
      <c r="G19" s="605" t="s">
        <v>252</v>
      </c>
      <c r="H19" s="650" t="s">
        <v>233</v>
      </c>
      <c r="I19" s="378"/>
      <c r="J19" s="471">
        <v>5</v>
      </c>
      <c r="K19" s="463"/>
      <c r="L19" s="464">
        <f>0.07*2</f>
        <v>0.14000000000000001</v>
      </c>
      <c r="M19" s="476">
        <f>0.167*2</f>
        <v>0.33400000000000002</v>
      </c>
      <c r="N19" s="417"/>
      <c r="O19" s="418">
        <f>L19*J19</f>
        <v>0.70000000000000007</v>
      </c>
      <c r="P19" s="419">
        <f>M19*J19</f>
        <v>1.6700000000000002</v>
      </c>
      <c r="Q19" s="90"/>
      <c r="R19" s="420">
        <v>0</v>
      </c>
      <c r="S19" s="420">
        <v>0</v>
      </c>
      <c r="T19" s="420">
        <v>0</v>
      </c>
      <c r="U19" s="421"/>
      <c r="V19" s="421">
        <f t="shared" ref="V19:V26" si="10">R19*O19</f>
        <v>0</v>
      </c>
      <c r="W19" s="421">
        <f t="shared" ref="W19:W25" si="11">S19*O19</f>
        <v>0</v>
      </c>
      <c r="X19" s="534">
        <f>T19*O19</f>
        <v>0</v>
      </c>
      <c r="Y19" s="559">
        <f>(V19*2973.11618+W19*2022.86871+X19*681)/5676.98489</f>
        <v>0</v>
      </c>
      <c r="Z19" s="545"/>
    </row>
    <row r="20" spans="2:26" ht="15">
      <c r="B20" s="661"/>
      <c r="C20" s="659"/>
      <c r="D20" s="672"/>
      <c r="E20" s="64" t="s">
        <v>236</v>
      </c>
      <c r="F20" s="720" t="s">
        <v>303</v>
      </c>
      <c r="G20" s="663"/>
      <c r="H20" s="663"/>
      <c r="I20" s="64"/>
      <c r="J20" s="379">
        <v>5</v>
      </c>
      <c r="K20" s="463"/>
      <c r="L20" s="464">
        <v>6.4000000000000001E-2</v>
      </c>
      <c r="M20" s="466"/>
      <c r="N20" s="463"/>
      <c r="O20" s="467">
        <f>L20*J20</f>
        <v>0.32</v>
      </c>
      <c r="P20" s="466"/>
      <c r="Q20" s="90"/>
      <c r="R20" s="493">
        <v>0</v>
      </c>
      <c r="S20" s="493">
        <v>0</v>
      </c>
      <c r="T20" s="493">
        <v>0</v>
      </c>
      <c r="U20" s="494"/>
      <c r="V20" s="502">
        <f t="shared" si="10"/>
        <v>0</v>
      </c>
      <c r="W20" s="502">
        <f t="shared" si="11"/>
        <v>0</v>
      </c>
      <c r="X20" s="536">
        <f>T20*O20</f>
        <v>0</v>
      </c>
      <c r="Y20" s="559">
        <f t="shared" ref="Y20:Y27" si="12">(V20*2973.11618+W20*2022.86871+X20*681)/5676.98489</f>
        <v>0</v>
      </c>
      <c r="Z20" s="550"/>
    </row>
    <row r="21" spans="2:26" ht="15">
      <c r="B21" s="661"/>
      <c r="C21" s="658"/>
      <c r="D21" s="385" t="s">
        <v>276</v>
      </c>
      <c r="E21" s="359" t="s">
        <v>62</v>
      </c>
      <c r="F21" s="359" t="s">
        <v>277</v>
      </c>
      <c r="G21" s="359" t="s">
        <v>255</v>
      </c>
      <c r="H21" s="359" t="s">
        <v>232</v>
      </c>
      <c r="I21" s="359"/>
      <c r="J21" s="472">
        <v>3.3</v>
      </c>
      <c r="K21" s="411"/>
      <c r="L21" s="412">
        <f>O21/J21</f>
        <v>3.6363636363636368E-3</v>
      </c>
      <c r="M21" s="413"/>
      <c r="N21" s="403"/>
      <c r="O21" s="406">
        <v>1.2E-2</v>
      </c>
      <c r="P21" s="465"/>
      <c r="Q21" s="90"/>
      <c r="R21" s="408">
        <v>1</v>
      </c>
      <c r="S21" s="408">
        <v>1</v>
      </c>
      <c r="T21" s="408">
        <v>1</v>
      </c>
      <c r="U21" s="591"/>
      <c r="V21" s="573">
        <f t="shared" si="10"/>
        <v>1.2E-2</v>
      </c>
      <c r="W21" s="573">
        <f t="shared" si="11"/>
        <v>1.2E-2</v>
      </c>
      <c r="X21" s="587">
        <f>T21*O21</f>
        <v>1.2E-2</v>
      </c>
      <c r="Y21" s="558">
        <f t="shared" si="12"/>
        <v>1.2E-2</v>
      </c>
      <c r="Z21" s="544"/>
    </row>
    <row r="22" spans="2:26" ht="15.75" thickBot="1">
      <c r="B22" s="662"/>
      <c r="C22" s="657"/>
      <c r="D22" s="386" t="s">
        <v>239</v>
      </c>
      <c r="E22" s="369" t="s">
        <v>61</v>
      </c>
      <c r="F22" s="485"/>
      <c r="G22" s="369" t="s">
        <v>254</v>
      </c>
      <c r="H22" s="369" t="s">
        <v>234</v>
      </c>
      <c r="I22" s="369"/>
      <c r="J22" s="384">
        <v>3.3</v>
      </c>
      <c r="K22" s="428"/>
      <c r="L22" s="429">
        <f>O22/J22</f>
        <v>0.39393939393939398</v>
      </c>
      <c r="M22" s="430"/>
      <c r="N22" s="428"/>
      <c r="O22" s="723">
        <v>1.3</v>
      </c>
      <c r="P22" s="430"/>
      <c r="Q22" s="90"/>
      <c r="R22" s="431">
        <v>0.5</v>
      </c>
      <c r="S22" s="431">
        <v>0.5</v>
      </c>
      <c r="T22" s="431">
        <v>1</v>
      </c>
      <c r="U22" s="432"/>
      <c r="V22" s="432">
        <f t="shared" si="10"/>
        <v>0.65</v>
      </c>
      <c r="W22" s="432">
        <f t="shared" si="11"/>
        <v>0.65</v>
      </c>
      <c r="X22" s="535">
        <f>T22*O22</f>
        <v>1.3</v>
      </c>
      <c r="Y22" s="571">
        <f t="shared" si="12"/>
        <v>0.7279727282310946</v>
      </c>
      <c r="Z22" s="547"/>
    </row>
    <row r="23" spans="2:26" ht="15.75" thickBot="1">
      <c r="B23" s="362" t="s">
        <v>23</v>
      </c>
      <c r="C23" s="149"/>
      <c r="D23" s="376" t="s">
        <v>264</v>
      </c>
      <c r="E23" s="363" t="s">
        <v>265</v>
      </c>
      <c r="F23" s="363"/>
      <c r="G23" s="363" t="s">
        <v>260</v>
      </c>
      <c r="H23" s="363" t="s">
        <v>232</v>
      </c>
      <c r="I23" s="363"/>
      <c r="J23" s="363">
        <v>3.3</v>
      </c>
      <c r="K23" s="439"/>
      <c r="L23" s="440">
        <f>0.13</f>
        <v>0.13</v>
      </c>
      <c r="M23" s="441"/>
      <c r="N23" s="439"/>
      <c r="O23" s="442">
        <f>L23*J23</f>
        <v>0.42899999999999999</v>
      </c>
      <c r="P23" s="441"/>
      <c r="Q23" s="90"/>
      <c r="R23" s="584">
        <v>1</v>
      </c>
      <c r="S23" s="584">
        <v>1</v>
      </c>
      <c r="T23" s="584">
        <v>1</v>
      </c>
      <c r="U23" s="585"/>
      <c r="V23" s="585">
        <f t="shared" si="10"/>
        <v>0.42899999999999999</v>
      </c>
      <c r="W23" s="585">
        <f t="shared" si="11"/>
        <v>0.42899999999999999</v>
      </c>
      <c r="X23" s="592">
        <f>T23*O23</f>
        <v>0.42899999999999999</v>
      </c>
      <c r="Y23" s="593">
        <f t="shared" si="12"/>
        <v>0.42899999999999999</v>
      </c>
      <c r="Z23" s="594"/>
    </row>
    <row r="24" spans="2:26" ht="15" customHeight="1">
      <c r="B24" s="660" t="s">
        <v>48</v>
      </c>
      <c r="C24" s="655"/>
      <c r="D24" s="664" t="s">
        <v>266</v>
      </c>
      <c r="E24" s="637" t="s">
        <v>267</v>
      </c>
      <c r="F24" s="523"/>
      <c r="G24" s="637" t="s">
        <v>261</v>
      </c>
      <c r="H24" s="637" t="s">
        <v>232</v>
      </c>
      <c r="I24" s="368" t="s">
        <v>278</v>
      </c>
      <c r="J24" s="367">
        <v>3.3</v>
      </c>
      <c r="K24" s="433"/>
      <c r="L24" s="434">
        <v>1.2999999999999999E-2</v>
      </c>
      <c r="M24" s="489"/>
      <c r="N24" s="433"/>
      <c r="O24" s="724">
        <f>L24*J24</f>
        <v>4.2899999999999994E-2</v>
      </c>
      <c r="P24" s="489"/>
      <c r="Q24" s="518"/>
      <c r="R24" s="520"/>
      <c r="S24" s="520"/>
      <c r="T24" s="520"/>
      <c r="U24" s="573"/>
      <c r="V24" s="573">
        <f t="shared" si="10"/>
        <v>0</v>
      </c>
      <c r="W24" s="573">
        <f t="shared" si="11"/>
        <v>0</v>
      </c>
      <c r="X24" s="587">
        <f t="shared" ref="X24:X26" si="13">T24*O24</f>
        <v>0</v>
      </c>
      <c r="Y24" s="765">
        <f t="shared" si="12"/>
        <v>0</v>
      </c>
      <c r="Z24" s="549"/>
    </row>
    <row r="25" spans="2:26" ht="15">
      <c r="B25" s="661"/>
      <c r="C25" s="656"/>
      <c r="D25" s="636"/>
      <c r="E25" s="604"/>
      <c r="F25" s="390" t="s">
        <v>282</v>
      </c>
      <c r="G25" s="604"/>
      <c r="H25" s="604"/>
      <c r="I25" s="55" t="s">
        <v>279</v>
      </c>
      <c r="J25" s="57">
        <v>3.3</v>
      </c>
      <c r="K25" s="488"/>
      <c r="L25" s="414">
        <v>1.0999999999999999E-2</v>
      </c>
      <c r="M25" s="490"/>
      <c r="N25" s="488"/>
      <c r="O25" s="487">
        <f t="shared" ref="O25:O26" si="14">L25*J25</f>
        <v>3.6299999999999999E-2</v>
      </c>
      <c r="P25" s="413"/>
      <c r="Q25" s="518"/>
      <c r="R25" s="408">
        <v>1</v>
      </c>
      <c r="S25" s="408">
        <v>1</v>
      </c>
      <c r="T25" s="408">
        <v>1</v>
      </c>
      <c r="U25" s="409"/>
      <c r="V25" s="409">
        <f t="shared" si="10"/>
        <v>3.6299999999999999E-2</v>
      </c>
      <c r="W25" s="409">
        <f t="shared" si="11"/>
        <v>3.6299999999999999E-2</v>
      </c>
      <c r="X25" s="533">
        <f t="shared" si="13"/>
        <v>3.6299999999999999E-2</v>
      </c>
      <c r="Y25" s="558">
        <f t="shared" si="12"/>
        <v>3.6300000000000006E-2</v>
      </c>
      <c r="Z25" s="544"/>
    </row>
    <row r="26" spans="2:26" ht="15">
      <c r="B26" s="661"/>
      <c r="C26" s="656"/>
      <c r="D26" s="665"/>
      <c r="E26" s="603"/>
      <c r="F26" s="470" t="s">
        <v>281</v>
      </c>
      <c r="G26" s="603"/>
      <c r="H26" s="604"/>
      <c r="I26" s="53" t="s">
        <v>280</v>
      </c>
      <c r="J26" s="55">
        <v>3.3</v>
      </c>
      <c r="K26" s="411"/>
      <c r="L26" s="482">
        <v>0.55000000000000004</v>
      </c>
      <c r="M26" s="413"/>
      <c r="N26" s="411"/>
      <c r="O26" s="412">
        <f t="shared" si="14"/>
        <v>1.8149999999999999</v>
      </c>
      <c r="P26" s="465"/>
      <c r="Q26" s="518"/>
      <c r="R26" s="408"/>
      <c r="S26" s="408"/>
      <c r="T26" s="408"/>
      <c r="U26" s="409"/>
      <c r="V26" s="409">
        <f t="shared" si="10"/>
        <v>0</v>
      </c>
      <c r="W26" s="409">
        <f t="shared" ref="W26" si="15">S26*O26</f>
        <v>0</v>
      </c>
      <c r="X26" s="533">
        <f t="shared" si="13"/>
        <v>0</v>
      </c>
      <c r="Y26" s="558">
        <f t="shared" si="12"/>
        <v>0</v>
      </c>
      <c r="Z26" s="544"/>
    </row>
    <row r="27" spans="2:26" ht="15">
      <c r="B27" s="661"/>
      <c r="C27" s="656"/>
      <c r="D27" s="635" t="s">
        <v>66</v>
      </c>
      <c r="E27" s="602" t="s">
        <v>262</v>
      </c>
      <c r="F27" s="470"/>
      <c r="G27" s="602" t="s">
        <v>249</v>
      </c>
      <c r="H27" s="604"/>
      <c r="I27" s="55" t="s">
        <v>115</v>
      </c>
      <c r="J27" s="55">
        <v>3.3</v>
      </c>
      <c r="K27" s="435">
        <v>4.4999999999999998E-2</v>
      </c>
      <c r="L27" s="414">
        <v>5.5000000000000007E-2</v>
      </c>
      <c r="M27" s="410">
        <v>0.12</v>
      </c>
      <c r="N27" s="411">
        <f>J27*K27</f>
        <v>0.14849999999999999</v>
      </c>
      <c r="O27" s="412">
        <f>L27*J27</f>
        <v>0.18150000000000002</v>
      </c>
      <c r="P27" s="413">
        <f>M27*J27</f>
        <v>0.39599999999999996</v>
      </c>
      <c r="Q27" s="90"/>
      <c r="R27" s="408">
        <v>0.9</v>
      </c>
      <c r="S27" s="408">
        <v>0.9</v>
      </c>
      <c r="T27" s="408">
        <v>0.8</v>
      </c>
      <c r="U27" s="409"/>
      <c r="V27" s="409">
        <f>R27*O27</f>
        <v>0.16335000000000002</v>
      </c>
      <c r="W27" s="409">
        <f>S27*O27</f>
        <v>0.16335000000000002</v>
      </c>
      <c r="X27" s="533">
        <f>T27*P27</f>
        <v>0.31679999999999997</v>
      </c>
      <c r="Y27" s="558">
        <f t="shared" si="12"/>
        <v>0.18175756176470995</v>
      </c>
      <c r="Z27" s="544"/>
    </row>
    <row r="28" spans="2:26" ht="15" customHeight="1">
      <c r="B28" s="661"/>
      <c r="C28" s="656"/>
      <c r="D28" s="636"/>
      <c r="E28" s="604"/>
      <c r="F28" s="472" t="s">
        <v>306</v>
      </c>
      <c r="G28" s="604"/>
      <c r="H28" s="604"/>
      <c r="I28" s="602" t="s">
        <v>111</v>
      </c>
      <c r="J28" s="602">
        <v>3.3</v>
      </c>
      <c r="K28" s="638">
        <v>0.6</v>
      </c>
      <c r="L28" s="640">
        <v>0.8</v>
      </c>
      <c r="M28" s="642">
        <v>1</v>
      </c>
      <c r="N28" s="644">
        <f>J28*K28</f>
        <v>1.9799999999999998</v>
      </c>
      <c r="O28" s="646">
        <f>L28*J28</f>
        <v>2.64</v>
      </c>
      <c r="P28" s="648">
        <f>M28*J28</f>
        <v>3.3</v>
      </c>
      <c r="Q28" s="90"/>
      <c r="R28" s="627">
        <f>100%-R27</f>
        <v>9.9999999999999978E-2</v>
      </c>
      <c r="S28" s="627">
        <f t="shared" ref="S28:T28" si="16">100%-S27</f>
        <v>9.9999999999999978E-2</v>
      </c>
      <c r="T28" s="627">
        <f t="shared" si="16"/>
        <v>0.19999999999999996</v>
      </c>
      <c r="U28" s="631"/>
      <c r="V28" s="629">
        <f>R28*O28</f>
        <v>0.26399999999999996</v>
      </c>
      <c r="W28" s="629">
        <f>S28*O28</f>
        <v>0.26399999999999996</v>
      </c>
      <c r="X28" s="685">
        <f>T28*P28</f>
        <v>0.65999999999999981</v>
      </c>
      <c r="Y28" s="762">
        <f>(V28*2973.11618+W28*2022.86871+X28*681)/5676.98489</f>
        <v>0.31150338519925136</v>
      </c>
      <c r="Z28" s="548"/>
    </row>
    <row r="29" spans="2:26" ht="14.25" customHeight="1">
      <c r="B29" s="661"/>
      <c r="C29" s="656"/>
      <c r="D29" s="636"/>
      <c r="E29" s="604"/>
      <c r="F29" s="517" t="s">
        <v>285</v>
      </c>
      <c r="G29" s="603"/>
      <c r="H29" s="603"/>
      <c r="I29" s="603"/>
      <c r="J29" s="604"/>
      <c r="K29" s="639"/>
      <c r="L29" s="641"/>
      <c r="M29" s="643"/>
      <c r="N29" s="645"/>
      <c r="O29" s="647"/>
      <c r="P29" s="649"/>
      <c r="Q29" s="90"/>
      <c r="R29" s="628"/>
      <c r="S29" s="628"/>
      <c r="T29" s="628"/>
      <c r="U29" s="632"/>
      <c r="V29" s="630"/>
      <c r="W29" s="630"/>
      <c r="X29" s="686"/>
      <c r="Y29" s="762"/>
      <c r="Z29" s="549"/>
    </row>
    <row r="30" spans="2:26">
      <c r="B30" s="661"/>
      <c r="C30" s="656"/>
      <c r="D30" s="480" t="s">
        <v>268</v>
      </c>
      <c r="E30" s="64" t="s">
        <v>270</v>
      </c>
      <c r="F30" s="379"/>
      <c r="G30" s="650" t="s">
        <v>247</v>
      </c>
      <c r="H30" s="650" t="s">
        <v>233</v>
      </c>
      <c r="I30" s="58"/>
      <c r="J30" s="64">
        <v>5</v>
      </c>
      <c r="K30" s="509"/>
      <c r="L30" s="492">
        <v>0</v>
      </c>
      <c r="M30" s="466"/>
      <c r="N30" s="509"/>
      <c r="O30" s="481">
        <v>0</v>
      </c>
      <c r="P30" s="491"/>
      <c r="R30" s="501">
        <v>0</v>
      </c>
      <c r="S30" s="501">
        <v>0</v>
      </c>
      <c r="T30" s="501">
        <v>0</v>
      </c>
      <c r="U30" s="478"/>
      <c r="V30" s="502">
        <f t="shared" ref="V30:V37" si="17">R30*O30</f>
        <v>0</v>
      </c>
      <c r="W30" s="502">
        <f>S30*O30</f>
        <v>0</v>
      </c>
      <c r="X30" s="536">
        <f>T30*O30</f>
        <v>0</v>
      </c>
      <c r="Y30" s="559">
        <f>(V30*2973.11618+W30*2022.86871+X30*681)/5676.98489</f>
        <v>0</v>
      </c>
      <c r="Z30" s="375"/>
    </row>
    <row r="31" spans="2:26" ht="15">
      <c r="B31" s="661"/>
      <c r="C31" s="656"/>
      <c r="D31" s="652" t="s">
        <v>269</v>
      </c>
      <c r="E31" s="650" t="s">
        <v>263</v>
      </c>
      <c r="F31" s="497"/>
      <c r="G31" s="605"/>
      <c r="H31" s="605"/>
      <c r="I31" s="64" t="s">
        <v>286</v>
      </c>
      <c r="J31" s="64">
        <v>5</v>
      </c>
      <c r="K31" s="463"/>
      <c r="L31" s="467">
        <f>O31/5</f>
        <v>0.122</v>
      </c>
      <c r="M31" s="466"/>
      <c r="N31" s="496"/>
      <c r="O31" s="464">
        <v>0.61</v>
      </c>
      <c r="P31" s="476"/>
      <c r="Q31" s="90"/>
      <c r="R31" s="493">
        <v>0</v>
      </c>
      <c r="S31" s="493">
        <v>0</v>
      </c>
      <c r="T31" s="493">
        <v>0</v>
      </c>
      <c r="U31" s="494"/>
      <c r="V31" s="494">
        <f t="shared" si="17"/>
        <v>0</v>
      </c>
      <c r="W31" s="502">
        <f t="shared" ref="W31:W32" si="18">S31*O31</f>
        <v>0</v>
      </c>
      <c r="X31" s="536">
        <f t="shared" ref="X31:X32" si="19">T31*O31</f>
        <v>0</v>
      </c>
      <c r="Y31" s="559">
        <f t="shared" ref="Y31:Y37" si="20">(V31*2973.11618+W31*2022.86871+X31*681)/5676.98489</f>
        <v>0</v>
      </c>
      <c r="Z31" s="550"/>
    </row>
    <row r="32" spans="2:26" ht="15">
      <c r="B32" s="661"/>
      <c r="C32" s="656"/>
      <c r="D32" s="653"/>
      <c r="E32" s="605"/>
      <c r="F32" s="497"/>
      <c r="G32" s="605"/>
      <c r="H32" s="605"/>
      <c r="I32" s="64" t="s">
        <v>283</v>
      </c>
      <c r="J32" s="64">
        <v>5</v>
      </c>
      <c r="K32" s="463"/>
      <c r="L32" s="467">
        <f>O32/5</f>
        <v>0.54</v>
      </c>
      <c r="M32" s="466"/>
      <c r="N32" s="496"/>
      <c r="O32" s="464">
        <v>2.7</v>
      </c>
      <c r="P32" s="476"/>
      <c r="Q32" s="90"/>
      <c r="R32" s="493">
        <v>0</v>
      </c>
      <c r="S32" s="493">
        <v>0</v>
      </c>
      <c r="T32" s="493">
        <v>0</v>
      </c>
      <c r="U32" s="494"/>
      <c r="V32" s="494">
        <f t="shared" si="17"/>
        <v>0</v>
      </c>
      <c r="W32" s="502">
        <f t="shared" si="18"/>
        <v>0</v>
      </c>
      <c r="X32" s="536">
        <f t="shared" si="19"/>
        <v>0</v>
      </c>
      <c r="Y32" s="559">
        <f t="shared" si="20"/>
        <v>0</v>
      </c>
      <c r="Z32" s="550"/>
    </row>
    <row r="33" spans="2:27" ht="15.75" thickBot="1">
      <c r="B33" s="662"/>
      <c r="C33" s="657"/>
      <c r="D33" s="654"/>
      <c r="E33" s="651"/>
      <c r="F33" s="498"/>
      <c r="G33" s="651"/>
      <c r="H33" s="651"/>
      <c r="I33" s="63" t="s">
        <v>284</v>
      </c>
      <c r="J33" s="63">
        <v>5</v>
      </c>
      <c r="K33" s="422"/>
      <c r="L33" s="425">
        <f>O33/5</f>
        <v>0.91999999999999993</v>
      </c>
      <c r="M33" s="424">
        <f>P33/5</f>
        <v>1</v>
      </c>
      <c r="N33" s="436"/>
      <c r="O33" s="423">
        <v>4.5999999999999996</v>
      </c>
      <c r="P33" s="437">
        <v>5</v>
      </c>
      <c r="Q33" s="90"/>
      <c r="R33" s="426">
        <v>0</v>
      </c>
      <c r="S33" s="426">
        <v>0</v>
      </c>
      <c r="T33" s="426">
        <v>0</v>
      </c>
      <c r="U33" s="427"/>
      <c r="V33" s="507">
        <f t="shared" si="17"/>
        <v>0</v>
      </c>
      <c r="W33" s="507">
        <f t="shared" ref="W33:X37" si="21">S33*O33</f>
        <v>0</v>
      </c>
      <c r="X33" s="537">
        <f t="shared" si="21"/>
        <v>0</v>
      </c>
      <c r="Y33" s="763">
        <f t="shared" si="20"/>
        <v>0</v>
      </c>
      <c r="Z33" s="546"/>
    </row>
    <row r="34" spans="2:27">
      <c r="B34" s="660" t="s">
        <v>67</v>
      </c>
      <c r="C34" s="381" t="s">
        <v>67</v>
      </c>
      <c r="D34" s="512" t="s">
        <v>287</v>
      </c>
      <c r="E34" s="364" t="s">
        <v>275</v>
      </c>
      <c r="F34" s="364"/>
      <c r="G34" s="364" t="s">
        <v>272</v>
      </c>
      <c r="H34" s="364" t="s">
        <v>227</v>
      </c>
      <c r="I34" s="364"/>
      <c r="J34" s="364">
        <v>5</v>
      </c>
      <c r="K34" s="443"/>
      <c r="L34" s="444">
        <f>O34/J34</f>
        <v>0.2</v>
      </c>
      <c r="M34" s="445"/>
      <c r="N34" s="443"/>
      <c r="O34" s="444">
        <v>1</v>
      </c>
      <c r="P34" s="445"/>
      <c r="Q34" s="130"/>
      <c r="R34" s="446">
        <v>0</v>
      </c>
      <c r="S34" s="446">
        <v>0</v>
      </c>
      <c r="T34" s="446">
        <v>1</v>
      </c>
      <c r="U34" s="447"/>
      <c r="V34" s="448">
        <f t="shared" si="17"/>
        <v>0</v>
      </c>
      <c r="W34" s="448">
        <f t="shared" si="21"/>
        <v>0</v>
      </c>
      <c r="X34" s="538">
        <f>T34*O34</f>
        <v>1</v>
      </c>
      <c r="Y34" s="768">
        <f t="shared" si="20"/>
        <v>0.11995804343245312</v>
      </c>
      <c r="Z34" s="551"/>
    </row>
    <row r="35" spans="2:27">
      <c r="B35" s="661"/>
      <c r="C35" s="658" t="s">
        <v>24</v>
      </c>
      <c r="D35" s="513" t="s">
        <v>288</v>
      </c>
      <c r="E35" s="175" t="s">
        <v>274</v>
      </c>
      <c r="F35" s="175"/>
      <c r="G35" s="175" t="s">
        <v>271</v>
      </c>
      <c r="H35" s="175" t="s">
        <v>228</v>
      </c>
      <c r="I35" s="158"/>
      <c r="J35" s="158">
        <v>5</v>
      </c>
      <c r="K35" s="449"/>
      <c r="L35" s="450">
        <f>O35/J35</f>
        <v>0.2</v>
      </c>
      <c r="M35" s="451"/>
      <c r="N35" s="449"/>
      <c r="O35" s="450">
        <v>1</v>
      </c>
      <c r="P35" s="451"/>
      <c r="Q35" s="130"/>
      <c r="R35" s="452">
        <v>0</v>
      </c>
      <c r="S35" s="452">
        <v>0</v>
      </c>
      <c r="T35" s="452">
        <v>1</v>
      </c>
      <c r="U35" s="453"/>
      <c r="V35" s="454">
        <f t="shared" si="17"/>
        <v>0</v>
      </c>
      <c r="W35" s="454">
        <f t="shared" si="21"/>
        <v>0</v>
      </c>
      <c r="X35" s="539">
        <f>T35*O35</f>
        <v>1</v>
      </c>
      <c r="Y35" s="767">
        <f t="shared" si="20"/>
        <v>0.11995804343245312</v>
      </c>
      <c r="Z35" s="552"/>
    </row>
    <row r="36" spans="2:27">
      <c r="B36" s="661"/>
      <c r="C36" s="659"/>
      <c r="D36" s="514" t="s">
        <v>288</v>
      </c>
      <c r="E36" s="173" t="s">
        <v>274</v>
      </c>
      <c r="F36" s="173"/>
      <c r="G36" s="173" t="s">
        <v>271</v>
      </c>
      <c r="H36" s="173" t="s">
        <v>65</v>
      </c>
      <c r="I36" s="155"/>
      <c r="J36" s="155">
        <v>3.3</v>
      </c>
      <c r="K36" s="510"/>
      <c r="L36" s="455"/>
      <c r="M36" s="511">
        <f>P36/J36</f>
        <v>0.60606060606060608</v>
      </c>
      <c r="N36" s="510"/>
      <c r="O36" s="455"/>
      <c r="P36" s="456">
        <v>2</v>
      </c>
      <c r="R36" s="457">
        <v>0</v>
      </c>
      <c r="S36" s="457">
        <v>0</v>
      </c>
      <c r="T36" s="457">
        <v>0</v>
      </c>
      <c r="U36" s="156"/>
      <c r="V36" s="458">
        <f t="shared" si="17"/>
        <v>0</v>
      </c>
      <c r="W36" s="458">
        <f t="shared" si="21"/>
        <v>0</v>
      </c>
      <c r="X36" s="540">
        <f t="shared" si="21"/>
        <v>0</v>
      </c>
      <c r="Y36" s="561">
        <f t="shared" si="20"/>
        <v>0</v>
      </c>
      <c r="Z36" s="167"/>
    </row>
    <row r="37" spans="2:27" ht="15.75" thickBot="1">
      <c r="B37" s="662"/>
      <c r="C37" s="515" t="s">
        <v>22</v>
      </c>
      <c r="D37" s="516" t="s">
        <v>289</v>
      </c>
      <c r="E37" s="366" t="s">
        <v>273</v>
      </c>
      <c r="F37" s="366" t="s">
        <v>305</v>
      </c>
      <c r="G37" s="366" t="s">
        <v>249</v>
      </c>
      <c r="H37" s="366" t="s">
        <v>75</v>
      </c>
      <c r="I37" s="365"/>
      <c r="J37" s="365">
        <v>3.3</v>
      </c>
      <c r="K37" s="459">
        <f>N37/J37</f>
        <v>0.11515151515151516</v>
      </c>
      <c r="L37" s="460">
        <f>O37/J37</f>
        <v>0.24242424242424246</v>
      </c>
      <c r="M37" s="461">
        <f>P37/J37</f>
        <v>0.54545454545454553</v>
      </c>
      <c r="N37" s="499">
        <v>0.38</v>
      </c>
      <c r="O37" s="462">
        <v>0.8</v>
      </c>
      <c r="P37" s="500">
        <v>1.8</v>
      </c>
      <c r="Q37" s="130"/>
      <c r="R37" s="503">
        <v>0</v>
      </c>
      <c r="S37" s="503">
        <v>0</v>
      </c>
      <c r="T37" s="503">
        <v>1</v>
      </c>
      <c r="U37" s="504"/>
      <c r="V37" s="505">
        <f t="shared" si="17"/>
        <v>0</v>
      </c>
      <c r="W37" s="505">
        <f t="shared" si="21"/>
        <v>0</v>
      </c>
      <c r="X37" s="541">
        <f t="shared" si="21"/>
        <v>1.8</v>
      </c>
      <c r="Y37" s="572">
        <f t="shared" si="20"/>
        <v>0.21592447817841559</v>
      </c>
      <c r="Z37" s="553"/>
    </row>
    <row r="38" spans="2:27" ht="15" thickBot="1">
      <c r="O38" s="90"/>
      <c r="P38" s="90"/>
      <c r="Q38" s="90"/>
      <c r="U38" s="146" t="s">
        <v>163</v>
      </c>
      <c r="V38" s="438">
        <f>SUM(V5:V37)/0.9</f>
        <v>3.5474655555555548</v>
      </c>
      <c r="W38" s="438">
        <f>SUM(W5:W37)/0.9</f>
        <v>3.5474655555555548</v>
      </c>
      <c r="X38" s="769">
        <f>SUM(X5:X37)/0.9</f>
        <v>11.930187777777777</v>
      </c>
      <c r="Y38" s="771">
        <f>SUM(Y5:Y37)/0.9</f>
        <v>4.5530405119710791</v>
      </c>
      <c r="Z38" s="770" t="s">
        <v>119</v>
      </c>
      <c r="AA38" s="1" t="s">
        <v>4</v>
      </c>
    </row>
    <row r="39" spans="2:27">
      <c r="O39" s="90"/>
      <c r="P39" s="90"/>
      <c r="Q39" s="90"/>
      <c r="U39" s="117" t="s">
        <v>10</v>
      </c>
      <c r="V39" s="526">
        <f>1.135*20*R4/3600</f>
        <v>18.747149233302121</v>
      </c>
      <c r="W39" s="526">
        <v>0</v>
      </c>
      <c r="X39" s="526">
        <v>0</v>
      </c>
      <c r="Y39" s="527">
        <f t="shared" ref="Y39:Y44" si="22">V39+W39+X39</f>
        <v>18.747149233302121</v>
      </c>
      <c r="Z39" s="118" t="s">
        <v>129</v>
      </c>
    </row>
    <row r="40" spans="2:27">
      <c r="O40" s="90"/>
      <c r="P40" s="90"/>
      <c r="Q40" s="90"/>
      <c r="R40" s="90"/>
      <c r="U40" s="117" t="s">
        <v>9</v>
      </c>
      <c r="V40" s="5">
        <f>V38*R4/3600</f>
        <v>2.9297297872246255</v>
      </c>
      <c r="W40" s="5">
        <f>W38*S4/3600</f>
        <v>1.9933491875192175</v>
      </c>
      <c r="X40" s="5">
        <f>X38*T4/3600</f>
        <v>2.2567938546296293</v>
      </c>
      <c r="Y40" s="522">
        <f t="shared" si="22"/>
        <v>7.1798728293734726</v>
      </c>
      <c r="Z40" s="118" t="s">
        <v>129</v>
      </c>
    </row>
    <row r="41" spans="2:27">
      <c r="O41" s="90"/>
      <c r="P41" s="90"/>
      <c r="Q41" s="90"/>
      <c r="R41" s="90"/>
      <c r="U41" s="117" t="s">
        <v>100</v>
      </c>
      <c r="V41" s="563">
        <f>Y39-Y40</f>
        <v>11.567276403928648</v>
      </c>
      <c r="W41" s="5"/>
      <c r="X41" s="5"/>
      <c r="Y41" s="522">
        <f t="shared" si="22"/>
        <v>11.567276403928648</v>
      </c>
      <c r="Z41" s="118" t="s">
        <v>129</v>
      </c>
    </row>
    <row r="42" spans="2:27">
      <c r="O42" s="90"/>
      <c r="P42" s="90"/>
      <c r="Q42" s="90"/>
      <c r="R42" s="90"/>
      <c r="U42" s="117" t="s">
        <v>179</v>
      </c>
      <c r="V42" s="5">
        <f>100*(Y39/Y40-1)</f>
        <v>161.10698168087231</v>
      </c>
      <c r="W42" s="5"/>
      <c r="X42" s="5"/>
      <c r="Y42" s="522">
        <f t="shared" si="22"/>
        <v>161.10698168087231</v>
      </c>
      <c r="Z42" s="118" t="s">
        <v>110</v>
      </c>
    </row>
    <row r="43" spans="2:27">
      <c r="O43" s="90"/>
      <c r="P43" s="90"/>
      <c r="Q43" s="90"/>
      <c r="R43" s="90"/>
      <c r="U43" s="117" t="s">
        <v>107</v>
      </c>
      <c r="V43" s="5">
        <f>V41/$V$39*100</f>
        <v>61.70152197530242</v>
      </c>
      <c r="W43" s="5"/>
      <c r="X43" s="5"/>
      <c r="Y43" s="522">
        <f t="shared" si="22"/>
        <v>61.70152197530242</v>
      </c>
      <c r="Z43" s="118" t="s">
        <v>110</v>
      </c>
      <c r="AA43" s="21" t="s">
        <v>77</v>
      </c>
    </row>
    <row r="44" spans="2:27" ht="15" thickBot="1">
      <c r="O44" s="90"/>
      <c r="P44" s="90"/>
      <c r="Q44" s="90"/>
      <c r="R44" s="90"/>
      <c r="U44" s="119" t="s">
        <v>167</v>
      </c>
      <c r="V44" s="120">
        <f>(V39-V40)/40*100</f>
        <v>39.543548615193743</v>
      </c>
      <c r="W44" s="120">
        <f>(W39-W40)/40*100</f>
        <v>-4.9833729687980437</v>
      </c>
      <c r="X44" s="120">
        <f>(X39-X40)/40*100</f>
        <v>-5.6419846365740733</v>
      </c>
      <c r="Y44" s="564">
        <f t="shared" si="22"/>
        <v>28.918191009821626</v>
      </c>
      <c r="Z44" s="121" t="s">
        <v>110</v>
      </c>
    </row>
    <row r="48" spans="2:27">
      <c r="O48" s="90"/>
      <c r="P48" s="90"/>
      <c r="Q48" s="90"/>
      <c r="R48" s="90"/>
      <c r="S48" s="90"/>
    </row>
    <row r="49" spans="15:19">
      <c r="O49" s="90"/>
      <c r="P49" s="90"/>
      <c r="Q49" s="90"/>
      <c r="R49" s="90"/>
      <c r="S49" s="90"/>
    </row>
    <row r="50" spans="15:19">
      <c r="O50" s="90"/>
      <c r="P50" s="90"/>
      <c r="Q50" s="90"/>
      <c r="R50" s="90"/>
      <c r="S50" s="90"/>
    </row>
    <row r="51" spans="15:19">
      <c r="R51" s="90"/>
      <c r="S51" s="90"/>
    </row>
    <row r="52" spans="15:19">
      <c r="R52" s="90"/>
      <c r="S52" s="90"/>
    </row>
  </sheetData>
  <mergeCells count="87">
    <mergeCell ref="W16:W18"/>
    <mergeCell ref="W28:W29"/>
    <mergeCell ref="X16:X18"/>
    <mergeCell ref="X28:X29"/>
    <mergeCell ref="U28:U29"/>
    <mergeCell ref="V28:V29"/>
    <mergeCell ref="U16:U18"/>
    <mergeCell ref="B34:B37"/>
    <mergeCell ref="C35:C36"/>
    <mergeCell ref="R2:T2"/>
    <mergeCell ref="S16:S18"/>
    <mergeCell ref="T16:T18"/>
    <mergeCell ref="S28:S29"/>
    <mergeCell ref="T28:T29"/>
    <mergeCell ref="R28:R29"/>
    <mergeCell ref="G30:G33"/>
    <mergeCell ref="H30:H33"/>
    <mergeCell ref="K28:K29"/>
    <mergeCell ref="L28:L29"/>
    <mergeCell ref="M28:M29"/>
    <mergeCell ref="N28:N29"/>
    <mergeCell ref="H8:H14"/>
    <mergeCell ref="G9:G14"/>
    <mergeCell ref="O28:O29"/>
    <mergeCell ref="P28:P29"/>
    <mergeCell ref="H24:H29"/>
    <mergeCell ref="D27:D29"/>
    <mergeCell ref="E27:E29"/>
    <mergeCell ref="G27:G29"/>
    <mergeCell ref="I28:I29"/>
    <mergeCell ref="J28:J29"/>
    <mergeCell ref="H19:H20"/>
    <mergeCell ref="C21:C22"/>
    <mergeCell ref="B24:B33"/>
    <mergeCell ref="C24:C33"/>
    <mergeCell ref="D24:D26"/>
    <mergeCell ref="E24:E26"/>
    <mergeCell ref="G24:G26"/>
    <mergeCell ref="D31:D33"/>
    <mergeCell ref="E31:E33"/>
    <mergeCell ref="N16:N18"/>
    <mergeCell ref="O16:O18"/>
    <mergeCell ref="P16:P18"/>
    <mergeCell ref="R16:R18"/>
    <mergeCell ref="V16:V18"/>
    <mergeCell ref="M16:M18"/>
    <mergeCell ref="E12:E13"/>
    <mergeCell ref="D14:D15"/>
    <mergeCell ref="E14:E15"/>
    <mergeCell ref="D16:D18"/>
    <mergeCell ref="E16:E18"/>
    <mergeCell ref="G16:G18"/>
    <mergeCell ref="H16:H18"/>
    <mergeCell ref="I16:I18"/>
    <mergeCell ref="J16:J18"/>
    <mergeCell ref="K16:K18"/>
    <mergeCell ref="L16:L18"/>
    <mergeCell ref="F16:F18"/>
    <mergeCell ref="B5:B7"/>
    <mergeCell ref="C5:C6"/>
    <mergeCell ref="G5:G6"/>
    <mergeCell ref="C7:C8"/>
    <mergeCell ref="B8:B22"/>
    <mergeCell ref="C9:C20"/>
    <mergeCell ref="D12:D13"/>
    <mergeCell ref="D19:D20"/>
    <mergeCell ref="G19:G20"/>
    <mergeCell ref="B3:B4"/>
    <mergeCell ref="C3:D4"/>
    <mergeCell ref="E3:E4"/>
    <mergeCell ref="F3:F4"/>
    <mergeCell ref="G3:G4"/>
    <mergeCell ref="U2:Z2"/>
    <mergeCell ref="Y16:Y18"/>
    <mergeCell ref="Y28:Y29"/>
    <mergeCell ref="C2:D2"/>
    <mergeCell ref="K2:M2"/>
    <mergeCell ref="N2:P2"/>
    <mergeCell ref="H3:H4"/>
    <mergeCell ref="I3:I4"/>
    <mergeCell ref="P3:P4"/>
    <mergeCell ref="J3:J4"/>
    <mergeCell ref="K3:K4"/>
    <mergeCell ref="L3:L4"/>
    <mergeCell ref="M3:M4"/>
    <mergeCell ref="N3:N4"/>
    <mergeCell ref="O3:O4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685B-0EE9-471A-AC97-465D76ED836A}">
  <dimension ref="B1:AC52"/>
  <sheetViews>
    <sheetView zoomScale="85" zoomScaleNormal="85" workbookViewId="0">
      <pane xSplit="5" topLeftCell="N1" activePane="topRight" state="frozen"/>
      <selection pane="topRight" activeCell="X38" sqref="X38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127" t="s">
        <v>154</v>
      </c>
      <c r="C2" s="599" t="s">
        <v>224</v>
      </c>
      <c r="D2" s="601"/>
      <c r="E2" s="127" t="s">
        <v>71</v>
      </c>
      <c r="F2" s="127" t="s">
        <v>256</v>
      </c>
      <c r="G2" s="127" t="s">
        <v>243</v>
      </c>
      <c r="H2" s="127" t="s">
        <v>231</v>
      </c>
      <c r="I2" s="127" t="s">
        <v>53</v>
      </c>
      <c r="J2" s="152" t="s">
        <v>174</v>
      </c>
      <c r="K2" s="599" t="s">
        <v>6</v>
      </c>
      <c r="L2" s="600"/>
      <c r="M2" s="601"/>
      <c r="N2" s="599" t="s">
        <v>76</v>
      </c>
      <c r="O2" s="600"/>
      <c r="P2" s="601"/>
      <c r="R2" s="599" t="s">
        <v>93</v>
      </c>
      <c r="S2" s="600"/>
      <c r="T2" s="601"/>
      <c r="U2" s="599" t="s">
        <v>158</v>
      </c>
      <c r="V2" s="600"/>
      <c r="W2" s="600"/>
      <c r="X2" s="600"/>
      <c r="Y2" s="600"/>
      <c r="Z2" s="601"/>
      <c r="AB2" s="244" t="s">
        <v>91</v>
      </c>
      <c r="AC2" s="168"/>
    </row>
    <row r="3" spans="2:29">
      <c r="B3" s="670"/>
      <c r="C3" s="677"/>
      <c r="D3" s="678"/>
      <c r="E3" s="670"/>
      <c r="F3" s="670"/>
      <c r="G3" s="670"/>
      <c r="H3" s="670"/>
      <c r="I3" s="670"/>
      <c r="J3" s="670"/>
      <c r="K3" s="655" t="s">
        <v>56</v>
      </c>
      <c r="L3" s="666" t="s">
        <v>73</v>
      </c>
      <c r="M3" s="668" t="s">
        <v>90</v>
      </c>
      <c r="N3" s="655" t="s">
        <v>52</v>
      </c>
      <c r="O3" s="666" t="s">
        <v>73</v>
      </c>
      <c r="P3" s="668" t="s">
        <v>90</v>
      </c>
      <c r="Q3" s="1" t="s">
        <v>53</v>
      </c>
      <c r="R3" s="154" t="s">
        <v>293</v>
      </c>
      <c r="S3" s="154" t="s">
        <v>292</v>
      </c>
      <c r="T3" s="154" t="s">
        <v>295</v>
      </c>
      <c r="U3" s="305"/>
      <c r="V3" s="524" t="s">
        <v>293</v>
      </c>
      <c r="W3" s="525" t="s">
        <v>292</v>
      </c>
      <c r="X3" s="524" t="s">
        <v>295</v>
      </c>
      <c r="Y3" s="153" t="s">
        <v>296</v>
      </c>
      <c r="Z3" s="371"/>
      <c r="AB3" s="124" t="s">
        <v>181</v>
      </c>
      <c r="AC3" s="123">
        <f>parameter!C8</f>
        <v>5676.9848887954295</v>
      </c>
    </row>
    <row r="4" spans="2:29" ht="15" thickBot="1">
      <c r="B4" s="671"/>
      <c r="C4" s="679"/>
      <c r="D4" s="680"/>
      <c r="E4" s="671"/>
      <c r="F4" s="671"/>
      <c r="G4" s="671"/>
      <c r="H4" s="671"/>
      <c r="I4" s="671"/>
      <c r="J4" s="671"/>
      <c r="K4" s="657"/>
      <c r="L4" s="667"/>
      <c r="M4" s="669"/>
      <c r="N4" s="657"/>
      <c r="O4" s="667"/>
      <c r="P4" s="669"/>
      <c r="Q4" s="90" t="s">
        <v>64</v>
      </c>
      <c r="R4" s="483">
        <f>AC6</f>
        <v>3654.1161779686181</v>
      </c>
      <c r="S4" s="483">
        <f>AC7-AC5</f>
        <v>1361.8687108268114</v>
      </c>
      <c r="T4" s="483">
        <f>AC5</f>
        <v>661</v>
      </c>
      <c r="U4" s="370"/>
      <c r="V4" s="484">
        <f>AC6</f>
        <v>3654.1161779686181</v>
      </c>
      <c r="W4" s="484">
        <f>AC7-AC5</f>
        <v>1361.8687108268114</v>
      </c>
      <c r="X4" s="484">
        <f>AC5</f>
        <v>661</v>
      </c>
      <c r="Y4" s="726">
        <f>V4+W4+X4</f>
        <v>5676.9848887954295</v>
      </c>
      <c r="Z4" s="530"/>
      <c r="AB4" s="124" t="s">
        <v>176</v>
      </c>
      <c r="AC4" s="123">
        <v>681</v>
      </c>
    </row>
    <row r="5" spans="2:29" ht="15">
      <c r="B5" s="660" t="s">
        <v>226</v>
      </c>
      <c r="C5" s="655"/>
      <c r="D5" s="306" t="s">
        <v>237</v>
      </c>
      <c r="E5" s="154" t="s">
        <v>148</v>
      </c>
      <c r="F5" s="154" t="s">
        <v>290</v>
      </c>
      <c r="G5" s="670" t="s">
        <v>247</v>
      </c>
      <c r="H5" s="154"/>
      <c r="I5" s="154"/>
      <c r="J5" s="388"/>
      <c r="K5" s="392"/>
      <c r="L5" s="393"/>
      <c r="M5" s="394"/>
      <c r="N5" s="392"/>
      <c r="O5" s="727">
        <v>0.8</v>
      </c>
      <c r="P5" s="394"/>
      <c r="Q5" s="90"/>
      <c r="R5" s="574">
        <v>1</v>
      </c>
      <c r="S5" s="574">
        <v>1</v>
      </c>
      <c r="T5" s="574">
        <v>1</v>
      </c>
      <c r="U5" s="575"/>
      <c r="V5" s="754">
        <f>R5*O5</f>
        <v>0.8</v>
      </c>
      <c r="W5" s="754">
        <f t="shared" ref="W5:W13" si="0">O5*S5</f>
        <v>0.8</v>
      </c>
      <c r="X5" s="755">
        <f>O5*T5</f>
        <v>0.8</v>
      </c>
      <c r="Y5" s="556">
        <f>(V5*3654.116178+W5*1361.868711+X5*661)/5676.98489</f>
        <v>0.79999999985908021</v>
      </c>
      <c r="Z5" s="576"/>
      <c r="AB5" s="124" t="s">
        <v>165</v>
      </c>
      <c r="AC5" s="123">
        <v>661</v>
      </c>
    </row>
    <row r="6" spans="2:29">
      <c r="B6" s="661"/>
      <c r="C6" s="659"/>
      <c r="D6" s="116" t="s">
        <v>238</v>
      </c>
      <c r="E6" s="687" t="s">
        <v>297</v>
      </c>
      <c r="F6" s="50"/>
      <c r="G6" s="676"/>
      <c r="H6" s="50"/>
      <c r="I6" s="50"/>
      <c r="J6" s="389"/>
      <c r="K6" s="397"/>
      <c r="L6" s="398"/>
      <c r="M6" s="399"/>
      <c r="N6" s="397"/>
      <c r="O6" s="398"/>
      <c r="P6" s="399"/>
      <c r="Q6" s="519"/>
      <c r="R6" s="395">
        <v>1</v>
      </c>
      <c r="S6" s="395">
        <v>1</v>
      </c>
      <c r="T6" s="395">
        <v>1</v>
      </c>
      <c r="U6" s="396"/>
      <c r="V6" s="757">
        <f t="shared" ref="V6:V7" si="1">R6*O6</f>
        <v>0</v>
      </c>
      <c r="W6" s="396">
        <f t="shared" si="0"/>
        <v>0</v>
      </c>
      <c r="X6" s="532">
        <f t="shared" ref="X6:X9" si="2">O6*T6</f>
        <v>0</v>
      </c>
      <c r="Y6" s="557">
        <f t="shared" ref="Y6:Y37" si="3">(V6*3654.116178+W6*1361.868711+X6*661)/5676.98489</f>
        <v>0</v>
      </c>
      <c r="Z6" s="542"/>
      <c r="AB6" s="124" t="s">
        <v>0</v>
      </c>
      <c r="AC6" s="123">
        <f>parameter!C10</f>
        <v>3654.1161779686181</v>
      </c>
    </row>
    <row r="7" spans="2:29" ht="15" thickBot="1">
      <c r="B7" s="675"/>
      <c r="C7" s="681" t="s">
        <v>229</v>
      </c>
      <c r="D7" s="380" t="s">
        <v>138</v>
      </c>
      <c r="E7" s="361" t="s">
        <v>248</v>
      </c>
      <c r="F7" s="361"/>
      <c r="G7" s="361" t="s">
        <v>240</v>
      </c>
      <c r="H7" s="372"/>
      <c r="I7" s="361"/>
      <c r="J7" s="373"/>
      <c r="K7" s="473"/>
      <c r="L7" s="474"/>
      <c r="M7" s="475"/>
      <c r="N7" s="400"/>
      <c r="O7" s="401"/>
      <c r="P7" s="402"/>
      <c r="Q7" s="519"/>
      <c r="R7" s="577">
        <v>1</v>
      </c>
      <c r="S7" s="577">
        <v>1</v>
      </c>
      <c r="T7" s="588">
        <v>1</v>
      </c>
      <c r="U7" s="578"/>
      <c r="V7" s="756">
        <f t="shared" si="1"/>
        <v>0</v>
      </c>
      <c r="W7" s="579">
        <f t="shared" si="0"/>
        <v>0</v>
      </c>
      <c r="X7" s="589">
        <f t="shared" si="2"/>
        <v>0</v>
      </c>
      <c r="Y7" s="565">
        <f t="shared" si="3"/>
        <v>0</v>
      </c>
      <c r="Z7" s="590"/>
      <c r="AB7" s="124" t="s">
        <v>36</v>
      </c>
      <c r="AC7" s="123">
        <f>parameter!C11</f>
        <v>2022.8687108268114</v>
      </c>
    </row>
    <row r="8" spans="2:29" ht="15">
      <c r="B8" s="660" t="s">
        <v>225</v>
      </c>
      <c r="C8" s="682"/>
      <c r="D8" s="688" t="s">
        <v>298</v>
      </c>
      <c r="E8" s="359" t="s">
        <v>251</v>
      </c>
      <c r="F8" s="359"/>
      <c r="G8" s="359" t="s">
        <v>249</v>
      </c>
      <c r="H8" s="637" t="s">
        <v>232</v>
      </c>
      <c r="I8" s="368"/>
      <c r="J8" s="469">
        <v>3.3</v>
      </c>
      <c r="K8" s="433"/>
      <c r="L8" s="404">
        <v>9.3000000000000005E-4</v>
      </c>
      <c r="M8" s="405"/>
      <c r="N8" s="403"/>
      <c r="O8" s="406">
        <f>J8*L8</f>
        <v>3.0690000000000001E-3</v>
      </c>
      <c r="P8" s="407"/>
      <c r="Q8" s="90"/>
      <c r="R8" s="520">
        <v>1</v>
      </c>
      <c r="S8" s="520">
        <v>1</v>
      </c>
      <c r="T8" s="520">
        <v>1</v>
      </c>
      <c r="U8" s="573"/>
      <c r="V8" s="573">
        <f t="shared" ref="V8:V14" si="4">R8*O8</f>
        <v>3.0690000000000001E-3</v>
      </c>
      <c r="W8" s="573">
        <f t="shared" si="0"/>
        <v>3.0690000000000001E-3</v>
      </c>
      <c r="X8" s="587">
        <f t="shared" si="2"/>
        <v>3.0690000000000001E-3</v>
      </c>
      <c r="Y8" s="765">
        <f t="shared" si="3"/>
        <v>3.0689999994593965E-3</v>
      </c>
      <c r="Z8" s="549"/>
      <c r="AB8" s="486" t="s">
        <v>164</v>
      </c>
      <c r="AC8" s="123">
        <v>0.3</v>
      </c>
    </row>
    <row r="9" spans="2:29" ht="15">
      <c r="B9" s="661"/>
      <c r="C9" s="658" t="s">
        <v>230</v>
      </c>
      <c r="D9" s="689" t="s">
        <v>250</v>
      </c>
      <c r="E9" s="359" t="s">
        <v>251</v>
      </c>
      <c r="F9" s="690" t="s">
        <v>299</v>
      </c>
      <c r="G9" s="602" t="s">
        <v>252</v>
      </c>
      <c r="H9" s="604"/>
      <c r="I9" s="53"/>
      <c r="J9" s="390">
        <v>3.3</v>
      </c>
      <c r="K9" s="411"/>
      <c r="L9" s="412">
        <f>O9/J9</f>
        <v>1.5151515151515154E-3</v>
      </c>
      <c r="M9" s="413"/>
      <c r="N9" s="403"/>
      <c r="O9" s="691">
        <v>5.0000000000000001E-3</v>
      </c>
      <c r="P9" s="410"/>
      <c r="Q9" s="90"/>
      <c r="R9" s="408">
        <v>1</v>
      </c>
      <c r="S9" s="408">
        <v>1</v>
      </c>
      <c r="T9" s="408">
        <v>1</v>
      </c>
      <c r="U9" s="409"/>
      <c r="V9" s="573">
        <f t="shared" si="4"/>
        <v>5.0000000000000001E-3</v>
      </c>
      <c r="W9" s="573">
        <f t="shared" si="0"/>
        <v>5.0000000000000001E-3</v>
      </c>
      <c r="X9" s="587">
        <f t="shared" si="2"/>
        <v>5.0000000000000001E-3</v>
      </c>
      <c r="Y9" s="558">
        <f t="shared" si="3"/>
        <v>4.9999999991192515E-3</v>
      </c>
      <c r="Z9" s="544"/>
      <c r="AB9" s="124" t="s">
        <v>68</v>
      </c>
      <c r="AC9" s="123">
        <v>0.6</v>
      </c>
    </row>
    <row r="10" spans="2:29" ht="15">
      <c r="B10" s="661"/>
      <c r="C10" s="656"/>
      <c r="D10" s="374" t="s">
        <v>241</v>
      </c>
      <c r="E10" s="55" t="s">
        <v>26</v>
      </c>
      <c r="F10" s="477"/>
      <c r="G10" s="604"/>
      <c r="H10" s="604"/>
      <c r="I10" s="55"/>
      <c r="J10" s="470">
        <v>3.3</v>
      </c>
      <c r="K10" s="411"/>
      <c r="L10" s="412">
        <f t="shared" ref="L10:L14" si="5">O10/J10</f>
        <v>3.6363636363636362E-2</v>
      </c>
      <c r="M10" s="413">
        <f t="shared" ref="M10:M13" si="6">P10/J10</f>
        <v>6.0606060606060615E-2</v>
      </c>
      <c r="N10" s="411"/>
      <c r="O10" s="414">
        <v>0.12</v>
      </c>
      <c r="P10" s="410">
        <v>0.2</v>
      </c>
      <c r="Q10" s="90"/>
      <c r="R10" s="408">
        <v>1</v>
      </c>
      <c r="S10" s="408">
        <v>1</v>
      </c>
      <c r="T10" s="408">
        <v>1</v>
      </c>
      <c r="U10" s="409"/>
      <c r="V10" s="409">
        <f t="shared" si="4"/>
        <v>0.12</v>
      </c>
      <c r="W10" s="409">
        <f t="shared" si="0"/>
        <v>0.12</v>
      </c>
      <c r="X10" s="533">
        <f>P10*T10</f>
        <v>0.2</v>
      </c>
      <c r="Y10" s="558">
        <f t="shared" si="3"/>
        <v>0.12931480370383724</v>
      </c>
      <c r="Z10" s="544"/>
      <c r="AB10" s="124" t="s">
        <v>41</v>
      </c>
      <c r="AC10" s="123">
        <v>0.8</v>
      </c>
    </row>
    <row r="11" spans="2:29" ht="15">
      <c r="B11" s="661"/>
      <c r="C11" s="656"/>
      <c r="D11" s="387" t="s">
        <v>244</v>
      </c>
      <c r="E11" s="57" t="s">
        <v>106</v>
      </c>
      <c r="F11" s="55"/>
      <c r="G11" s="604"/>
      <c r="H11" s="604"/>
      <c r="I11" s="55"/>
      <c r="J11" s="470">
        <v>3.3</v>
      </c>
      <c r="K11" s="411"/>
      <c r="L11" s="412">
        <f t="shared" si="5"/>
        <v>6.0606060606060615E-2</v>
      </c>
      <c r="M11" s="413">
        <f t="shared" si="6"/>
        <v>0.12121212121212123</v>
      </c>
      <c r="N11" s="411"/>
      <c r="O11" s="414">
        <v>0.2</v>
      </c>
      <c r="P11" s="410">
        <v>0.4</v>
      </c>
      <c r="Q11" s="90"/>
      <c r="R11" s="408">
        <v>1</v>
      </c>
      <c r="S11" s="408">
        <v>1</v>
      </c>
      <c r="T11" s="408">
        <v>1</v>
      </c>
      <c r="U11" s="409"/>
      <c r="V11" s="409">
        <f t="shared" si="4"/>
        <v>0.2</v>
      </c>
      <c r="W11" s="409">
        <f t="shared" si="0"/>
        <v>0.2</v>
      </c>
      <c r="X11" s="533">
        <f>P11*T11</f>
        <v>0.4</v>
      </c>
      <c r="Y11" s="558">
        <f t="shared" si="3"/>
        <v>0.2232870092772081</v>
      </c>
      <c r="Z11" s="544"/>
      <c r="AB11" s="124" t="s">
        <v>70</v>
      </c>
      <c r="AC11" s="123">
        <v>0.8</v>
      </c>
    </row>
    <row r="12" spans="2:29" ht="15">
      <c r="B12" s="661"/>
      <c r="C12" s="656"/>
      <c r="D12" s="673"/>
      <c r="E12" s="602" t="s">
        <v>16</v>
      </c>
      <c r="F12" s="55"/>
      <c r="G12" s="604"/>
      <c r="H12" s="604"/>
      <c r="I12" s="55" t="s">
        <v>307</v>
      </c>
      <c r="J12" s="470">
        <v>3.3</v>
      </c>
      <c r="K12" s="411"/>
      <c r="L12" s="412">
        <f t="shared" si="5"/>
        <v>6.0606060606060615E-2</v>
      </c>
      <c r="M12" s="413"/>
      <c r="N12" s="411"/>
      <c r="O12" s="414">
        <v>0.2</v>
      </c>
      <c r="P12" s="413"/>
      <c r="Q12" s="90"/>
      <c r="R12" s="408">
        <f>100%-R13</f>
        <v>0</v>
      </c>
      <c r="S12" s="408">
        <f>100%-S13</f>
        <v>0</v>
      </c>
      <c r="T12" s="408">
        <f>100%-T13</f>
        <v>0</v>
      </c>
      <c r="U12" s="409"/>
      <c r="V12" s="409">
        <f t="shared" si="4"/>
        <v>0</v>
      </c>
      <c r="W12" s="409">
        <f t="shared" si="0"/>
        <v>0</v>
      </c>
      <c r="X12" s="533">
        <f>T12*P12</f>
        <v>0</v>
      </c>
      <c r="Y12" s="558">
        <f t="shared" si="3"/>
        <v>0</v>
      </c>
      <c r="Z12" s="544"/>
      <c r="AB12" s="124" t="s">
        <v>102</v>
      </c>
      <c r="AC12" s="123">
        <v>0.2</v>
      </c>
    </row>
    <row r="13" spans="2:29" ht="15">
      <c r="B13" s="661"/>
      <c r="C13" s="656"/>
      <c r="D13" s="674"/>
      <c r="E13" s="603"/>
      <c r="F13" s="692" t="s">
        <v>257</v>
      </c>
      <c r="G13" s="604"/>
      <c r="H13" s="604"/>
      <c r="I13" s="692" t="s">
        <v>300</v>
      </c>
      <c r="J13" s="470">
        <v>3.3</v>
      </c>
      <c r="K13" s="411"/>
      <c r="L13" s="412">
        <f t="shared" si="5"/>
        <v>8.6363636363636365E-2</v>
      </c>
      <c r="M13" s="413">
        <f t="shared" si="6"/>
        <v>0.13333333333333333</v>
      </c>
      <c r="N13" s="508"/>
      <c r="O13" s="414">
        <v>0.28499999999999998</v>
      </c>
      <c r="P13" s="479">
        <v>0.44</v>
      </c>
      <c r="Q13" s="90"/>
      <c r="R13" s="408">
        <f>R16</f>
        <v>1</v>
      </c>
      <c r="S13" s="408">
        <f>S16</f>
        <v>1</v>
      </c>
      <c r="T13" s="408">
        <f>T16</f>
        <v>1</v>
      </c>
      <c r="U13" s="409"/>
      <c r="V13" s="409">
        <f t="shared" si="4"/>
        <v>0.28499999999999998</v>
      </c>
      <c r="W13" s="409">
        <f t="shared" si="0"/>
        <v>0.28499999999999998</v>
      </c>
      <c r="X13" s="533">
        <f>P13*T13</f>
        <v>0.44</v>
      </c>
      <c r="Y13" s="558">
        <f t="shared" si="3"/>
        <v>0.30304743216693675</v>
      </c>
      <c r="Z13" s="544"/>
      <c r="AB13" s="124" t="s">
        <v>157</v>
      </c>
      <c r="AC13" s="123">
        <v>0.9</v>
      </c>
    </row>
    <row r="14" spans="2:29" ht="15.75" thickBot="1">
      <c r="B14" s="661"/>
      <c r="C14" s="656"/>
      <c r="D14" s="673" t="s">
        <v>245</v>
      </c>
      <c r="E14" s="602" t="s">
        <v>44</v>
      </c>
      <c r="F14" s="55" t="s">
        <v>258</v>
      </c>
      <c r="G14" s="604"/>
      <c r="H14" s="604"/>
      <c r="I14" s="55" t="s">
        <v>307</v>
      </c>
      <c r="J14" s="470">
        <v>3.3</v>
      </c>
      <c r="K14" s="411"/>
      <c r="L14" s="412">
        <f t="shared" si="5"/>
        <v>1.0606060606060608E-2</v>
      </c>
      <c r="M14" s="413"/>
      <c r="N14" s="415"/>
      <c r="O14" s="414">
        <v>3.5000000000000003E-2</v>
      </c>
      <c r="P14" s="416"/>
      <c r="Q14" s="90"/>
      <c r="R14" s="408">
        <v>1</v>
      </c>
      <c r="S14" s="408">
        <v>1</v>
      </c>
      <c r="T14" s="408">
        <v>1</v>
      </c>
      <c r="U14" s="409"/>
      <c r="V14" s="409">
        <f t="shared" si="4"/>
        <v>3.5000000000000003E-2</v>
      </c>
      <c r="W14" s="409">
        <f>O14*S14</f>
        <v>3.5000000000000003E-2</v>
      </c>
      <c r="X14" s="533">
        <f>T14*O14</f>
        <v>3.5000000000000003E-2</v>
      </c>
      <c r="Y14" s="558">
        <f t="shared" si="3"/>
        <v>3.4999999993834761E-2</v>
      </c>
      <c r="Z14" s="544"/>
      <c r="AB14" s="382" t="s">
        <v>182</v>
      </c>
      <c r="AC14" s="126">
        <v>0.4</v>
      </c>
    </row>
    <row r="15" spans="2:29" ht="15">
      <c r="B15" s="661"/>
      <c r="C15" s="656"/>
      <c r="D15" s="674"/>
      <c r="E15" s="603"/>
      <c r="F15" s="528" t="s">
        <v>259</v>
      </c>
      <c r="G15" s="714" t="s">
        <v>252</v>
      </c>
      <c r="H15" s="714" t="s">
        <v>302</v>
      </c>
      <c r="I15" s="528" t="s">
        <v>291</v>
      </c>
      <c r="J15" s="722">
        <v>8</v>
      </c>
      <c r="K15" s="693"/>
      <c r="L15" s="721">
        <v>0.62</v>
      </c>
      <c r="M15" s="694"/>
      <c r="N15" s="695"/>
      <c r="O15" s="715">
        <f>J15*L15</f>
        <v>4.96</v>
      </c>
      <c r="P15" s="696"/>
      <c r="Q15" s="90"/>
      <c r="R15" s="728"/>
      <c r="S15" s="728"/>
      <c r="T15" s="728"/>
      <c r="U15" s="729"/>
      <c r="V15" s="729"/>
      <c r="W15" s="729"/>
      <c r="X15" s="752"/>
      <c r="Y15" s="760">
        <f t="shared" si="3"/>
        <v>0</v>
      </c>
      <c r="Z15" s="753"/>
    </row>
    <row r="16" spans="2:29" ht="15.75" customHeight="1">
      <c r="B16" s="661"/>
      <c r="C16" s="656"/>
      <c r="D16" s="697" t="s">
        <v>246</v>
      </c>
      <c r="E16" s="698" t="s">
        <v>253</v>
      </c>
      <c r="F16" s="716"/>
      <c r="G16" s="698" t="s">
        <v>252</v>
      </c>
      <c r="H16" s="699" t="s">
        <v>301</v>
      </c>
      <c r="I16" s="698"/>
      <c r="J16" s="700">
        <v>8.26</v>
      </c>
      <c r="K16" s="701">
        <f>0.065*3/J16</f>
        <v>2.3607748184019371E-2</v>
      </c>
      <c r="L16" s="702">
        <f>0.19*3/J16</f>
        <v>6.9007263922518172E-2</v>
      </c>
      <c r="M16" s="703">
        <f>2.3*3/J16</f>
        <v>0.83535108958837767</v>
      </c>
      <c r="N16" s="704">
        <v>6.5000000000000002E-2</v>
      </c>
      <c r="O16" s="705">
        <v>0.19</v>
      </c>
      <c r="P16" s="706">
        <v>2.2999999999999998</v>
      </c>
      <c r="Q16" s="90"/>
      <c r="R16" s="731">
        <v>1</v>
      </c>
      <c r="S16" s="731">
        <v>1</v>
      </c>
      <c r="T16" s="731">
        <v>1</v>
      </c>
      <c r="U16" s="732"/>
      <c r="V16" s="733">
        <f>R16*O16</f>
        <v>0.19</v>
      </c>
      <c r="W16" s="733">
        <f>O16*S16</f>
        <v>0.19</v>
      </c>
      <c r="X16" s="743">
        <f>P16*T16</f>
        <v>2.2999999999999998</v>
      </c>
      <c r="Y16" s="744">
        <f t="shared" si="3"/>
        <v>0.4356779482127528</v>
      </c>
      <c r="Z16" s="745"/>
    </row>
    <row r="17" spans="2:26" ht="14.25" customHeight="1">
      <c r="B17" s="661"/>
      <c r="C17" s="656"/>
      <c r="D17" s="707"/>
      <c r="E17" s="699"/>
      <c r="F17" s="717"/>
      <c r="G17" s="699"/>
      <c r="H17" s="699"/>
      <c r="I17" s="699"/>
      <c r="J17" s="708"/>
      <c r="K17" s="701"/>
      <c r="L17" s="709"/>
      <c r="M17" s="703"/>
      <c r="N17" s="704"/>
      <c r="O17" s="705"/>
      <c r="P17" s="706"/>
      <c r="Q17" s="90"/>
      <c r="R17" s="735"/>
      <c r="S17" s="735"/>
      <c r="T17" s="735"/>
      <c r="U17" s="736"/>
      <c r="V17" s="737"/>
      <c r="W17" s="737"/>
      <c r="X17" s="746"/>
      <c r="Y17" s="747"/>
      <c r="Z17" s="748"/>
    </row>
    <row r="18" spans="2:26" ht="14.25" customHeight="1">
      <c r="B18" s="661"/>
      <c r="C18" s="656"/>
      <c r="D18" s="710"/>
      <c r="E18" s="711"/>
      <c r="F18" s="718"/>
      <c r="G18" s="711"/>
      <c r="H18" s="711"/>
      <c r="I18" s="711"/>
      <c r="J18" s="712"/>
      <c r="K18" s="701"/>
      <c r="L18" s="713"/>
      <c r="M18" s="703"/>
      <c r="N18" s="704"/>
      <c r="O18" s="705"/>
      <c r="P18" s="706"/>
      <c r="Q18" s="90"/>
      <c r="R18" s="739"/>
      <c r="S18" s="739"/>
      <c r="T18" s="739"/>
      <c r="U18" s="740"/>
      <c r="V18" s="741"/>
      <c r="W18" s="741"/>
      <c r="X18" s="749"/>
      <c r="Y18" s="750"/>
      <c r="Z18" s="751"/>
    </row>
    <row r="19" spans="2:26" ht="15">
      <c r="B19" s="661"/>
      <c r="C19" s="656"/>
      <c r="D19" s="652" t="s">
        <v>242</v>
      </c>
      <c r="E19" s="64" t="s">
        <v>235</v>
      </c>
      <c r="F19" s="719" t="s">
        <v>304</v>
      </c>
      <c r="G19" s="605" t="s">
        <v>252</v>
      </c>
      <c r="H19" s="650" t="s">
        <v>233</v>
      </c>
      <c r="I19" s="378"/>
      <c r="J19" s="471">
        <v>5</v>
      </c>
      <c r="K19" s="463"/>
      <c r="L19" s="464">
        <f>0.07*2</f>
        <v>0.14000000000000001</v>
      </c>
      <c r="M19" s="476">
        <f>0.167*2</f>
        <v>0.33400000000000002</v>
      </c>
      <c r="N19" s="417"/>
      <c r="O19" s="418">
        <f>L19*J19</f>
        <v>0.70000000000000007</v>
      </c>
      <c r="P19" s="419">
        <f>M19*J19</f>
        <v>1.6700000000000002</v>
      </c>
      <c r="Q19" s="90"/>
      <c r="R19" s="420">
        <v>0</v>
      </c>
      <c r="S19" s="420">
        <v>0</v>
      </c>
      <c r="T19" s="420">
        <v>1</v>
      </c>
      <c r="U19" s="421"/>
      <c r="V19" s="421">
        <f t="shared" ref="V19:V26" si="7">R19*O19</f>
        <v>0</v>
      </c>
      <c r="W19" s="421">
        <f t="shared" ref="W19:W26" si="8">S19*O19</f>
        <v>0</v>
      </c>
      <c r="X19" s="534">
        <f>T19*O19</f>
        <v>0.70000000000000007</v>
      </c>
      <c r="Y19" s="559">
        <f t="shared" si="3"/>
        <v>8.150453259353313E-2</v>
      </c>
      <c r="Z19" s="545"/>
    </row>
    <row r="20" spans="2:26" ht="15">
      <c r="B20" s="661"/>
      <c r="C20" s="659"/>
      <c r="D20" s="672"/>
      <c r="E20" s="64" t="s">
        <v>236</v>
      </c>
      <c r="F20" s="720" t="s">
        <v>303</v>
      </c>
      <c r="G20" s="663"/>
      <c r="H20" s="663"/>
      <c r="I20" s="64"/>
      <c r="J20" s="379">
        <v>5</v>
      </c>
      <c r="K20" s="463"/>
      <c r="L20" s="464">
        <v>6.4000000000000001E-2</v>
      </c>
      <c r="M20" s="466"/>
      <c r="N20" s="463"/>
      <c r="O20" s="467">
        <f>L20*J20</f>
        <v>0.32</v>
      </c>
      <c r="P20" s="466"/>
      <c r="Q20" s="90"/>
      <c r="R20" s="493">
        <v>0</v>
      </c>
      <c r="S20" s="493">
        <v>0</v>
      </c>
      <c r="T20" s="493">
        <v>1</v>
      </c>
      <c r="U20" s="494"/>
      <c r="V20" s="502">
        <f t="shared" si="7"/>
        <v>0</v>
      </c>
      <c r="W20" s="502">
        <f t="shared" si="8"/>
        <v>0</v>
      </c>
      <c r="X20" s="536">
        <f>T20*O20</f>
        <v>0.32</v>
      </c>
      <c r="Y20" s="559">
        <f t="shared" si="3"/>
        <v>3.7259214899900854E-2</v>
      </c>
      <c r="Z20" s="550"/>
    </row>
    <row r="21" spans="2:26" ht="15">
      <c r="B21" s="661"/>
      <c r="C21" s="658"/>
      <c r="D21" s="385" t="s">
        <v>276</v>
      </c>
      <c r="E21" s="359" t="s">
        <v>62</v>
      </c>
      <c r="F21" s="359" t="s">
        <v>277</v>
      </c>
      <c r="G21" s="359" t="s">
        <v>255</v>
      </c>
      <c r="H21" s="359" t="s">
        <v>232</v>
      </c>
      <c r="I21" s="359"/>
      <c r="J21" s="472">
        <v>3.3</v>
      </c>
      <c r="K21" s="411"/>
      <c r="L21" s="412">
        <f>O21/J21</f>
        <v>3.6363636363636368E-3</v>
      </c>
      <c r="M21" s="413"/>
      <c r="N21" s="403"/>
      <c r="O21" s="406">
        <v>1.2E-2</v>
      </c>
      <c r="P21" s="465"/>
      <c r="Q21" s="90"/>
      <c r="R21" s="408">
        <v>1</v>
      </c>
      <c r="S21" s="408">
        <v>1</v>
      </c>
      <c r="T21" s="408">
        <v>1</v>
      </c>
      <c r="U21" s="591"/>
      <c r="V21" s="573">
        <f t="shared" si="7"/>
        <v>1.2E-2</v>
      </c>
      <c r="W21" s="573">
        <f t="shared" si="8"/>
        <v>1.2E-2</v>
      </c>
      <c r="X21" s="587">
        <f>T21*O21</f>
        <v>1.2E-2</v>
      </c>
      <c r="Y21" s="558">
        <f t="shared" si="3"/>
        <v>1.1999999997886202E-2</v>
      </c>
      <c r="Z21" s="544"/>
    </row>
    <row r="22" spans="2:26" ht="15.75" thickBot="1">
      <c r="B22" s="662"/>
      <c r="C22" s="657"/>
      <c r="D22" s="386" t="s">
        <v>239</v>
      </c>
      <c r="E22" s="369" t="s">
        <v>61</v>
      </c>
      <c r="F22" s="485"/>
      <c r="G22" s="369" t="s">
        <v>254</v>
      </c>
      <c r="H22" s="369" t="s">
        <v>234</v>
      </c>
      <c r="I22" s="369"/>
      <c r="J22" s="384">
        <v>3.3</v>
      </c>
      <c r="K22" s="428"/>
      <c r="L22" s="429">
        <f>O22/J22</f>
        <v>0.39393939393939398</v>
      </c>
      <c r="M22" s="430"/>
      <c r="N22" s="428"/>
      <c r="O22" s="723">
        <v>1.3</v>
      </c>
      <c r="P22" s="430"/>
      <c r="Q22" s="90"/>
      <c r="R22" s="431">
        <v>0.5</v>
      </c>
      <c r="S22" s="431">
        <v>0.5</v>
      </c>
      <c r="T22" s="431">
        <v>1</v>
      </c>
      <c r="U22" s="432"/>
      <c r="V22" s="432">
        <f t="shared" si="7"/>
        <v>0.65</v>
      </c>
      <c r="W22" s="432">
        <f t="shared" si="8"/>
        <v>0.65</v>
      </c>
      <c r="X22" s="535">
        <f>T22*O22</f>
        <v>1.3</v>
      </c>
      <c r="Y22" s="571">
        <f t="shared" si="3"/>
        <v>0.72568278015092635</v>
      </c>
      <c r="Z22" s="547"/>
    </row>
    <row r="23" spans="2:26" ht="15.75" thickBot="1">
      <c r="B23" s="362" t="s">
        <v>23</v>
      </c>
      <c r="C23" s="149"/>
      <c r="D23" s="376" t="s">
        <v>264</v>
      </c>
      <c r="E23" s="363" t="s">
        <v>265</v>
      </c>
      <c r="F23" s="363"/>
      <c r="G23" s="363" t="s">
        <v>260</v>
      </c>
      <c r="H23" s="363" t="s">
        <v>232</v>
      </c>
      <c r="I23" s="363"/>
      <c r="J23" s="363">
        <v>3.3</v>
      </c>
      <c r="K23" s="439"/>
      <c r="L23" s="440">
        <f>0.13</f>
        <v>0.13</v>
      </c>
      <c r="M23" s="441"/>
      <c r="N23" s="439"/>
      <c r="O23" s="442">
        <f>L23*J23</f>
        <v>0.42899999999999999</v>
      </c>
      <c r="P23" s="441"/>
      <c r="Q23" s="90"/>
      <c r="R23" s="584">
        <v>1</v>
      </c>
      <c r="S23" s="584">
        <v>1</v>
      </c>
      <c r="T23" s="584">
        <v>1</v>
      </c>
      <c r="U23" s="585"/>
      <c r="V23" s="585">
        <f t="shared" si="7"/>
        <v>0.42899999999999999</v>
      </c>
      <c r="W23" s="585">
        <f t="shared" si="8"/>
        <v>0.42899999999999999</v>
      </c>
      <c r="X23" s="592">
        <f>T23*O23</f>
        <v>0.42899999999999999</v>
      </c>
      <c r="Y23" s="593">
        <f t="shared" si="3"/>
        <v>0.42899999992443172</v>
      </c>
      <c r="Z23" s="594"/>
    </row>
    <row r="24" spans="2:26" ht="15" customHeight="1">
      <c r="B24" s="660" t="s">
        <v>48</v>
      </c>
      <c r="C24" s="655"/>
      <c r="D24" s="664" t="s">
        <v>266</v>
      </c>
      <c r="E24" s="637" t="s">
        <v>267</v>
      </c>
      <c r="F24" s="523"/>
      <c r="G24" s="637" t="s">
        <v>261</v>
      </c>
      <c r="H24" s="637" t="s">
        <v>232</v>
      </c>
      <c r="I24" s="368" t="s">
        <v>278</v>
      </c>
      <c r="J24" s="367">
        <v>3.3</v>
      </c>
      <c r="K24" s="433"/>
      <c r="L24" s="434">
        <v>1.2999999999999999E-2</v>
      </c>
      <c r="M24" s="489"/>
      <c r="N24" s="433"/>
      <c r="O24" s="724">
        <f>L24*J24</f>
        <v>4.2899999999999994E-2</v>
      </c>
      <c r="P24" s="489"/>
      <c r="Q24" s="518"/>
      <c r="R24" s="520"/>
      <c r="S24" s="520"/>
      <c r="T24" s="520"/>
      <c r="U24" s="573"/>
      <c r="V24" s="573">
        <f t="shared" si="7"/>
        <v>0</v>
      </c>
      <c r="W24" s="573">
        <f t="shared" si="8"/>
        <v>0</v>
      </c>
      <c r="X24" s="587">
        <f t="shared" ref="X24:X26" si="9">T24*O24</f>
        <v>0</v>
      </c>
      <c r="Y24" s="765">
        <f t="shared" si="3"/>
        <v>0</v>
      </c>
      <c r="Z24" s="549"/>
    </row>
    <row r="25" spans="2:26" ht="15">
      <c r="B25" s="661"/>
      <c r="C25" s="656"/>
      <c r="D25" s="636"/>
      <c r="E25" s="604"/>
      <c r="F25" s="390" t="s">
        <v>282</v>
      </c>
      <c r="G25" s="604"/>
      <c r="H25" s="604"/>
      <c r="I25" s="55" t="s">
        <v>279</v>
      </c>
      <c r="J25" s="57">
        <v>3.3</v>
      </c>
      <c r="K25" s="488"/>
      <c r="L25" s="414">
        <v>1.0999999999999999E-2</v>
      </c>
      <c r="M25" s="490"/>
      <c r="N25" s="488"/>
      <c r="O25" s="487">
        <f t="shared" ref="O25:O26" si="10">L25*J25</f>
        <v>3.6299999999999999E-2</v>
      </c>
      <c r="P25" s="413"/>
      <c r="Q25" s="518"/>
      <c r="R25" s="408">
        <v>1</v>
      </c>
      <c r="S25" s="408">
        <v>1</v>
      </c>
      <c r="T25" s="408">
        <v>1</v>
      </c>
      <c r="U25" s="409"/>
      <c r="V25" s="409">
        <f t="shared" si="7"/>
        <v>3.6299999999999999E-2</v>
      </c>
      <c r="W25" s="409">
        <f t="shared" si="8"/>
        <v>3.6299999999999999E-2</v>
      </c>
      <c r="X25" s="533">
        <f t="shared" si="9"/>
        <v>3.6299999999999999E-2</v>
      </c>
      <c r="Y25" s="558">
        <f t="shared" si="3"/>
        <v>3.6299999993605767E-2</v>
      </c>
      <c r="Z25" s="544"/>
    </row>
    <row r="26" spans="2:26" ht="15">
      <c r="B26" s="661"/>
      <c r="C26" s="656"/>
      <c r="D26" s="665"/>
      <c r="E26" s="603"/>
      <c r="F26" s="470" t="s">
        <v>281</v>
      </c>
      <c r="G26" s="603"/>
      <c r="H26" s="604"/>
      <c r="I26" s="53" t="s">
        <v>280</v>
      </c>
      <c r="J26" s="55">
        <v>3.3</v>
      </c>
      <c r="K26" s="411"/>
      <c r="L26" s="482">
        <v>0.55000000000000004</v>
      </c>
      <c r="M26" s="413"/>
      <c r="N26" s="411"/>
      <c r="O26" s="412">
        <f t="shared" si="10"/>
        <v>1.8149999999999999</v>
      </c>
      <c r="P26" s="465"/>
      <c r="Q26" s="518"/>
      <c r="R26" s="408"/>
      <c r="S26" s="408"/>
      <c r="T26" s="408"/>
      <c r="U26" s="409"/>
      <c r="V26" s="409">
        <f t="shared" si="7"/>
        <v>0</v>
      </c>
      <c r="W26" s="409">
        <f t="shared" si="8"/>
        <v>0</v>
      </c>
      <c r="X26" s="533">
        <f t="shared" si="9"/>
        <v>0</v>
      </c>
      <c r="Y26" s="558">
        <f t="shared" si="3"/>
        <v>0</v>
      </c>
      <c r="Z26" s="544"/>
    </row>
    <row r="27" spans="2:26" ht="15">
      <c r="B27" s="661"/>
      <c r="C27" s="656"/>
      <c r="D27" s="635" t="s">
        <v>66</v>
      </c>
      <c r="E27" s="602" t="s">
        <v>262</v>
      </c>
      <c r="F27" s="470"/>
      <c r="G27" s="602" t="s">
        <v>249</v>
      </c>
      <c r="H27" s="604"/>
      <c r="I27" s="55" t="s">
        <v>115</v>
      </c>
      <c r="J27" s="55">
        <v>3.3</v>
      </c>
      <c r="K27" s="435">
        <v>4.4999999999999998E-2</v>
      </c>
      <c r="L27" s="414">
        <v>5.5000000000000007E-2</v>
      </c>
      <c r="M27" s="410">
        <v>0.12</v>
      </c>
      <c r="N27" s="411">
        <f>J27*K27</f>
        <v>0.14849999999999999</v>
      </c>
      <c r="O27" s="412">
        <f>L27*J27</f>
        <v>0.18150000000000002</v>
      </c>
      <c r="P27" s="413">
        <f>M27*J27</f>
        <v>0.39599999999999996</v>
      </c>
      <c r="Q27" s="90"/>
      <c r="R27" s="408">
        <v>1</v>
      </c>
      <c r="S27" s="408">
        <v>1</v>
      </c>
      <c r="T27" s="408">
        <v>1</v>
      </c>
      <c r="U27" s="409"/>
      <c r="V27" s="409">
        <f>R27*O27</f>
        <v>0.18150000000000002</v>
      </c>
      <c r="W27" s="409">
        <f>S27*O27</f>
        <v>0.18150000000000002</v>
      </c>
      <c r="X27" s="533">
        <f>T27*P27</f>
        <v>0.39599999999999996</v>
      </c>
      <c r="Y27" s="558">
        <f t="shared" si="3"/>
        <v>0.20647531745561865</v>
      </c>
      <c r="Z27" s="544"/>
    </row>
    <row r="28" spans="2:26" ht="15" customHeight="1">
      <c r="B28" s="661"/>
      <c r="C28" s="656"/>
      <c r="D28" s="636"/>
      <c r="E28" s="604"/>
      <c r="F28" s="472" t="s">
        <v>306</v>
      </c>
      <c r="G28" s="604"/>
      <c r="H28" s="604"/>
      <c r="I28" s="602" t="s">
        <v>111</v>
      </c>
      <c r="J28" s="602">
        <v>3.3</v>
      </c>
      <c r="K28" s="638">
        <v>0.6</v>
      </c>
      <c r="L28" s="640">
        <v>0.8</v>
      </c>
      <c r="M28" s="642">
        <v>1</v>
      </c>
      <c r="N28" s="644">
        <f>J28*K28</f>
        <v>1.9799999999999998</v>
      </c>
      <c r="O28" s="646">
        <f>L28*J28</f>
        <v>2.64</v>
      </c>
      <c r="P28" s="648">
        <f>M28*J28</f>
        <v>3.3</v>
      </c>
      <c r="Q28" s="90"/>
      <c r="R28" s="627">
        <f>100%-R27</f>
        <v>0</v>
      </c>
      <c r="S28" s="627">
        <f t="shared" ref="S28:T28" si="11">100%-S27</f>
        <v>0</v>
      </c>
      <c r="T28" s="627">
        <f t="shared" si="11"/>
        <v>0</v>
      </c>
      <c r="U28" s="631"/>
      <c r="V28" s="629">
        <f>R28*O28</f>
        <v>0</v>
      </c>
      <c r="W28" s="629">
        <f>S28*O28</f>
        <v>0</v>
      </c>
      <c r="X28" s="685">
        <f>T28*P28</f>
        <v>0</v>
      </c>
      <c r="Y28" s="683">
        <f t="shared" si="3"/>
        <v>0</v>
      </c>
      <c r="Z28" s="548"/>
    </row>
    <row r="29" spans="2:26" ht="14.25" customHeight="1">
      <c r="B29" s="661"/>
      <c r="C29" s="656"/>
      <c r="D29" s="636"/>
      <c r="E29" s="604"/>
      <c r="F29" s="517" t="s">
        <v>285</v>
      </c>
      <c r="G29" s="603"/>
      <c r="H29" s="603"/>
      <c r="I29" s="603"/>
      <c r="J29" s="604"/>
      <c r="K29" s="639"/>
      <c r="L29" s="641"/>
      <c r="M29" s="643"/>
      <c r="N29" s="645"/>
      <c r="O29" s="647"/>
      <c r="P29" s="649"/>
      <c r="Q29" s="90"/>
      <c r="R29" s="628"/>
      <c r="S29" s="628"/>
      <c r="T29" s="628"/>
      <c r="U29" s="632"/>
      <c r="V29" s="630"/>
      <c r="W29" s="630"/>
      <c r="X29" s="686"/>
      <c r="Y29" s="684"/>
      <c r="Z29" s="549"/>
    </row>
    <row r="30" spans="2:26">
      <c r="B30" s="661"/>
      <c r="C30" s="656"/>
      <c r="D30" s="480" t="s">
        <v>268</v>
      </c>
      <c r="E30" s="64" t="s">
        <v>270</v>
      </c>
      <c r="F30" s="379"/>
      <c r="G30" s="650" t="s">
        <v>247</v>
      </c>
      <c r="H30" s="650" t="s">
        <v>233</v>
      </c>
      <c r="I30" s="58"/>
      <c r="J30" s="64">
        <v>5</v>
      </c>
      <c r="K30" s="509"/>
      <c r="L30" s="492">
        <v>0</v>
      </c>
      <c r="M30" s="466"/>
      <c r="N30" s="509"/>
      <c r="O30" s="481">
        <v>0</v>
      </c>
      <c r="P30" s="491"/>
      <c r="R30" s="501">
        <v>0</v>
      </c>
      <c r="S30" s="501">
        <v>0</v>
      </c>
      <c r="T30" s="501">
        <v>1</v>
      </c>
      <c r="U30" s="478"/>
      <c r="V30" s="502">
        <f t="shared" ref="V30:V37" si="12">R30*O30</f>
        <v>0</v>
      </c>
      <c r="W30" s="502">
        <f>S30*O30</f>
        <v>0</v>
      </c>
      <c r="X30" s="536">
        <f>T30*O30</f>
        <v>0</v>
      </c>
      <c r="Y30" s="559">
        <f t="shared" si="3"/>
        <v>0</v>
      </c>
      <c r="Z30" s="375"/>
    </row>
    <row r="31" spans="2:26" ht="15">
      <c r="B31" s="661"/>
      <c r="C31" s="656"/>
      <c r="D31" s="652" t="s">
        <v>269</v>
      </c>
      <c r="E31" s="650" t="s">
        <v>263</v>
      </c>
      <c r="F31" s="497"/>
      <c r="G31" s="605"/>
      <c r="H31" s="605"/>
      <c r="I31" s="64" t="s">
        <v>286</v>
      </c>
      <c r="J31" s="64">
        <v>5</v>
      </c>
      <c r="K31" s="463"/>
      <c r="L31" s="467">
        <f>O31/5</f>
        <v>0.122</v>
      </c>
      <c r="M31" s="466"/>
      <c r="N31" s="496"/>
      <c r="O31" s="464">
        <v>0.61</v>
      </c>
      <c r="P31" s="476"/>
      <c r="Q31" s="90"/>
      <c r="R31" s="493">
        <v>0</v>
      </c>
      <c r="S31" s="493">
        <v>0</v>
      </c>
      <c r="T31" s="493">
        <v>0</v>
      </c>
      <c r="U31" s="494"/>
      <c r="V31" s="494">
        <f t="shared" si="12"/>
        <v>0</v>
      </c>
      <c r="W31" s="502">
        <f t="shared" ref="W31:X37" si="13">S31*O31</f>
        <v>0</v>
      </c>
      <c r="X31" s="536">
        <f t="shared" ref="X31:X32" si="14">T31*O31</f>
        <v>0</v>
      </c>
      <c r="Y31" s="559">
        <f t="shared" si="3"/>
        <v>0</v>
      </c>
      <c r="Z31" s="550"/>
    </row>
    <row r="32" spans="2:26" ht="15">
      <c r="B32" s="661"/>
      <c r="C32" s="656"/>
      <c r="D32" s="653"/>
      <c r="E32" s="605"/>
      <c r="F32" s="497"/>
      <c r="G32" s="605"/>
      <c r="H32" s="605"/>
      <c r="I32" s="64" t="s">
        <v>283</v>
      </c>
      <c r="J32" s="64">
        <v>5</v>
      </c>
      <c r="K32" s="463"/>
      <c r="L32" s="467">
        <f>O32/5</f>
        <v>0.54</v>
      </c>
      <c r="M32" s="466"/>
      <c r="N32" s="496"/>
      <c r="O32" s="464">
        <v>2.7</v>
      </c>
      <c r="P32" s="476"/>
      <c r="Q32" s="90"/>
      <c r="R32" s="493">
        <v>0</v>
      </c>
      <c r="S32" s="493">
        <v>0</v>
      </c>
      <c r="T32" s="493">
        <v>0</v>
      </c>
      <c r="U32" s="494"/>
      <c r="V32" s="494">
        <f t="shared" si="12"/>
        <v>0</v>
      </c>
      <c r="W32" s="502">
        <f t="shared" si="13"/>
        <v>0</v>
      </c>
      <c r="X32" s="536">
        <f t="shared" si="14"/>
        <v>0</v>
      </c>
      <c r="Y32" s="559">
        <f t="shared" si="3"/>
        <v>0</v>
      </c>
      <c r="Z32" s="550"/>
    </row>
    <row r="33" spans="2:27" ht="15.75" thickBot="1">
      <c r="B33" s="662"/>
      <c r="C33" s="657"/>
      <c r="D33" s="654"/>
      <c r="E33" s="651"/>
      <c r="F33" s="498"/>
      <c r="G33" s="651"/>
      <c r="H33" s="651"/>
      <c r="I33" s="63" t="s">
        <v>284</v>
      </c>
      <c r="J33" s="63">
        <v>5</v>
      </c>
      <c r="K33" s="422"/>
      <c r="L33" s="425">
        <f>O33/5</f>
        <v>0.91999999999999993</v>
      </c>
      <c r="M33" s="424">
        <f>P33/5</f>
        <v>1</v>
      </c>
      <c r="N33" s="436"/>
      <c r="O33" s="423">
        <v>4.5999999999999996</v>
      </c>
      <c r="P33" s="437">
        <v>5</v>
      </c>
      <c r="Q33" s="90"/>
      <c r="R33" s="426">
        <v>0</v>
      </c>
      <c r="S33" s="426">
        <v>0</v>
      </c>
      <c r="T33" s="426">
        <v>1</v>
      </c>
      <c r="U33" s="427"/>
      <c r="V33" s="507">
        <f t="shared" si="12"/>
        <v>0</v>
      </c>
      <c r="W33" s="507">
        <f t="shared" si="13"/>
        <v>0</v>
      </c>
      <c r="X33" s="537">
        <f t="shared" si="13"/>
        <v>5</v>
      </c>
      <c r="Y33" s="763">
        <f t="shared" si="3"/>
        <v>0.58217523281095085</v>
      </c>
      <c r="Z33" s="546"/>
    </row>
    <row r="34" spans="2:27">
      <c r="B34" s="660" t="s">
        <v>67</v>
      </c>
      <c r="C34" s="381" t="s">
        <v>67</v>
      </c>
      <c r="D34" s="512" t="s">
        <v>287</v>
      </c>
      <c r="E34" s="364" t="s">
        <v>275</v>
      </c>
      <c r="F34" s="364"/>
      <c r="G34" s="364" t="s">
        <v>272</v>
      </c>
      <c r="H34" s="364" t="s">
        <v>227</v>
      </c>
      <c r="I34" s="364"/>
      <c r="J34" s="364">
        <v>5</v>
      </c>
      <c r="K34" s="443"/>
      <c r="L34" s="444">
        <f>O34/J34</f>
        <v>0.2</v>
      </c>
      <c r="M34" s="445"/>
      <c r="N34" s="443"/>
      <c r="O34" s="444">
        <v>1</v>
      </c>
      <c r="P34" s="445"/>
      <c r="Q34" s="130"/>
      <c r="R34" s="446">
        <v>0</v>
      </c>
      <c r="S34" s="446">
        <v>0</v>
      </c>
      <c r="T34" s="446">
        <v>0</v>
      </c>
      <c r="U34" s="447"/>
      <c r="V34" s="448">
        <f t="shared" si="12"/>
        <v>0</v>
      </c>
      <c r="W34" s="448">
        <f t="shared" si="13"/>
        <v>0</v>
      </c>
      <c r="X34" s="538">
        <f>T34*O34</f>
        <v>0</v>
      </c>
      <c r="Y34" s="768">
        <f t="shared" si="3"/>
        <v>0</v>
      </c>
      <c r="Z34" s="551"/>
    </row>
    <row r="35" spans="2:27">
      <c r="B35" s="661"/>
      <c r="C35" s="658" t="s">
        <v>24</v>
      </c>
      <c r="D35" s="513" t="s">
        <v>288</v>
      </c>
      <c r="E35" s="175" t="s">
        <v>274</v>
      </c>
      <c r="F35" s="175"/>
      <c r="G35" s="175" t="s">
        <v>271</v>
      </c>
      <c r="H35" s="175" t="s">
        <v>228</v>
      </c>
      <c r="I35" s="158"/>
      <c r="J35" s="158">
        <v>5</v>
      </c>
      <c r="K35" s="449"/>
      <c r="L35" s="450">
        <f>O35/J35</f>
        <v>0.2</v>
      </c>
      <c r="M35" s="451"/>
      <c r="N35" s="449"/>
      <c r="O35" s="450">
        <v>1</v>
      </c>
      <c r="P35" s="451"/>
      <c r="Q35" s="130"/>
      <c r="R35" s="452">
        <v>0</v>
      </c>
      <c r="S35" s="452">
        <v>0</v>
      </c>
      <c r="T35" s="452">
        <v>0</v>
      </c>
      <c r="U35" s="453"/>
      <c r="V35" s="454">
        <f t="shared" si="12"/>
        <v>0</v>
      </c>
      <c r="W35" s="454">
        <f t="shared" si="13"/>
        <v>0</v>
      </c>
      <c r="X35" s="539">
        <f>T35*O35</f>
        <v>0</v>
      </c>
      <c r="Y35" s="767">
        <f t="shared" si="3"/>
        <v>0</v>
      </c>
      <c r="Z35" s="552"/>
    </row>
    <row r="36" spans="2:27">
      <c r="B36" s="661"/>
      <c r="C36" s="659"/>
      <c r="D36" s="514" t="s">
        <v>288</v>
      </c>
      <c r="E36" s="173" t="s">
        <v>274</v>
      </c>
      <c r="F36" s="173"/>
      <c r="G36" s="173" t="s">
        <v>271</v>
      </c>
      <c r="H36" s="173" t="s">
        <v>65</v>
      </c>
      <c r="I36" s="155"/>
      <c r="J36" s="155">
        <v>3.3</v>
      </c>
      <c r="K36" s="510"/>
      <c r="L36" s="455"/>
      <c r="M36" s="511">
        <f>P36/J36</f>
        <v>0.60606060606060608</v>
      </c>
      <c r="N36" s="510"/>
      <c r="O36" s="455"/>
      <c r="P36" s="456">
        <v>2</v>
      </c>
      <c r="R36" s="457">
        <v>0</v>
      </c>
      <c r="S36" s="457">
        <v>0</v>
      </c>
      <c r="T36" s="457">
        <v>0</v>
      </c>
      <c r="U36" s="156"/>
      <c r="V36" s="458">
        <f t="shared" si="12"/>
        <v>0</v>
      </c>
      <c r="W36" s="458">
        <f t="shared" si="13"/>
        <v>0</v>
      </c>
      <c r="X36" s="540">
        <f t="shared" si="13"/>
        <v>0</v>
      </c>
      <c r="Y36" s="561">
        <f t="shared" si="3"/>
        <v>0</v>
      </c>
      <c r="Z36" s="167"/>
    </row>
    <row r="37" spans="2:27" ht="15.75" thickBot="1">
      <c r="B37" s="662"/>
      <c r="C37" s="515" t="s">
        <v>22</v>
      </c>
      <c r="D37" s="516" t="s">
        <v>289</v>
      </c>
      <c r="E37" s="366" t="s">
        <v>273</v>
      </c>
      <c r="F37" s="366" t="s">
        <v>305</v>
      </c>
      <c r="G37" s="366" t="s">
        <v>249</v>
      </c>
      <c r="H37" s="366" t="s">
        <v>75</v>
      </c>
      <c r="I37" s="365"/>
      <c r="J37" s="365">
        <v>3.3</v>
      </c>
      <c r="K37" s="459">
        <f>N37/J37</f>
        <v>0.11515151515151516</v>
      </c>
      <c r="L37" s="460">
        <f>O37/J37</f>
        <v>0.24242424242424246</v>
      </c>
      <c r="M37" s="461">
        <f>P37/J37</f>
        <v>0.54545454545454553</v>
      </c>
      <c r="N37" s="499">
        <v>0.38</v>
      </c>
      <c r="O37" s="462">
        <v>0.8</v>
      </c>
      <c r="P37" s="500">
        <v>1.8</v>
      </c>
      <c r="Q37" s="130"/>
      <c r="R37" s="503">
        <v>0</v>
      </c>
      <c r="S37" s="503">
        <v>0</v>
      </c>
      <c r="T37" s="503">
        <v>0</v>
      </c>
      <c r="U37" s="504"/>
      <c r="V37" s="505">
        <f t="shared" si="12"/>
        <v>0</v>
      </c>
      <c r="W37" s="505">
        <f t="shared" si="13"/>
        <v>0</v>
      </c>
      <c r="X37" s="541">
        <f t="shared" si="13"/>
        <v>0</v>
      </c>
      <c r="Y37" s="572">
        <f t="shared" si="3"/>
        <v>0</v>
      </c>
      <c r="Z37" s="553"/>
    </row>
    <row r="38" spans="2:27" ht="15" thickBot="1">
      <c r="O38" s="90"/>
      <c r="P38" s="90"/>
      <c r="Q38" s="90"/>
      <c r="U38" s="146" t="s">
        <v>163</v>
      </c>
      <c r="V38" s="438">
        <f>SUM(V5:V37)/0.9</f>
        <v>3.2742988888888886</v>
      </c>
      <c r="W38" s="438">
        <f>SUM(W5:W37)/0.9</f>
        <v>3.2742988888888886</v>
      </c>
      <c r="X38" s="769">
        <f>SUM(X5:X37)/0.9</f>
        <v>13.751521111111112</v>
      </c>
      <c r="Y38" s="775">
        <f>SUM(Y5:Y37)/0.9</f>
        <v>4.4942147455989812</v>
      </c>
      <c r="Z38" s="770" t="s">
        <v>119</v>
      </c>
      <c r="AA38" s="1" t="s">
        <v>4</v>
      </c>
    </row>
    <row r="39" spans="2:27">
      <c r="O39" s="90"/>
      <c r="P39" s="90"/>
      <c r="Q39" s="90"/>
      <c r="U39" s="117" t="s">
        <v>10</v>
      </c>
      <c r="V39" s="526">
        <f>1.135*20*R4/3600</f>
        <v>23.041232566635454</v>
      </c>
      <c r="W39" s="526">
        <v>0</v>
      </c>
      <c r="X39" s="526">
        <v>0</v>
      </c>
      <c r="Y39" s="527">
        <f t="shared" ref="Y39:Y44" si="15">V39+W39+X39</f>
        <v>23.041232566635454</v>
      </c>
      <c r="Z39" s="118" t="s">
        <v>129</v>
      </c>
    </row>
    <row r="40" spans="2:27">
      <c r="O40" s="90"/>
      <c r="P40" s="90"/>
      <c r="Q40" s="90"/>
      <c r="R40" s="90"/>
      <c r="U40" s="117" t="s">
        <v>9</v>
      </c>
      <c r="V40" s="5">
        <f>V38*R4/3600</f>
        <v>3.3235190392759888</v>
      </c>
      <c r="W40" s="5">
        <f>W38*S4/3600</f>
        <v>1.2386570018535479</v>
      </c>
      <c r="X40" s="5">
        <f>X38*T4/3600</f>
        <v>2.5249320706790126</v>
      </c>
      <c r="Y40" s="522">
        <f t="shared" si="15"/>
        <v>7.0871081118085488</v>
      </c>
      <c r="Z40" s="118" t="s">
        <v>129</v>
      </c>
    </row>
    <row r="41" spans="2:27">
      <c r="O41" s="90"/>
      <c r="P41" s="90"/>
      <c r="Q41" s="90"/>
      <c r="R41" s="90"/>
      <c r="U41" s="117" t="s">
        <v>100</v>
      </c>
      <c r="V41" s="563">
        <f>Y39-Y40</f>
        <v>15.954124454826905</v>
      </c>
      <c r="W41" s="5"/>
      <c r="X41" s="5"/>
      <c r="Y41" s="522">
        <f t="shared" si="15"/>
        <v>15.954124454826905</v>
      </c>
      <c r="Z41" s="118" t="s">
        <v>129</v>
      </c>
    </row>
    <row r="42" spans="2:27">
      <c r="O42" s="90"/>
      <c r="P42" s="90"/>
      <c r="Q42" s="90"/>
      <c r="R42" s="90"/>
      <c r="U42" s="117" t="s">
        <v>179</v>
      </c>
      <c r="V42" s="5">
        <f>100*(Y39/Y40-1)</f>
        <v>225.11473231576815</v>
      </c>
      <c r="W42" s="5"/>
      <c r="X42" s="5"/>
      <c r="Y42" s="522">
        <f t="shared" si="15"/>
        <v>225.11473231576815</v>
      </c>
      <c r="Z42" s="118" t="s">
        <v>110</v>
      </c>
    </row>
    <row r="43" spans="2:27">
      <c r="O43" s="90"/>
      <c r="P43" s="90"/>
      <c r="Q43" s="90"/>
      <c r="R43" s="90"/>
      <c r="U43" s="117" t="s">
        <v>107</v>
      </c>
      <c r="V43" s="5">
        <f>V41/$V$39*100</f>
        <v>69.241627628589015</v>
      </c>
      <c r="W43" s="5"/>
      <c r="X43" s="5"/>
      <c r="Y43" s="522">
        <f t="shared" si="15"/>
        <v>69.241627628589015</v>
      </c>
      <c r="Z43" s="118" t="s">
        <v>110</v>
      </c>
      <c r="AA43" s="21" t="s">
        <v>77</v>
      </c>
    </row>
    <row r="44" spans="2:27" ht="15" thickBot="1">
      <c r="O44" s="90"/>
      <c r="P44" s="90"/>
      <c r="Q44" s="90"/>
      <c r="R44" s="90"/>
      <c r="U44" s="119" t="s">
        <v>167</v>
      </c>
      <c r="V44" s="120">
        <f>(V39-V40)/40*100</f>
        <v>49.294283818398661</v>
      </c>
      <c r="W44" s="120">
        <f>(W39-W40)/40*100</f>
        <v>-3.0966425046338695</v>
      </c>
      <c r="X44" s="120">
        <f>(X39-X40)/40*100</f>
        <v>-6.3123301766975306</v>
      </c>
      <c r="Y44" s="564">
        <f t="shared" si="15"/>
        <v>39.885311137067262</v>
      </c>
      <c r="Z44" s="121" t="s">
        <v>110</v>
      </c>
    </row>
    <row r="48" spans="2:27">
      <c r="O48" s="90"/>
      <c r="P48" s="90"/>
      <c r="Q48" s="90"/>
      <c r="R48" s="90"/>
      <c r="S48" s="90"/>
    </row>
    <row r="49" spans="15:19">
      <c r="O49" s="90"/>
      <c r="P49" s="90"/>
      <c r="Q49" s="90"/>
      <c r="R49" s="90"/>
      <c r="S49" s="90"/>
    </row>
    <row r="50" spans="15:19">
      <c r="O50" s="90"/>
      <c r="P50" s="90"/>
      <c r="Q50" s="90"/>
      <c r="R50" s="90"/>
      <c r="S50" s="90"/>
    </row>
    <row r="51" spans="15:19">
      <c r="R51" s="90"/>
      <c r="S51" s="90"/>
    </row>
    <row r="52" spans="15:19">
      <c r="R52" s="90"/>
      <c r="S52" s="90"/>
    </row>
  </sheetData>
  <mergeCells count="87">
    <mergeCell ref="G30:G33"/>
    <mergeCell ref="H30:H33"/>
    <mergeCell ref="D31:D33"/>
    <mergeCell ref="E31:E33"/>
    <mergeCell ref="U28:U29"/>
    <mergeCell ref="J28:J29"/>
    <mergeCell ref="R28:R29"/>
    <mergeCell ref="S28:S29"/>
    <mergeCell ref="T28:T29"/>
    <mergeCell ref="K28:K29"/>
    <mergeCell ref="L28:L29"/>
    <mergeCell ref="M28:M29"/>
    <mergeCell ref="N28:N29"/>
    <mergeCell ref="O28:O29"/>
    <mergeCell ref="P28:P29"/>
    <mergeCell ref="B24:B33"/>
    <mergeCell ref="C24:C33"/>
    <mergeCell ref="D24:D26"/>
    <mergeCell ref="E24:E26"/>
    <mergeCell ref="B34:B37"/>
    <mergeCell ref="C35:C36"/>
    <mergeCell ref="D27:D29"/>
    <mergeCell ref="E27:E29"/>
    <mergeCell ref="G24:G26"/>
    <mergeCell ref="U16:U18"/>
    <mergeCell ref="V16:V18"/>
    <mergeCell ref="W16:W18"/>
    <mergeCell ref="X16:X18"/>
    <mergeCell ref="P16:P18"/>
    <mergeCell ref="R16:R18"/>
    <mergeCell ref="S16:S18"/>
    <mergeCell ref="T16:T18"/>
    <mergeCell ref="H24:H29"/>
    <mergeCell ref="G27:G29"/>
    <mergeCell ref="I28:I29"/>
    <mergeCell ref="X28:X29"/>
    <mergeCell ref="V28:V29"/>
    <mergeCell ref="W28:W29"/>
    <mergeCell ref="N16:N18"/>
    <mergeCell ref="O16:O18"/>
    <mergeCell ref="H16:H18"/>
    <mergeCell ref="I16:I18"/>
    <mergeCell ref="J16:J18"/>
    <mergeCell ref="K16:K18"/>
    <mergeCell ref="L16:L18"/>
    <mergeCell ref="M16:M18"/>
    <mergeCell ref="M3:M4"/>
    <mergeCell ref="D12:D13"/>
    <mergeCell ref="E12:E13"/>
    <mergeCell ref="D14:D15"/>
    <mergeCell ref="E14:E15"/>
    <mergeCell ref="H8:H14"/>
    <mergeCell ref="G9:G14"/>
    <mergeCell ref="H3:H4"/>
    <mergeCell ref="I3:I4"/>
    <mergeCell ref="J3:J4"/>
    <mergeCell ref="K3:K4"/>
    <mergeCell ref="L3:L4"/>
    <mergeCell ref="C5:C6"/>
    <mergeCell ref="G5:G6"/>
    <mergeCell ref="C7:C8"/>
    <mergeCell ref="B8:B22"/>
    <mergeCell ref="C9:C20"/>
    <mergeCell ref="D19:D20"/>
    <mergeCell ref="G19:G20"/>
    <mergeCell ref="H19:H20"/>
    <mergeCell ref="D16:D18"/>
    <mergeCell ref="E16:E18"/>
    <mergeCell ref="G16:G18"/>
    <mergeCell ref="C21:C22"/>
    <mergeCell ref="F16:F18"/>
    <mergeCell ref="Y16:Y18"/>
    <mergeCell ref="Y28:Y29"/>
    <mergeCell ref="U2:Z2"/>
    <mergeCell ref="B3:B4"/>
    <mergeCell ref="C3:D4"/>
    <mergeCell ref="E3:E4"/>
    <mergeCell ref="F3:F4"/>
    <mergeCell ref="G3:G4"/>
    <mergeCell ref="C2:D2"/>
    <mergeCell ref="K2:M2"/>
    <mergeCell ref="N2:P2"/>
    <mergeCell ref="R2:T2"/>
    <mergeCell ref="N3:N4"/>
    <mergeCell ref="O3:O4"/>
    <mergeCell ref="P3:P4"/>
    <mergeCell ref="B5:B7"/>
  </mergeCells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E6C8-7B9F-43BE-8391-6E427BAB8297}">
  <dimension ref="B1:AC52"/>
  <sheetViews>
    <sheetView zoomScale="85" zoomScaleNormal="85" workbookViewId="0">
      <pane xSplit="5" ySplit="40" topLeftCell="K41" activePane="bottomRight" state="frozen"/>
      <selection pane="topRight" activeCell="F1" sqref="F1"/>
      <selection pane="bottomLeft" activeCell="A41" sqref="A41"/>
      <selection pane="bottomRight" activeCell="AA42" sqref="AA42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9" width="12.125" style="1" bestFit="1" customWidth="1"/>
    <col min="20" max="20" width="12.375" style="1" bestFit="1" customWidth="1"/>
    <col min="21" max="21" width="30" style="1" bestFit="1" customWidth="1"/>
    <col min="22" max="22" width="13.375" style="1" bestFit="1" customWidth="1"/>
    <col min="23" max="23" width="11.5" style="1" bestFit="1" customWidth="1"/>
    <col min="24" max="24" width="14.125" style="1" bestFit="1" customWidth="1"/>
    <col min="25" max="25" width="12.125" style="1" bestFit="1" customWidth="1"/>
    <col min="26" max="26" width="4.375" style="1" bestFit="1" customWidth="1"/>
    <col min="27" max="27" width="10.625" style="1" bestFit="1" customWidth="1"/>
    <col min="28" max="28" width="20.125" style="1" bestFit="1" customWidth="1"/>
    <col min="29" max="29" width="13.375" style="1" bestFit="1" customWidth="1"/>
    <col min="30" max="16384" width="9.125" style="1"/>
  </cols>
  <sheetData>
    <row r="1" spans="2:29" ht="15" thickBot="1"/>
    <row r="2" spans="2:29" ht="13.9" customHeight="1" thickBot="1">
      <c r="B2" s="127" t="s">
        <v>154</v>
      </c>
      <c r="C2" s="599" t="s">
        <v>224</v>
      </c>
      <c r="D2" s="601"/>
      <c r="E2" s="127" t="s">
        <v>71</v>
      </c>
      <c r="F2" s="127" t="s">
        <v>256</v>
      </c>
      <c r="G2" s="127" t="s">
        <v>243</v>
      </c>
      <c r="H2" s="127" t="s">
        <v>231</v>
      </c>
      <c r="I2" s="127" t="s">
        <v>53</v>
      </c>
      <c r="J2" s="152" t="s">
        <v>174</v>
      </c>
      <c r="K2" s="599" t="s">
        <v>6</v>
      </c>
      <c r="L2" s="600"/>
      <c r="M2" s="601"/>
      <c r="N2" s="599" t="s">
        <v>76</v>
      </c>
      <c r="O2" s="600"/>
      <c r="P2" s="601"/>
      <c r="R2" s="599" t="s">
        <v>93</v>
      </c>
      <c r="S2" s="600"/>
      <c r="T2" s="601"/>
      <c r="U2" s="599" t="s">
        <v>158</v>
      </c>
      <c r="V2" s="600"/>
      <c r="W2" s="600"/>
      <c r="X2" s="600"/>
      <c r="Y2" s="600"/>
      <c r="Z2" s="601"/>
      <c r="AB2" s="244" t="s">
        <v>91</v>
      </c>
      <c r="AC2" s="168"/>
    </row>
    <row r="3" spans="2:29">
      <c r="B3" s="670"/>
      <c r="C3" s="677"/>
      <c r="D3" s="678"/>
      <c r="E3" s="670"/>
      <c r="F3" s="670"/>
      <c r="G3" s="670"/>
      <c r="H3" s="670"/>
      <c r="I3" s="670"/>
      <c r="J3" s="670"/>
      <c r="K3" s="655" t="s">
        <v>56</v>
      </c>
      <c r="L3" s="666" t="s">
        <v>73</v>
      </c>
      <c r="M3" s="668" t="s">
        <v>90</v>
      </c>
      <c r="N3" s="655" t="s">
        <v>52</v>
      </c>
      <c r="O3" s="666" t="s">
        <v>73</v>
      </c>
      <c r="P3" s="668" t="s">
        <v>90</v>
      </c>
      <c r="Q3" s="1" t="s">
        <v>53</v>
      </c>
      <c r="R3" s="154" t="s">
        <v>293</v>
      </c>
      <c r="S3" s="154" t="s">
        <v>292</v>
      </c>
      <c r="T3" s="154" t="s">
        <v>295</v>
      </c>
      <c r="U3" s="305"/>
      <c r="V3" s="524" t="s">
        <v>293</v>
      </c>
      <c r="W3" s="525" t="s">
        <v>292</v>
      </c>
      <c r="X3" s="524" t="s">
        <v>295</v>
      </c>
      <c r="Y3" s="153" t="s">
        <v>296</v>
      </c>
      <c r="Z3" s="371"/>
      <c r="AB3" s="124" t="s">
        <v>181</v>
      </c>
      <c r="AC3" s="123">
        <f>parameter!C8</f>
        <v>5676.9848887954295</v>
      </c>
    </row>
    <row r="4" spans="2:29" ht="15" thickBot="1">
      <c r="B4" s="671"/>
      <c r="C4" s="679"/>
      <c r="D4" s="680"/>
      <c r="E4" s="671"/>
      <c r="F4" s="671"/>
      <c r="G4" s="671"/>
      <c r="H4" s="671"/>
      <c r="I4" s="671"/>
      <c r="J4" s="671"/>
      <c r="K4" s="657"/>
      <c r="L4" s="667"/>
      <c r="M4" s="669"/>
      <c r="N4" s="657"/>
      <c r="O4" s="667"/>
      <c r="P4" s="669"/>
      <c r="Q4" s="90" t="s">
        <v>64</v>
      </c>
      <c r="R4" s="483">
        <f>AC6-AC4</f>
        <v>2973.1161779686181</v>
      </c>
      <c r="S4" s="483">
        <f>AC7</f>
        <v>2022.8687108268114</v>
      </c>
      <c r="T4" s="483">
        <f>AC4</f>
        <v>681</v>
      </c>
      <c r="U4" s="370"/>
      <c r="V4" s="484">
        <f>AC6-AC4</f>
        <v>2973.1161779686181</v>
      </c>
      <c r="W4" s="484">
        <f>AC7</f>
        <v>2022.8687108268114</v>
      </c>
      <c r="X4" s="484">
        <f>AC4</f>
        <v>681</v>
      </c>
      <c r="Y4" s="758">
        <f>V4+W4+X4</f>
        <v>5676.9848887954295</v>
      </c>
      <c r="Z4" s="530"/>
      <c r="AB4" s="124" t="s">
        <v>176</v>
      </c>
      <c r="AC4" s="123">
        <v>681</v>
      </c>
    </row>
    <row r="5" spans="2:29" ht="15">
      <c r="B5" s="660" t="s">
        <v>226</v>
      </c>
      <c r="C5" s="655"/>
      <c r="D5" s="306" t="s">
        <v>237</v>
      </c>
      <c r="E5" s="154" t="s">
        <v>148</v>
      </c>
      <c r="F5" s="154" t="s">
        <v>290</v>
      </c>
      <c r="G5" s="670" t="s">
        <v>247</v>
      </c>
      <c r="H5" s="154"/>
      <c r="I5" s="154"/>
      <c r="J5" s="388"/>
      <c r="K5" s="392"/>
      <c r="L5" s="393"/>
      <c r="M5" s="394"/>
      <c r="N5" s="392"/>
      <c r="O5" s="727">
        <v>0.8</v>
      </c>
      <c r="P5" s="394"/>
      <c r="Q5" s="90"/>
      <c r="R5" s="574">
        <v>1</v>
      </c>
      <c r="S5" s="574">
        <v>1</v>
      </c>
      <c r="T5" s="574">
        <v>1</v>
      </c>
      <c r="U5" s="575"/>
      <c r="V5" s="754">
        <f>R5*O5</f>
        <v>0.8</v>
      </c>
      <c r="W5" s="754">
        <f t="shared" ref="W5:W13" si="0">O5*S5</f>
        <v>0.8</v>
      </c>
      <c r="X5" s="755">
        <f>O5*T5</f>
        <v>0.8</v>
      </c>
      <c r="Y5" s="556">
        <f>(V5*2973.11618+W5*2022.86871+X5*681)/5676.98489</f>
        <v>0.8</v>
      </c>
      <c r="Z5" s="576"/>
      <c r="AB5" s="124" t="s">
        <v>165</v>
      </c>
      <c r="AC5" s="123">
        <v>661</v>
      </c>
    </row>
    <row r="6" spans="2:29">
      <c r="B6" s="661"/>
      <c r="C6" s="659"/>
      <c r="D6" s="116" t="s">
        <v>238</v>
      </c>
      <c r="E6" s="687" t="s">
        <v>297</v>
      </c>
      <c r="F6" s="50"/>
      <c r="G6" s="676"/>
      <c r="H6" s="50"/>
      <c r="I6" s="50"/>
      <c r="J6" s="389"/>
      <c r="K6" s="397"/>
      <c r="L6" s="398"/>
      <c r="M6" s="399"/>
      <c r="N6" s="397"/>
      <c r="O6" s="398"/>
      <c r="P6" s="399"/>
      <c r="Q6" s="519"/>
      <c r="R6" s="395">
        <v>1</v>
      </c>
      <c r="S6" s="395">
        <v>1</v>
      </c>
      <c r="T6" s="395">
        <v>1</v>
      </c>
      <c r="U6" s="396"/>
      <c r="V6" s="757">
        <f t="shared" ref="V6:V7" si="1">R6*O6</f>
        <v>0</v>
      </c>
      <c r="W6" s="396">
        <f t="shared" si="0"/>
        <v>0</v>
      </c>
      <c r="X6" s="532">
        <f t="shared" ref="X6:X9" si="2">O6*T6</f>
        <v>0</v>
      </c>
      <c r="Y6" s="557">
        <f t="shared" ref="Y6:Y37" si="3">(V6*2973.11618+W6*2022.86871+X6*681)/5676.98489</f>
        <v>0</v>
      </c>
      <c r="Z6" s="542"/>
      <c r="AB6" s="124" t="s">
        <v>0</v>
      </c>
      <c r="AC6" s="123">
        <f>parameter!C10</f>
        <v>3654.1161779686181</v>
      </c>
    </row>
    <row r="7" spans="2:29" ht="15" thickBot="1">
      <c r="B7" s="675"/>
      <c r="C7" s="681" t="s">
        <v>229</v>
      </c>
      <c r="D7" s="380" t="s">
        <v>138</v>
      </c>
      <c r="E7" s="361" t="s">
        <v>248</v>
      </c>
      <c r="F7" s="361"/>
      <c r="G7" s="361" t="s">
        <v>240</v>
      </c>
      <c r="H7" s="372"/>
      <c r="I7" s="361"/>
      <c r="J7" s="373"/>
      <c r="K7" s="473"/>
      <c r="L7" s="474"/>
      <c r="M7" s="475"/>
      <c r="N7" s="400"/>
      <c r="O7" s="401"/>
      <c r="P7" s="402"/>
      <c r="Q7" s="519"/>
      <c r="R7" s="577">
        <v>1</v>
      </c>
      <c r="S7" s="577">
        <v>1</v>
      </c>
      <c r="T7" s="588">
        <v>1</v>
      </c>
      <c r="U7" s="578"/>
      <c r="V7" s="756">
        <f t="shared" si="1"/>
        <v>0</v>
      </c>
      <c r="W7" s="579">
        <f t="shared" si="0"/>
        <v>0</v>
      </c>
      <c r="X7" s="589">
        <f t="shared" si="2"/>
        <v>0</v>
      </c>
      <c r="Y7" s="565">
        <f t="shared" si="3"/>
        <v>0</v>
      </c>
      <c r="Z7" s="590"/>
      <c r="AB7" s="124" t="s">
        <v>36</v>
      </c>
      <c r="AC7" s="123">
        <f>parameter!C11</f>
        <v>2022.8687108268114</v>
      </c>
    </row>
    <row r="8" spans="2:29" ht="15">
      <c r="B8" s="660" t="s">
        <v>225</v>
      </c>
      <c r="C8" s="682"/>
      <c r="D8" s="688" t="s">
        <v>298</v>
      </c>
      <c r="E8" s="359" t="s">
        <v>251</v>
      </c>
      <c r="F8" s="359"/>
      <c r="G8" s="359" t="s">
        <v>249</v>
      </c>
      <c r="H8" s="637" t="s">
        <v>232</v>
      </c>
      <c r="I8" s="368"/>
      <c r="J8" s="469">
        <v>3.3</v>
      </c>
      <c r="K8" s="433"/>
      <c r="L8" s="404">
        <v>9.3000000000000005E-4</v>
      </c>
      <c r="M8" s="405"/>
      <c r="N8" s="403"/>
      <c r="O8" s="406">
        <f>J8*L8</f>
        <v>3.0690000000000001E-3</v>
      </c>
      <c r="P8" s="407"/>
      <c r="Q8" s="90"/>
      <c r="R8" s="520">
        <v>1</v>
      </c>
      <c r="S8" s="520">
        <v>1</v>
      </c>
      <c r="T8" s="520">
        <v>1</v>
      </c>
      <c r="U8" s="573"/>
      <c r="V8" s="573">
        <f t="shared" ref="V8:V14" si="4">R8*O8</f>
        <v>3.0690000000000001E-3</v>
      </c>
      <c r="W8" s="573">
        <f t="shared" si="0"/>
        <v>3.0690000000000001E-3</v>
      </c>
      <c r="X8" s="587">
        <f t="shared" si="2"/>
        <v>3.0690000000000001E-3</v>
      </c>
      <c r="Y8" s="765">
        <f t="shared" si="3"/>
        <v>3.0690000000000001E-3</v>
      </c>
      <c r="Z8" s="549"/>
      <c r="AB8" s="486" t="s">
        <v>164</v>
      </c>
      <c r="AC8" s="123">
        <v>0.3</v>
      </c>
    </row>
    <row r="9" spans="2:29" ht="15">
      <c r="B9" s="661"/>
      <c r="C9" s="658" t="s">
        <v>230</v>
      </c>
      <c r="D9" s="689" t="s">
        <v>250</v>
      </c>
      <c r="E9" s="359" t="s">
        <v>251</v>
      </c>
      <c r="F9" s="690" t="s">
        <v>299</v>
      </c>
      <c r="G9" s="602" t="s">
        <v>252</v>
      </c>
      <c r="H9" s="604"/>
      <c r="I9" s="53"/>
      <c r="J9" s="390">
        <v>3.3</v>
      </c>
      <c r="K9" s="411"/>
      <c r="L9" s="412">
        <f>O9/J9</f>
        <v>1.5151515151515154E-3</v>
      </c>
      <c r="M9" s="413"/>
      <c r="N9" s="403"/>
      <c r="O9" s="691">
        <v>5.0000000000000001E-3</v>
      </c>
      <c r="P9" s="410"/>
      <c r="Q9" s="90"/>
      <c r="R9" s="408">
        <v>1</v>
      </c>
      <c r="S9" s="408">
        <v>1</v>
      </c>
      <c r="T9" s="408">
        <v>1</v>
      </c>
      <c r="U9" s="409"/>
      <c r="V9" s="573">
        <f t="shared" si="4"/>
        <v>5.0000000000000001E-3</v>
      </c>
      <c r="W9" s="573">
        <f t="shared" si="0"/>
        <v>5.0000000000000001E-3</v>
      </c>
      <c r="X9" s="587">
        <f t="shared" si="2"/>
        <v>5.0000000000000001E-3</v>
      </c>
      <c r="Y9" s="558">
        <f t="shared" si="3"/>
        <v>5.0000000000000001E-3</v>
      </c>
      <c r="Z9" s="544"/>
      <c r="AB9" s="124" t="s">
        <v>68</v>
      </c>
      <c r="AC9" s="123">
        <v>0.6</v>
      </c>
    </row>
    <row r="10" spans="2:29" ht="15">
      <c r="B10" s="661"/>
      <c r="C10" s="656"/>
      <c r="D10" s="374" t="s">
        <v>241</v>
      </c>
      <c r="E10" s="55" t="s">
        <v>26</v>
      </c>
      <c r="F10" s="477"/>
      <c r="G10" s="604"/>
      <c r="H10" s="604"/>
      <c r="I10" s="55"/>
      <c r="J10" s="470">
        <v>3.3</v>
      </c>
      <c r="K10" s="411"/>
      <c r="L10" s="412">
        <f t="shared" ref="L10:L14" si="5">O10/J10</f>
        <v>3.6363636363636362E-2</v>
      </c>
      <c r="M10" s="413">
        <f t="shared" ref="M10:M13" si="6">P10/J10</f>
        <v>6.0606060606060615E-2</v>
      </c>
      <c r="N10" s="411"/>
      <c r="O10" s="414">
        <v>0.12</v>
      </c>
      <c r="P10" s="410">
        <v>0.2</v>
      </c>
      <c r="Q10" s="90"/>
      <c r="R10" s="408">
        <v>1</v>
      </c>
      <c r="S10" s="408">
        <v>1</v>
      </c>
      <c r="T10" s="408">
        <v>1</v>
      </c>
      <c r="U10" s="409"/>
      <c r="V10" s="409">
        <f t="shared" si="4"/>
        <v>0.12</v>
      </c>
      <c r="W10" s="409">
        <f t="shared" si="0"/>
        <v>0.12</v>
      </c>
      <c r="X10" s="533">
        <f>P10*T10</f>
        <v>0.2</v>
      </c>
      <c r="Y10" s="558">
        <f t="shared" si="3"/>
        <v>0.12959664347459626</v>
      </c>
      <c r="Z10" s="544"/>
      <c r="AB10" s="124" t="s">
        <v>41</v>
      </c>
      <c r="AC10" s="123">
        <v>0.8</v>
      </c>
    </row>
    <row r="11" spans="2:29" ht="15">
      <c r="B11" s="661"/>
      <c r="C11" s="656"/>
      <c r="D11" s="387" t="s">
        <v>244</v>
      </c>
      <c r="E11" s="57" t="s">
        <v>106</v>
      </c>
      <c r="F11" s="55"/>
      <c r="G11" s="604"/>
      <c r="H11" s="604"/>
      <c r="I11" s="55"/>
      <c r="J11" s="470">
        <v>3.3</v>
      </c>
      <c r="K11" s="411"/>
      <c r="L11" s="412">
        <f t="shared" si="5"/>
        <v>6.0606060606060615E-2</v>
      </c>
      <c r="M11" s="413">
        <f t="shared" si="6"/>
        <v>0.12121212121212123</v>
      </c>
      <c r="N11" s="411"/>
      <c r="O11" s="414">
        <v>0.2</v>
      </c>
      <c r="P11" s="410">
        <v>0.4</v>
      </c>
      <c r="Q11" s="90"/>
      <c r="R11" s="408">
        <v>1</v>
      </c>
      <c r="S11" s="408">
        <v>1</v>
      </c>
      <c r="T11" s="408">
        <v>1</v>
      </c>
      <c r="U11" s="409"/>
      <c r="V11" s="409">
        <f t="shared" si="4"/>
        <v>0.2</v>
      </c>
      <c r="W11" s="409">
        <f t="shared" si="0"/>
        <v>0.2</v>
      </c>
      <c r="X11" s="533">
        <f>P11*T11</f>
        <v>0.4</v>
      </c>
      <c r="Y11" s="558">
        <f t="shared" si="3"/>
        <v>0.22399160868649065</v>
      </c>
      <c r="Z11" s="544"/>
      <c r="AB11" s="124" t="s">
        <v>70</v>
      </c>
      <c r="AC11" s="123">
        <v>0.8</v>
      </c>
    </row>
    <row r="12" spans="2:29" ht="15">
      <c r="B12" s="661"/>
      <c r="C12" s="656"/>
      <c r="D12" s="673"/>
      <c r="E12" s="602" t="s">
        <v>16</v>
      </c>
      <c r="F12" s="55"/>
      <c r="G12" s="604"/>
      <c r="H12" s="604"/>
      <c r="I12" s="55" t="s">
        <v>307</v>
      </c>
      <c r="J12" s="470">
        <v>3.3</v>
      </c>
      <c r="K12" s="411"/>
      <c r="L12" s="412">
        <f t="shared" si="5"/>
        <v>6.0606060606060615E-2</v>
      </c>
      <c r="M12" s="413"/>
      <c r="N12" s="411"/>
      <c r="O12" s="414">
        <v>0.2</v>
      </c>
      <c r="P12" s="413"/>
      <c r="Q12" s="90"/>
      <c r="R12" s="408">
        <f>100%-R13</f>
        <v>0</v>
      </c>
      <c r="S12" s="408">
        <f>100%-S13</f>
        <v>0</v>
      </c>
      <c r="T12" s="408">
        <f>100%-T13</f>
        <v>0</v>
      </c>
      <c r="U12" s="409"/>
      <c r="V12" s="409">
        <f t="shared" si="4"/>
        <v>0</v>
      </c>
      <c r="W12" s="409">
        <f t="shared" si="0"/>
        <v>0</v>
      </c>
      <c r="X12" s="533">
        <f>T12*P12</f>
        <v>0</v>
      </c>
      <c r="Y12" s="558">
        <f t="shared" si="3"/>
        <v>0</v>
      </c>
      <c r="Z12" s="544"/>
      <c r="AB12" s="124" t="s">
        <v>102</v>
      </c>
      <c r="AC12" s="123">
        <v>0.2</v>
      </c>
    </row>
    <row r="13" spans="2:29" ht="15">
      <c r="B13" s="661"/>
      <c r="C13" s="656"/>
      <c r="D13" s="674"/>
      <c r="E13" s="603"/>
      <c r="F13" s="692" t="s">
        <v>257</v>
      </c>
      <c r="G13" s="604"/>
      <c r="H13" s="604"/>
      <c r="I13" s="692" t="s">
        <v>300</v>
      </c>
      <c r="J13" s="470">
        <v>3.3</v>
      </c>
      <c r="K13" s="411"/>
      <c r="L13" s="412">
        <f t="shared" si="5"/>
        <v>8.6363636363636365E-2</v>
      </c>
      <c r="M13" s="413">
        <f t="shared" si="6"/>
        <v>0.13333333333333333</v>
      </c>
      <c r="N13" s="508"/>
      <c r="O13" s="414">
        <v>0.28499999999999998</v>
      </c>
      <c r="P13" s="479">
        <v>0.44</v>
      </c>
      <c r="Q13" s="90"/>
      <c r="R13" s="408">
        <f>R16</f>
        <v>1</v>
      </c>
      <c r="S13" s="408">
        <f>S16</f>
        <v>1</v>
      </c>
      <c r="T13" s="408">
        <f>T16</f>
        <v>1</v>
      </c>
      <c r="U13" s="409"/>
      <c r="V13" s="409">
        <f t="shared" si="4"/>
        <v>0.28499999999999998</v>
      </c>
      <c r="W13" s="409">
        <f t="shared" si="0"/>
        <v>0.28499999999999998</v>
      </c>
      <c r="X13" s="533">
        <f>P13*T13</f>
        <v>0.44</v>
      </c>
      <c r="Y13" s="558">
        <f t="shared" si="3"/>
        <v>0.30359349673203023</v>
      </c>
      <c r="Z13" s="544"/>
      <c r="AB13" s="124" t="s">
        <v>157</v>
      </c>
      <c r="AC13" s="123">
        <v>0.9</v>
      </c>
    </row>
    <row r="14" spans="2:29" ht="15.75" thickBot="1">
      <c r="B14" s="661"/>
      <c r="C14" s="656"/>
      <c r="D14" s="673" t="s">
        <v>245</v>
      </c>
      <c r="E14" s="602" t="s">
        <v>44</v>
      </c>
      <c r="F14" s="55" t="s">
        <v>258</v>
      </c>
      <c r="G14" s="604"/>
      <c r="H14" s="604"/>
      <c r="I14" s="55" t="s">
        <v>307</v>
      </c>
      <c r="J14" s="470">
        <v>3.3</v>
      </c>
      <c r="K14" s="411"/>
      <c r="L14" s="412">
        <f t="shared" si="5"/>
        <v>1.0606060606060608E-2</v>
      </c>
      <c r="M14" s="413"/>
      <c r="N14" s="415"/>
      <c r="O14" s="414">
        <v>3.5000000000000003E-2</v>
      </c>
      <c r="P14" s="416"/>
      <c r="Q14" s="90"/>
      <c r="R14" s="408">
        <v>1</v>
      </c>
      <c r="S14" s="408">
        <v>1</v>
      </c>
      <c r="T14" s="408">
        <v>1</v>
      </c>
      <c r="U14" s="409"/>
      <c r="V14" s="409">
        <f t="shared" si="4"/>
        <v>3.5000000000000003E-2</v>
      </c>
      <c r="W14" s="409">
        <f>O14*S14</f>
        <v>3.5000000000000003E-2</v>
      </c>
      <c r="X14" s="533">
        <f>T14*O14</f>
        <v>3.5000000000000003E-2</v>
      </c>
      <c r="Y14" s="558">
        <f t="shared" si="3"/>
        <v>3.5000000000000003E-2</v>
      </c>
      <c r="Z14" s="544"/>
      <c r="AB14" s="382" t="s">
        <v>182</v>
      </c>
      <c r="AC14" s="126">
        <v>0.4</v>
      </c>
    </row>
    <row r="15" spans="2:29" ht="15">
      <c r="B15" s="661"/>
      <c r="C15" s="656"/>
      <c r="D15" s="674"/>
      <c r="E15" s="603"/>
      <c r="F15" s="528" t="s">
        <v>259</v>
      </c>
      <c r="G15" s="714" t="s">
        <v>252</v>
      </c>
      <c r="H15" s="714" t="s">
        <v>302</v>
      </c>
      <c r="I15" s="528" t="s">
        <v>291</v>
      </c>
      <c r="J15" s="722">
        <v>8</v>
      </c>
      <c r="K15" s="693"/>
      <c r="L15" s="721">
        <v>0.62</v>
      </c>
      <c r="M15" s="694"/>
      <c r="N15" s="695"/>
      <c r="O15" s="715">
        <f>J15*L15</f>
        <v>4.96</v>
      </c>
      <c r="P15" s="696"/>
      <c r="Q15" s="90"/>
      <c r="R15" s="728"/>
      <c r="S15" s="728"/>
      <c r="T15" s="728"/>
      <c r="U15" s="729"/>
      <c r="V15" s="729"/>
      <c r="W15" s="729"/>
      <c r="X15" s="752"/>
      <c r="Y15" s="760">
        <f t="shared" si="3"/>
        <v>0</v>
      </c>
      <c r="Z15" s="753"/>
    </row>
    <row r="16" spans="2:29" ht="15.75" customHeight="1">
      <c r="B16" s="661"/>
      <c r="C16" s="656"/>
      <c r="D16" s="697" t="s">
        <v>246</v>
      </c>
      <c r="E16" s="698" t="s">
        <v>253</v>
      </c>
      <c r="F16" s="716"/>
      <c r="G16" s="698" t="s">
        <v>252</v>
      </c>
      <c r="H16" s="699" t="s">
        <v>301</v>
      </c>
      <c r="I16" s="698"/>
      <c r="J16" s="700">
        <v>8.26</v>
      </c>
      <c r="K16" s="701">
        <f>0.065*3/J16</f>
        <v>2.3607748184019371E-2</v>
      </c>
      <c r="L16" s="702">
        <f>0.19*3/J16</f>
        <v>6.9007263922518172E-2</v>
      </c>
      <c r="M16" s="703">
        <f>2.3*3/J16</f>
        <v>0.83535108958837767</v>
      </c>
      <c r="N16" s="704">
        <v>6.5000000000000002E-2</v>
      </c>
      <c r="O16" s="705">
        <v>0.19</v>
      </c>
      <c r="P16" s="706">
        <v>2.2999999999999998</v>
      </c>
      <c r="Q16" s="90"/>
      <c r="R16" s="731">
        <v>1</v>
      </c>
      <c r="S16" s="731">
        <v>1</v>
      </c>
      <c r="T16" s="731">
        <v>1</v>
      </c>
      <c r="U16" s="732"/>
      <c r="V16" s="733">
        <f>R16*O16</f>
        <v>0.19</v>
      </c>
      <c r="W16" s="733">
        <f>O16*S16</f>
        <v>0.19</v>
      </c>
      <c r="X16" s="743">
        <f>P16*T16</f>
        <v>2.2999999999999998</v>
      </c>
      <c r="Y16" s="744">
        <f t="shared" si="3"/>
        <v>0.44311147164247611</v>
      </c>
      <c r="Z16" s="745"/>
    </row>
    <row r="17" spans="2:26" ht="14.25" customHeight="1">
      <c r="B17" s="661"/>
      <c r="C17" s="656"/>
      <c r="D17" s="707"/>
      <c r="E17" s="699"/>
      <c r="F17" s="717"/>
      <c r="G17" s="699"/>
      <c r="H17" s="699"/>
      <c r="I17" s="699"/>
      <c r="J17" s="708"/>
      <c r="K17" s="701"/>
      <c r="L17" s="709"/>
      <c r="M17" s="703"/>
      <c r="N17" s="704"/>
      <c r="O17" s="705"/>
      <c r="P17" s="706"/>
      <c r="Q17" s="90"/>
      <c r="R17" s="735"/>
      <c r="S17" s="735"/>
      <c r="T17" s="735"/>
      <c r="U17" s="736"/>
      <c r="V17" s="737"/>
      <c r="W17" s="737"/>
      <c r="X17" s="746"/>
      <c r="Y17" s="747"/>
      <c r="Z17" s="748"/>
    </row>
    <row r="18" spans="2:26" ht="14.25" customHeight="1">
      <c r="B18" s="661"/>
      <c r="C18" s="656"/>
      <c r="D18" s="710"/>
      <c r="E18" s="711"/>
      <c r="F18" s="718"/>
      <c r="G18" s="711"/>
      <c r="H18" s="711"/>
      <c r="I18" s="711"/>
      <c r="J18" s="712"/>
      <c r="K18" s="701"/>
      <c r="L18" s="713"/>
      <c r="M18" s="703"/>
      <c r="N18" s="704"/>
      <c r="O18" s="705"/>
      <c r="P18" s="706"/>
      <c r="Q18" s="90"/>
      <c r="R18" s="739"/>
      <c r="S18" s="739"/>
      <c r="T18" s="739"/>
      <c r="U18" s="740"/>
      <c r="V18" s="741"/>
      <c r="W18" s="741"/>
      <c r="X18" s="749"/>
      <c r="Y18" s="750"/>
      <c r="Z18" s="751"/>
    </row>
    <row r="19" spans="2:26" ht="15">
      <c r="B19" s="661"/>
      <c r="C19" s="656"/>
      <c r="D19" s="652" t="s">
        <v>242</v>
      </c>
      <c r="E19" s="64" t="s">
        <v>235</v>
      </c>
      <c r="F19" s="719" t="s">
        <v>304</v>
      </c>
      <c r="G19" s="605" t="s">
        <v>252</v>
      </c>
      <c r="H19" s="650" t="s">
        <v>233</v>
      </c>
      <c r="I19" s="378"/>
      <c r="J19" s="471">
        <v>5</v>
      </c>
      <c r="K19" s="463"/>
      <c r="L19" s="464">
        <f>0.07*2</f>
        <v>0.14000000000000001</v>
      </c>
      <c r="M19" s="476">
        <f>0.167*2</f>
        <v>0.33400000000000002</v>
      </c>
      <c r="N19" s="417"/>
      <c r="O19" s="418">
        <f>L19*J19</f>
        <v>0.70000000000000007</v>
      </c>
      <c r="P19" s="419">
        <f>M19*J19</f>
        <v>1.6700000000000002</v>
      </c>
      <c r="Q19" s="90"/>
      <c r="R19" s="420">
        <v>0</v>
      </c>
      <c r="S19" s="420">
        <v>0</v>
      </c>
      <c r="T19" s="420">
        <v>1</v>
      </c>
      <c r="U19" s="421"/>
      <c r="V19" s="421">
        <f t="shared" ref="V19:V26" si="7">R19*O19</f>
        <v>0</v>
      </c>
      <c r="W19" s="421">
        <f t="shared" ref="W19:W26" si="8">S19*O19</f>
        <v>0</v>
      </c>
      <c r="X19" s="534">
        <f>T19*O19</f>
        <v>0.70000000000000007</v>
      </c>
      <c r="Y19" s="559">
        <f t="shared" si="3"/>
        <v>8.3970630402717183E-2</v>
      </c>
      <c r="Z19" s="545"/>
    </row>
    <row r="20" spans="2:26" ht="15">
      <c r="B20" s="661"/>
      <c r="C20" s="659"/>
      <c r="D20" s="672"/>
      <c r="E20" s="64" t="s">
        <v>236</v>
      </c>
      <c r="F20" s="720" t="s">
        <v>303</v>
      </c>
      <c r="G20" s="663"/>
      <c r="H20" s="663"/>
      <c r="I20" s="64"/>
      <c r="J20" s="379">
        <v>5</v>
      </c>
      <c r="K20" s="463"/>
      <c r="L20" s="464">
        <v>6.4000000000000001E-2</v>
      </c>
      <c r="M20" s="466"/>
      <c r="N20" s="463"/>
      <c r="O20" s="467">
        <f>L20*J20</f>
        <v>0.32</v>
      </c>
      <c r="P20" s="466"/>
      <c r="Q20" s="90"/>
      <c r="R20" s="493">
        <v>0</v>
      </c>
      <c r="S20" s="493">
        <v>0</v>
      </c>
      <c r="T20" s="493">
        <v>1</v>
      </c>
      <c r="U20" s="494"/>
      <c r="V20" s="502">
        <f t="shared" si="7"/>
        <v>0</v>
      </c>
      <c r="W20" s="502">
        <f t="shared" si="8"/>
        <v>0</v>
      </c>
      <c r="X20" s="536">
        <f>T20*O20</f>
        <v>0.32</v>
      </c>
      <c r="Y20" s="559">
        <f t="shared" si="3"/>
        <v>3.8386573898384999E-2</v>
      </c>
      <c r="Z20" s="550"/>
    </row>
    <row r="21" spans="2:26" ht="15">
      <c r="B21" s="661"/>
      <c r="C21" s="658"/>
      <c r="D21" s="385" t="s">
        <v>276</v>
      </c>
      <c r="E21" s="359" t="s">
        <v>62</v>
      </c>
      <c r="F21" s="359" t="s">
        <v>277</v>
      </c>
      <c r="G21" s="359" t="s">
        <v>255</v>
      </c>
      <c r="H21" s="359" t="s">
        <v>232</v>
      </c>
      <c r="I21" s="359"/>
      <c r="J21" s="472">
        <v>3.3</v>
      </c>
      <c r="K21" s="411"/>
      <c r="L21" s="412">
        <f>O21/J21</f>
        <v>3.6363636363636368E-3</v>
      </c>
      <c r="M21" s="413"/>
      <c r="N21" s="403"/>
      <c r="O21" s="406">
        <v>1.2E-2</v>
      </c>
      <c r="P21" s="465"/>
      <c r="Q21" s="90"/>
      <c r="R21" s="408">
        <v>1</v>
      </c>
      <c r="S21" s="408">
        <v>1</v>
      </c>
      <c r="T21" s="408">
        <v>1</v>
      </c>
      <c r="U21" s="591"/>
      <c r="V21" s="573">
        <f t="shared" si="7"/>
        <v>1.2E-2</v>
      </c>
      <c r="W21" s="573">
        <f t="shared" si="8"/>
        <v>1.2E-2</v>
      </c>
      <c r="X21" s="587">
        <f>T21*O21</f>
        <v>1.2E-2</v>
      </c>
      <c r="Y21" s="558">
        <f t="shared" si="3"/>
        <v>1.2E-2</v>
      </c>
      <c r="Z21" s="544"/>
    </row>
    <row r="22" spans="2:26" ht="15.75" thickBot="1">
      <c r="B22" s="662"/>
      <c r="C22" s="657"/>
      <c r="D22" s="386" t="s">
        <v>239</v>
      </c>
      <c r="E22" s="369" t="s">
        <v>61</v>
      </c>
      <c r="F22" s="485"/>
      <c r="G22" s="369" t="s">
        <v>254</v>
      </c>
      <c r="H22" s="369" t="s">
        <v>234</v>
      </c>
      <c r="I22" s="369"/>
      <c r="J22" s="384">
        <v>3.3</v>
      </c>
      <c r="K22" s="428"/>
      <c r="L22" s="429">
        <f>O22/J22</f>
        <v>0.39393939393939398</v>
      </c>
      <c r="M22" s="430"/>
      <c r="N22" s="428"/>
      <c r="O22" s="723">
        <v>1.3</v>
      </c>
      <c r="P22" s="430"/>
      <c r="Q22" s="90"/>
      <c r="R22" s="431">
        <v>0.5</v>
      </c>
      <c r="S22" s="431">
        <v>0.5</v>
      </c>
      <c r="T22" s="431">
        <v>1</v>
      </c>
      <c r="U22" s="432"/>
      <c r="V22" s="432">
        <f t="shared" si="7"/>
        <v>0.65</v>
      </c>
      <c r="W22" s="432">
        <f t="shared" si="8"/>
        <v>0.65</v>
      </c>
      <c r="X22" s="535">
        <f>T22*O22</f>
        <v>1.3</v>
      </c>
      <c r="Y22" s="571">
        <f t="shared" si="3"/>
        <v>0.7279727282310946</v>
      </c>
      <c r="Z22" s="547"/>
    </row>
    <row r="23" spans="2:26" ht="15.75" thickBot="1">
      <c r="B23" s="362" t="s">
        <v>23</v>
      </c>
      <c r="C23" s="149"/>
      <c r="D23" s="376" t="s">
        <v>264</v>
      </c>
      <c r="E23" s="363" t="s">
        <v>265</v>
      </c>
      <c r="F23" s="363"/>
      <c r="G23" s="363" t="s">
        <v>260</v>
      </c>
      <c r="H23" s="363" t="s">
        <v>232</v>
      </c>
      <c r="I23" s="363"/>
      <c r="J23" s="363">
        <v>3.3</v>
      </c>
      <c r="K23" s="439"/>
      <c r="L23" s="440">
        <f>0.13</f>
        <v>0.13</v>
      </c>
      <c r="M23" s="441"/>
      <c r="N23" s="439"/>
      <c r="O23" s="442">
        <f>L23*J23</f>
        <v>0.42899999999999999</v>
      </c>
      <c r="P23" s="441"/>
      <c r="Q23" s="90"/>
      <c r="R23" s="584">
        <v>1</v>
      </c>
      <c r="S23" s="584">
        <v>1</v>
      </c>
      <c r="T23" s="584">
        <v>1</v>
      </c>
      <c r="U23" s="585"/>
      <c r="V23" s="585">
        <f t="shared" si="7"/>
        <v>0.42899999999999999</v>
      </c>
      <c r="W23" s="585">
        <f t="shared" si="8"/>
        <v>0.42899999999999999</v>
      </c>
      <c r="X23" s="592">
        <f>T23*O23</f>
        <v>0.42899999999999999</v>
      </c>
      <c r="Y23" s="593">
        <f t="shared" si="3"/>
        <v>0.42899999999999999</v>
      </c>
      <c r="Z23" s="594"/>
    </row>
    <row r="24" spans="2:26" ht="15" customHeight="1">
      <c r="B24" s="660" t="s">
        <v>48</v>
      </c>
      <c r="C24" s="655"/>
      <c r="D24" s="664" t="s">
        <v>266</v>
      </c>
      <c r="E24" s="637" t="s">
        <v>267</v>
      </c>
      <c r="F24" s="523"/>
      <c r="G24" s="637" t="s">
        <v>261</v>
      </c>
      <c r="H24" s="637" t="s">
        <v>232</v>
      </c>
      <c r="I24" s="368" t="s">
        <v>278</v>
      </c>
      <c r="J24" s="367">
        <v>3.3</v>
      </c>
      <c r="K24" s="433"/>
      <c r="L24" s="434">
        <v>1.2999999999999999E-2</v>
      </c>
      <c r="M24" s="489"/>
      <c r="N24" s="433"/>
      <c r="O24" s="724">
        <f>L24*J24</f>
        <v>4.2899999999999994E-2</v>
      </c>
      <c r="P24" s="489"/>
      <c r="Q24" s="518"/>
      <c r="R24" s="520"/>
      <c r="S24" s="520"/>
      <c r="T24" s="520"/>
      <c r="U24" s="573"/>
      <c r="V24" s="573">
        <f t="shared" si="7"/>
        <v>0</v>
      </c>
      <c r="W24" s="573">
        <f t="shared" si="8"/>
        <v>0</v>
      </c>
      <c r="X24" s="587">
        <f t="shared" ref="X24:X26" si="9">T24*O24</f>
        <v>0</v>
      </c>
      <c r="Y24" s="765">
        <f t="shared" si="3"/>
        <v>0</v>
      </c>
      <c r="Z24" s="549"/>
    </row>
    <row r="25" spans="2:26" ht="15">
      <c r="B25" s="661"/>
      <c r="C25" s="656"/>
      <c r="D25" s="636"/>
      <c r="E25" s="604"/>
      <c r="F25" s="390" t="s">
        <v>282</v>
      </c>
      <c r="G25" s="604"/>
      <c r="H25" s="604"/>
      <c r="I25" s="55" t="s">
        <v>279</v>
      </c>
      <c r="J25" s="57">
        <v>3.3</v>
      </c>
      <c r="K25" s="488"/>
      <c r="L25" s="414">
        <v>1.0999999999999999E-2</v>
      </c>
      <c r="M25" s="490"/>
      <c r="N25" s="488"/>
      <c r="O25" s="487">
        <f t="shared" ref="O25:O26" si="10">L25*J25</f>
        <v>3.6299999999999999E-2</v>
      </c>
      <c r="P25" s="413"/>
      <c r="Q25" s="518"/>
      <c r="R25" s="408">
        <v>1</v>
      </c>
      <c r="S25" s="408">
        <v>1</v>
      </c>
      <c r="T25" s="408">
        <v>1</v>
      </c>
      <c r="U25" s="409"/>
      <c r="V25" s="409">
        <f t="shared" si="7"/>
        <v>3.6299999999999999E-2</v>
      </c>
      <c r="W25" s="409">
        <f t="shared" si="8"/>
        <v>3.6299999999999999E-2</v>
      </c>
      <c r="X25" s="533">
        <f t="shared" si="9"/>
        <v>3.6299999999999999E-2</v>
      </c>
      <c r="Y25" s="558">
        <f t="shared" si="3"/>
        <v>3.6300000000000006E-2</v>
      </c>
      <c r="Z25" s="544"/>
    </row>
    <row r="26" spans="2:26" ht="15">
      <c r="B26" s="661"/>
      <c r="C26" s="656"/>
      <c r="D26" s="665"/>
      <c r="E26" s="603"/>
      <c r="F26" s="470" t="s">
        <v>281</v>
      </c>
      <c r="G26" s="603"/>
      <c r="H26" s="604"/>
      <c r="I26" s="53" t="s">
        <v>280</v>
      </c>
      <c r="J26" s="55">
        <v>3.3</v>
      </c>
      <c r="K26" s="411"/>
      <c r="L26" s="482">
        <v>0.55000000000000004</v>
      </c>
      <c r="M26" s="413"/>
      <c r="N26" s="411"/>
      <c r="O26" s="412">
        <f t="shared" si="10"/>
        <v>1.8149999999999999</v>
      </c>
      <c r="P26" s="465"/>
      <c r="Q26" s="518"/>
      <c r="R26" s="408"/>
      <c r="S26" s="408"/>
      <c r="T26" s="408"/>
      <c r="U26" s="409"/>
      <c r="V26" s="409">
        <f t="shared" si="7"/>
        <v>0</v>
      </c>
      <c r="W26" s="409">
        <f t="shared" si="8"/>
        <v>0</v>
      </c>
      <c r="X26" s="533">
        <f t="shared" si="9"/>
        <v>0</v>
      </c>
      <c r="Y26" s="558">
        <f t="shared" si="3"/>
        <v>0</v>
      </c>
      <c r="Z26" s="544"/>
    </row>
    <row r="27" spans="2:26" ht="15">
      <c r="B27" s="661"/>
      <c r="C27" s="656"/>
      <c r="D27" s="635" t="s">
        <v>66</v>
      </c>
      <c r="E27" s="602" t="s">
        <v>262</v>
      </c>
      <c r="F27" s="470"/>
      <c r="G27" s="602" t="s">
        <v>249</v>
      </c>
      <c r="H27" s="604"/>
      <c r="I27" s="55" t="s">
        <v>115</v>
      </c>
      <c r="J27" s="55">
        <v>3.3</v>
      </c>
      <c r="K27" s="435">
        <v>4.4999999999999998E-2</v>
      </c>
      <c r="L27" s="414">
        <v>5.5000000000000007E-2</v>
      </c>
      <c r="M27" s="410">
        <v>0.12</v>
      </c>
      <c r="N27" s="411">
        <f>J27*K27</f>
        <v>0.14849999999999999</v>
      </c>
      <c r="O27" s="412">
        <f>L27*J27</f>
        <v>0.18150000000000002</v>
      </c>
      <c r="P27" s="413">
        <f>M27*J27</f>
        <v>0.39599999999999996</v>
      </c>
      <c r="Q27" s="90"/>
      <c r="R27" s="408">
        <v>1</v>
      </c>
      <c r="S27" s="408">
        <v>1</v>
      </c>
      <c r="T27" s="408">
        <v>1</v>
      </c>
      <c r="U27" s="409"/>
      <c r="V27" s="409">
        <f>R27*O27</f>
        <v>0.18150000000000002</v>
      </c>
      <c r="W27" s="409">
        <f>S27*O27</f>
        <v>0.18150000000000002</v>
      </c>
      <c r="X27" s="533">
        <f>T27*P27</f>
        <v>0.39599999999999996</v>
      </c>
      <c r="Y27" s="558">
        <f t="shared" si="3"/>
        <v>0.20723100031626121</v>
      </c>
      <c r="Z27" s="544"/>
    </row>
    <row r="28" spans="2:26" ht="15" customHeight="1">
      <c r="B28" s="661"/>
      <c r="C28" s="656"/>
      <c r="D28" s="636"/>
      <c r="E28" s="604"/>
      <c r="F28" s="472" t="s">
        <v>306</v>
      </c>
      <c r="G28" s="604"/>
      <c r="H28" s="604"/>
      <c r="I28" s="602" t="s">
        <v>111</v>
      </c>
      <c r="J28" s="602">
        <v>3.3</v>
      </c>
      <c r="K28" s="638">
        <v>0.6</v>
      </c>
      <c r="L28" s="640">
        <v>0.8</v>
      </c>
      <c r="M28" s="642">
        <v>1</v>
      </c>
      <c r="N28" s="644">
        <f>J28*K28</f>
        <v>1.9799999999999998</v>
      </c>
      <c r="O28" s="646">
        <f>L28*J28</f>
        <v>2.64</v>
      </c>
      <c r="P28" s="648">
        <f>M28*J28</f>
        <v>3.3</v>
      </c>
      <c r="Q28" s="90"/>
      <c r="R28" s="627">
        <f>100%-R27</f>
        <v>0</v>
      </c>
      <c r="S28" s="627">
        <f t="shared" ref="S28:T28" si="11">100%-S27</f>
        <v>0</v>
      </c>
      <c r="T28" s="627">
        <f t="shared" si="11"/>
        <v>0</v>
      </c>
      <c r="U28" s="631"/>
      <c r="V28" s="629">
        <f>R28*O28</f>
        <v>0</v>
      </c>
      <c r="W28" s="629">
        <f>S28*O28</f>
        <v>0</v>
      </c>
      <c r="X28" s="685">
        <f>T28*P28</f>
        <v>0</v>
      </c>
      <c r="Y28" s="683">
        <f t="shared" si="3"/>
        <v>0</v>
      </c>
      <c r="Z28" s="548"/>
    </row>
    <row r="29" spans="2:26" ht="14.25" customHeight="1">
      <c r="B29" s="661"/>
      <c r="C29" s="656"/>
      <c r="D29" s="636"/>
      <c r="E29" s="604"/>
      <c r="F29" s="517" t="s">
        <v>285</v>
      </c>
      <c r="G29" s="603"/>
      <c r="H29" s="603"/>
      <c r="I29" s="603"/>
      <c r="J29" s="604"/>
      <c r="K29" s="639"/>
      <c r="L29" s="641"/>
      <c r="M29" s="643"/>
      <c r="N29" s="645"/>
      <c r="O29" s="647"/>
      <c r="P29" s="649"/>
      <c r="Q29" s="90"/>
      <c r="R29" s="628"/>
      <c r="S29" s="628"/>
      <c r="T29" s="628"/>
      <c r="U29" s="632"/>
      <c r="V29" s="630"/>
      <c r="W29" s="630"/>
      <c r="X29" s="686"/>
      <c r="Y29" s="684"/>
      <c r="Z29" s="549"/>
    </row>
    <row r="30" spans="2:26">
      <c r="B30" s="661"/>
      <c r="C30" s="656"/>
      <c r="D30" s="480" t="s">
        <v>268</v>
      </c>
      <c r="E30" s="64" t="s">
        <v>270</v>
      </c>
      <c r="F30" s="379"/>
      <c r="G30" s="650" t="s">
        <v>247</v>
      </c>
      <c r="H30" s="650" t="s">
        <v>233</v>
      </c>
      <c r="I30" s="58"/>
      <c r="J30" s="64">
        <v>5</v>
      </c>
      <c r="K30" s="509"/>
      <c r="L30" s="492">
        <v>0</v>
      </c>
      <c r="M30" s="466"/>
      <c r="N30" s="509"/>
      <c r="O30" s="481">
        <v>0</v>
      </c>
      <c r="P30" s="491"/>
      <c r="R30" s="501">
        <v>0</v>
      </c>
      <c r="S30" s="501">
        <v>0</v>
      </c>
      <c r="T30" s="501">
        <v>1</v>
      </c>
      <c r="U30" s="478"/>
      <c r="V30" s="502">
        <f t="shared" ref="V30:V37" si="12">R30*O30</f>
        <v>0</v>
      </c>
      <c r="W30" s="502">
        <f>S30*O30</f>
        <v>0</v>
      </c>
      <c r="X30" s="536">
        <f>T30*O30</f>
        <v>0</v>
      </c>
      <c r="Y30" s="559">
        <f t="shared" si="3"/>
        <v>0</v>
      </c>
      <c r="Z30" s="375"/>
    </row>
    <row r="31" spans="2:26" ht="15">
      <c r="B31" s="661"/>
      <c r="C31" s="656"/>
      <c r="D31" s="652" t="s">
        <v>269</v>
      </c>
      <c r="E31" s="650" t="s">
        <v>263</v>
      </c>
      <c r="F31" s="497"/>
      <c r="G31" s="605"/>
      <c r="H31" s="605"/>
      <c r="I31" s="64" t="s">
        <v>286</v>
      </c>
      <c r="J31" s="64">
        <v>5</v>
      </c>
      <c r="K31" s="463"/>
      <c r="L31" s="467">
        <f>O31/5</f>
        <v>0.122</v>
      </c>
      <c r="M31" s="466"/>
      <c r="N31" s="496"/>
      <c r="O31" s="464">
        <v>0.61</v>
      </c>
      <c r="P31" s="476"/>
      <c r="Q31" s="90"/>
      <c r="R31" s="493">
        <v>0</v>
      </c>
      <c r="S31" s="493">
        <v>0</v>
      </c>
      <c r="T31" s="493">
        <v>0</v>
      </c>
      <c r="U31" s="494"/>
      <c r="V31" s="494">
        <f t="shared" si="12"/>
        <v>0</v>
      </c>
      <c r="W31" s="502">
        <f t="shared" ref="W31:X37" si="13">S31*O31</f>
        <v>0</v>
      </c>
      <c r="X31" s="536">
        <f t="shared" ref="X31:X32" si="14">T31*O31</f>
        <v>0</v>
      </c>
      <c r="Y31" s="559">
        <f t="shared" si="3"/>
        <v>0</v>
      </c>
      <c r="Z31" s="550"/>
    </row>
    <row r="32" spans="2:26" ht="15">
      <c r="B32" s="661"/>
      <c r="C32" s="656"/>
      <c r="D32" s="653"/>
      <c r="E32" s="605"/>
      <c r="F32" s="497"/>
      <c r="G32" s="605"/>
      <c r="H32" s="605"/>
      <c r="I32" s="64" t="s">
        <v>283</v>
      </c>
      <c r="J32" s="64">
        <v>5</v>
      </c>
      <c r="K32" s="463"/>
      <c r="L32" s="467">
        <f>O32/5</f>
        <v>0.54</v>
      </c>
      <c r="M32" s="466"/>
      <c r="N32" s="496"/>
      <c r="O32" s="464">
        <v>2.7</v>
      </c>
      <c r="P32" s="476"/>
      <c r="Q32" s="90"/>
      <c r="R32" s="493">
        <v>0</v>
      </c>
      <c r="S32" s="493">
        <v>0</v>
      </c>
      <c r="T32" s="493">
        <v>0</v>
      </c>
      <c r="U32" s="494"/>
      <c r="V32" s="494">
        <f t="shared" si="12"/>
        <v>0</v>
      </c>
      <c r="W32" s="502">
        <f t="shared" si="13"/>
        <v>0</v>
      </c>
      <c r="X32" s="536">
        <f t="shared" si="14"/>
        <v>0</v>
      </c>
      <c r="Y32" s="559">
        <f t="shared" si="3"/>
        <v>0</v>
      </c>
      <c r="Z32" s="550"/>
    </row>
    <row r="33" spans="2:27" ht="15.75" thickBot="1">
      <c r="B33" s="662"/>
      <c r="C33" s="657"/>
      <c r="D33" s="654"/>
      <c r="E33" s="651"/>
      <c r="F33" s="498"/>
      <c r="G33" s="651"/>
      <c r="H33" s="651"/>
      <c r="I33" s="63" t="s">
        <v>284</v>
      </c>
      <c r="J33" s="63">
        <v>5</v>
      </c>
      <c r="K33" s="422"/>
      <c r="L33" s="425">
        <f>O33/5</f>
        <v>0.91999999999999993</v>
      </c>
      <c r="M33" s="424">
        <f>P33/5</f>
        <v>1</v>
      </c>
      <c r="N33" s="436"/>
      <c r="O33" s="423">
        <v>4.5999999999999996</v>
      </c>
      <c r="P33" s="437">
        <v>5</v>
      </c>
      <c r="Q33" s="90"/>
      <c r="R33" s="426">
        <v>0</v>
      </c>
      <c r="S33" s="426">
        <v>0</v>
      </c>
      <c r="T33" s="426">
        <v>1</v>
      </c>
      <c r="U33" s="427"/>
      <c r="V33" s="507">
        <f t="shared" si="12"/>
        <v>0</v>
      </c>
      <c r="W33" s="507">
        <f t="shared" si="13"/>
        <v>0</v>
      </c>
      <c r="X33" s="537">
        <f t="shared" si="13"/>
        <v>5</v>
      </c>
      <c r="Y33" s="763">
        <f t="shared" si="3"/>
        <v>0.59979021716226555</v>
      </c>
      <c r="Z33" s="546"/>
    </row>
    <row r="34" spans="2:27">
      <c r="B34" s="660" t="s">
        <v>67</v>
      </c>
      <c r="C34" s="381" t="s">
        <v>67</v>
      </c>
      <c r="D34" s="512" t="s">
        <v>287</v>
      </c>
      <c r="E34" s="364" t="s">
        <v>275</v>
      </c>
      <c r="F34" s="364"/>
      <c r="G34" s="364" t="s">
        <v>272</v>
      </c>
      <c r="H34" s="364" t="s">
        <v>227</v>
      </c>
      <c r="I34" s="364"/>
      <c r="J34" s="364">
        <v>5</v>
      </c>
      <c r="K34" s="443"/>
      <c r="L34" s="444">
        <f>O34/J34</f>
        <v>0.2</v>
      </c>
      <c r="M34" s="445"/>
      <c r="N34" s="443"/>
      <c r="O34" s="444">
        <v>1</v>
      </c>
      <c r="P34" s="445"/>
      <c r="Q34" s="130"/>
      <c r="R34" s="446">
        <v>0</v>
      </c>
      <c r="S34" s="446">
        <v>0</v>
      </c>
      <c r="T34" s="446">
        <v>0</v>
      </c>
      <c r="U34" s="447"/>
      <c r="V34" s="448">
        <f t="shared" si="12"/>
        <v>0</v>
      </c>
      <c r="W34" s="448">
        <f t="shared" si="13"/>
        <v>0</v>
      </c>
      <c r="X34" s="538">
        <f>T34*O34</f>
        <v>0</v>
      </c>
      <c r="Y34" s="768">
        <f t="shared" si="3"/>
        <v>0</v>
      </c>
      <c r="Z34" s="551"/>
    </row>
    <row r="35" spans="2:27">
      <c r="B35" s="661"/>
      <c r="C35" s="658" t="s">
        <v>24</v>
      </c>
      <c r="D35" s="513" t="s">
        <v>288</v>
      </c>
      <c r="E35" s="175" t="s">
        <v>274</v>
      </c>
      <c r="F35" s="175"/>
      <c r="G35" s="175" t="s">
        <v>271</v>
      </c>
      <c r="H35" s="175" t="s">
        <v>228</v>
      </c>
      <c r="I35" s="158"/>
      <c r="J35" s="158">
        <v>5</v>
      </c>
      <c r="K35" s="449"/>
      <c r="L35" s="450">
        <f>O35/J35</f>
        <v>0.2</v>
      </c>
      <c r="M35" s="451"/>
      <c r="N35" s="449"/>
      <c r="O35" s="450">
        <v>1</v>
      </c>
      <c r="P35" s="451"/>
      <c r="Q35" s="130"/>
      <c r="R35" s="452">
        <v>0</v>
      </c>
      <c r="S35" s="452">
        <v>0</v>
      </c>
      <c r="T35" s="452">
        <v>0</v>
      </c>
      <c r="U35" s="453"/>
      <c r="V35" s="454">
        <f t="shared" si="12"/>
        <v>0</v>
      </c>
      <c r="W35" s="454">
        <f t="shared" si="13"/>
        <v>0</v>
      </c>
      <c r="X35" s="539">
        <f>T35*O35</f>
        <v>0</v>
      </c>
      <c r="Y35" s="767">
        <f t="shared" si="3"/>
        <v>0</v>
      </c>
      <c r="Z35" s="552"/>
    </row>
    <row r="36" spans="2:27">
      <c r="B36" s="661"/>
      <c r="C36" s="659"/>
      <c r="D36" s="514" t="s">
        <v>288</v>
      </c>
      <c r="E36" s="173" t="s">
        <v>274</v>
      </c>
      <c r="F36" s="173"/>
      <c r="G36" s="173" t="s">
        <v>271</v>
      </c>
      <c r="H36" s="173" t="s">
        <v>65</v>
      </c>
      <c r="I36" s="155"/>
      <c r="J36" s="155">
        <v>3.3</v>
      </c>
      <c r="K36" s="510"/>
      <c r="L36" s="455"/>
      <c r="M36" s="511">
        <f>P36/J36</f>
        <v>0.60606060606060608</v>
      </c>
      <c r="N36" s="510"/>
      <c r="O36" s="455"/>
      <c r="P36" s="456">
        <v>2</v>
      </c>
      <c r="R36" s="457">
        <v>0</v>
      </c>
      <c r="S36" s="457">
        <v>0</v>
      </c>
      <c r="T36" s="457">
        <v>0</v>
      </c>
      <c r="U36" s="156"/>
      <c r="V36" s="458">
        <f t="shared" si="12"/>
        <v>0</v>
      </c>
      <c r="W36" s="458">
        <f t="shared" si="13"/>
        <v>0</v>
      </c>
      <c r="X36" s="540">
        <f t="shared" si="13"/>
        <v>0</v>
      </c>
      <c r="Y36" s="561">
        <f t="shared" si="3"/>
        <v>0</v>
      </c>
      <c r="Z36" s="167"/>
    </row>
    <row r="37" spans="2:27" ht="15.75" thickBot="1">
      <c r="B37" s="662"/>
      <c r="C37" s="515" t="s">
        <v>22</v>
      </c>
      <c r="D37" s="516" t="s">
        <v>289</v>
      </c>
      <c r="E37" s="366" t="s">
        <v>273</v>
      </c>
      <c r="F37" s="366" t="s">
        <v>305</v>
      </c>
      <c r="G37" s="366" t="s">
        <v>249</v>
      </c>
      <c r="H37" s="366" t="s">
        <v>75</v>
      </c>
      <c r="I37" s="365"/>
      <c r="J37" s="365">
        <v>3.3</v>
      </c>
      <c r="K37" s="459">
        <f>N37/J37</f>
        <v>0.11515151515151516</v>
      </c>
      <c r="L37" s="460">
        <f>O37/J37</f>
        <v>0.24242424242424246</v>
      </c>
      <c r="M37" s="461">
        <f>P37/J37</f>
        <v>0.54545454545454553</v>
      </c>
      <c r="N37" s="499">
        <v>0.38</v>
      </c>
      <c r="O37" s="462">
        <v>0.8</v>
      </c>
      <c r="P37" s="500">
        <v>1.8</v>
      </c>
      <c r="Q37" s="130"/>
      <c r="R37" s="503">
        <v>0</v>
      </c>
      <c r="S37" s="503">
        <v>0</v>
      </c>
      <c r="T37" s="503">
        <v>0</v>
      </c>
      <c r="U37" s="504"/>
      <c r="V37" s="505">
        <f t="shared" si="12"/>
        <v>0</v>
      </c>
      <c r="W37" s="505">
        <f t="shared" si="13"/>
        <v>0</v>
      </c>
      <c r="X37" s="541">
        <f t="shared" si="13"/>
        <v>0</v>
      </c>
      <c r="Y37" s="572">
        <f t="shared" si="3"/>
        <v>0</v>
      </c>
      <c r="Z37" s="553"/>
    </row>
    <row r="38" spans="2:27" ht="15" thickBot="1">
      <c r="O38" s="90"/>
      <c r="P38" s="90"/>
      <c r="Q38" s="90"/>
      <c r="U38" s="146" t="s">
        <v>163</v>
      </c>
      <c r="V38" s="438">
        <f>SUM(V5:V37)/0.9</f>
        <v>3.2742988888888886</v>
      </c>
      <c r="W38" s="438">
        <f>SUM(W5:W37)/0.9</f>
        <v>3.2742988888888886</v>
      </c>
      <c r="X38" s="769">
        <f>SUM(X5:X37)/0.9</f>
        <v>13.751521111111112</v>
      </c>
      <c r="Y38" s="775">
        <f>SUM(Y5:Y37)/0.9</f>
        <v>4.5311259672736837</v>
      </c>
      <c r="Z38" s="770" t="s">
        <v>119</v>
      </c>
      <c r="AA38" s="1" t="s">
        <v>4</v>
      </c>
    </row>
    <row r="39" spans="2:27">
      <c r="O39" s="90"/>
      <c r="P39" s="90"/>
      <c r="Q39" s="90"/>
      <c r="U39" s="117" t="s">
        <v>10</v>
      </c>
      <c r="V39" s="526">
        <f>1.135*20*R4/3600</f>
        <v>18.747149233302121</v>
      </c>
      <c r="W39" s="526">
        <v>0</v>
      </c>
      <c r="X39" s="526">
        <v>0</v>
      </c>
      <c r="Y39" s="527">
        <f t="shared" ref="Y39:Y44" si="15">V39+W39+X39</f>
        <v>18.747149233302121</v>
      </c>
      <c r="Z39" s="118" t="s">
        <v>129</v>
      </c>
    </row>
    <row r="40" spans="2:27">
      <c r="O40" s="90"/>
      <c r="P40" s="90"/>
      <c r="Q40" s="90"/>
      <c r="R40" s="90"/>
      <c r="U40" s="117" t="s">
        <v>9</v>
      </c>
      <c r="V40" s="5">
        <f>V38*R4/3600</f>
        <v>2.7041308327945068</v>
      </c>
      <c r="W40" s="5">
        <f>W38*S4/3600</f>
        <v>1.839854658952313</v>
      </c>
      <c r="X40" s="5">
        <f>X38*T4/3600</f>
        <v>2.6013294101851852</v>
      </c>
      <c r="Y40" s="522">
        <f t="shared" si="15"/>
        <v>7.1453149019320055</v>
      </c>
      <c r="Z40" s="118" t="s">
        <v>129</v>
      </c>
    </row>
    <row r="41" spans="2:27">
      <c r="O41" s="90"/>
      <c r="P41" s="90"/>
      <c r="Q41" s="90"/>
      <c r="R41" s="90"/>
      <c r="U41" s="117" t="s">
        <v>100</v>
      </c>
      <c r="V41" s="563">
        <f>Y39-Y40</f>
        <v>11.601834331370116</v>
      </c>
      <c r="W41" s="5"/>
      <c r="X41" s="5"/>
      <c r="Y41" s="522">
        <f t="shared" si="15"/>
        <v>11.601834331370116</v>
      </c>
      <c r="Z41" s="118" t="s">
        <v>129</v>
      </c>
    </row>
    <row r="42" spans="2:27">
      <c r="O42" s="90"/>
      <c r="P42" s="90"/>
      <c r="Q42" s="90"/>
      <c r="R42" s="90"/>
      <c r="U42" s="117" t="s">
        <v>179</v>
      </c>
      <c r="V42" s="5">
        <f>100*(Y39/Y40-1)</f>
        <v>162.36981141633268</v>
      </c>
      <c r="W42" s="5"/>
      <c r="X42" s="5"/>
      <c r="Y42" s="522">
        <f t="shared" si="15"/>
        <v>162.36981141633268</v>
      </c>
      <c r="Z42" s="118" t="s">
        <v>110</v>
      </c>
    </row>
    <row r="43" spans="2:27">
      <c r="O43" s="90"/>
      <c r="P43" s="90"/>
      <c r="Q43" s="90"/>
      <c r="R43" s="90"/>
      <c r="U43" s="117" t="s">
        <v>107</v>
      </c>
      <c r="V43" s="5">
        <f>V41/$V$39*100</f>
        <v>61.885858948414473</v>
      </c>
      <c r="W43" s="5"/>
      <c r="X43" s="5"/>
      <c r="Y43" s="522">
        <f t="shared" si="15"/>
        <v>61.885858948414473</v>
      </c>
      <c r="Z43" s="118" t="s">
        <v>110</v>
      </c>
      <c r="AA43" s="21" t="s">
        <v>77</v>
      </c>
    </row>
    <row r="44" spans="2:27" ht="15" thickBot="1">
      <c r="O44" s="90"/>
      <c r="P44" s="90"/>
      <c r="Q44" s="90"/>
      <c r="R44" s="90"/>
      <c r="U44" s="119" t="s">
        <v>167</v>
      </c>
      <c r="V44" s="120">
        <f>(V39-V40)/40*100</f>
        <v>40.107546001269036</v>
      </c>
      <c r="W44" s="120">
        <f>(W39-W40)/40*100</f>
        <v>-4.5996366473807822</v>
      </c>
      <c r="X44" s="120">
        <f>(X39-X40)/40*100</f>
        <v>-6.5033235254629629</v>
      </c>
      <c r="Y44" s="564">
        <f t="shared" si="15"/>
        <v>29.004585828425288</v>
      </c>
      <c r="Z44" s="121" t="s">
        <v>110</v>
      </c>
    </row>
    <row r="48" spans="2:27">
      <c r="O48" s="90"/>
      <c r="P48" s="90"/>
      <c r="Q48" s="90"/>
      <c r="R48" s="90"/>
      <c r="S48" s="90"/>
    </row>
    <row r="49" spans="15:19">
      <c r="O49" s="90"/>
      <c r="P49" s="90"/>
      <c r="Q49" s="90"/>
      <c r="R49" s="90"/>
      <c r="S49" s="90"/>
    </row>
    <row r="50" spans="15:19">
      <c r="O50" s="90"/>
      <c r="P50" s="90"/>
      <c r="Q50" s="90"/>
      <c r="R50" s="90"/>
      <c r="S50" s="90"/>
    </row>
    <row r="51" spans="15:19">
      <c r="R51" s="90"/>
      <c r="S51" s="90"/>
    </row>
    <row r="52" spans="15:19">
      <c r="R52" s="90"/>
      <c r="S52" s="90"/>
    </row>
  </sheetData>
  <mergeCells count="87">
    <mergeCell ref="C2:D2"/>
    <mergeCell ref="K2:M2"/>
    <mergeCell ref="N2:P2"/>
    <mergeCell ref="R2:T2"/>
    <mergeCell ref="U2:Z2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B3:B4"/>
    <mergeCell ref="C3:D4"/>
    <mergeCell ref="D16:D18"/>
    <mergeCell ref="E16:E18"/>
    <mergeCell ref="G16:G18"/>
    <mergeCell ref="N3:N4"/>
    <mergeCell ref="O3:O4"/>
    <mergeCell ref="E3:E4"/>
    <mergeCell ref="F3:F4"/>
    <mergeCell ref="G3:G4"/>
    <mergeCell ref="H8:H14"/>
    <mergeCell ref="G9:G14"/>
    <mergeCell ref="F16:F18"/>
    <mergeCell ref="D12:D13"/>
    <mergeCell ref="E12:E13"/>
    <mergeCell ref="D14:D15"/>
    <mergeCell ref="E14:E15"/>
    <mergeCell ref="Y16:Y18"/>
    <mergeCell ref="D19:D20"/>
    <mergeCell ref="G19:G20"/>
    <mergeCell ref="H19:H20"/>
    <mergeCell ref="N16:N18"/>
    <mergeCell ref="O16:O18"/>
    <mergeCell ref="P16:P18"/>
    <mergeCell ref="R16:R18"/>
    <mergeCell ref="S16:S18"/>
    <mergeCell ref="T16:T18"/>
    <mergeCell ref="H16:H18"/>
    <mergeCell ref="I16:I18"/>
    <mergeCell ref="J16:J18"/>
    <mergeCell ref="K16:K18"/>
    <mergeCell ref="L16:L18"/>
    <mergeCell ref="M16:M18"/>
    <mergeCell ref="G24:G26"/>
    <mergeCell ref="U16:U18"/>
    <mergeCell ref="V16:V18"/>
    <mergeCell ref="W16:W18"/>
    <mergeCell ref="X16:X18"/>
    <mergeCell ref="C21:C22"/>
    <mergeCell ref="B24:B33"/>
    <mergeCell ref="C24:C33"/>
    <mergeCell ref="D24:D26"/>
    <mergeCell ref="E24:E26"/>
    <mergeCell ref="D27:D29"/>
    <mergeCell ref="E27:E29"/>
    <mergeCell ref="G27:G29"/>
    <mergeCell ref="I28:I29"/>
    <mergeCell ref="J28:J29"/>
    <mergeCell ref="M28:M29"/>
    <mergeCell ref="N28:N29"/>
    <mergeCell ref="O28:O29"/>
    <mergeCell ref="P28:P29"/>
    <mergeCell ref="H24:H29"/>
    <mergeCell ref="B34:B37"/>
    <mergeCell ref="C35:C36"/>
    <mergeCell ref="X28:X29"/>
    <mergeCell ref="Y28:Y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W28:W29"/>
    <mergeCell ref="K28:K29"/>
    <mergeCell ref="L28:L29"/>
  </mergeCells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4327-EF03-4D83-8E13-2534BED97B1C}">
  <dimension ref="B1:AA52"/>
  <sheetViews>
    <sheetView zoomScale="85" zoomScaleNormal="85" workbookViewId="0">
      <pane xSplit="5" topLeftCell="L1" activePane="topRight" state="frozen"/>
      <selection pane="topRight" activeCell="W41" sqref="W41"/>
    </sheetView>
  </sheetViews>
  <sheetFormatPr defaultColWidth="9.125" defaultRowHeight="14.25"/>
  <cols>
    <col min="1" max="1" width="9.125" style="1"/>
    <col min="2" max="2" width="12.125" style="1" bestFit="1" customWidth="1"/>
    <col min="3" max="3" width="13.125" style="1" bestFit="1" customWidth="1"/>
    <col min="4" max="4" width="24.125" style="1" bestFit="1" customWidth="1"/>
    <col min="5" max="5" width="26" style="1" bestFit="1" customWidth="1"/>
    <col min="6" max="6" width="48.125" style="1" customWidth="1"/>
    <col min="7" max="8" width="17.875" style="1" bestFit="1" customWidth="1"/>
    <col min="9" max="9" width="19.25" style="1" bestFit="1" customWidth="1"/>
    <col min="10" max="10" width="12.125" style="1" bestFit="1" customWidth="1"/>
    <col min="11" max="16" width="8.625" style="1" bestFit="1" customWidth="1"/>
    <col min="17" max="17" width="5.875" style="1" bestFit="1" customWidth="1"/>
    <col min="18" max="18" width="12.125" style="1" bestFit="1" customWidth="1"/>
    <col min="19" max="19" width="12.125" style="1" customWidth="1"/>
    <col min="20" max="20" width="30.125" style="1" bestFit="1" customWidth="1"/>
    <col min="21" max="21" width="13.375" style="1" bestFit="1" customWidth="1"/>
    <col min="22" max="22" width="14.125" style="1" bestFit="1" customWidth="1"/>
    <col min="23" max="23" width="12.125" style="1" bestFit="1" customWidth="1"/>
    <col min="24" max="24" width="4.375" style="1" bestFit="1" customWidth="1"/>
    <col min="25" max="25" width="10.625" style="1" bestFit="1" customWidth="1"/>
    <col min="26" max="26" width="20.125" style="1" bestFit="1" customWidth="1"/>
    <col min="27" max="27" width="13.375" style="1" bestFit="1" customWidth="1"/>
    <col min="28" max="16384" width="9.125" style="1"/>
  </cols>
  <sheetData>
    <row r="1" spans="2:27" ht="15" thickBot="1"/>
    <row r="2" spans="2:27" ht="13.9" customHeight="1" thickBot="1">
      <c r="B2" s="127" t="s">
        <v>154</v>
      </c>
      <c r="C2" s="599" t="s">
        <v>224</v>
      </c>
      <c r="D2" s="601"/>
      <c r="E2" s="127" t="s">
        <v>71</v>
      </c>
      <c r="F2" s="127" t="s">
        <v>256</v>
      </c>
      <c r="G2" s="127" t="s">
        <v>243</v>
      </c>
      <c r="H2" s="127" t="s">
        <v>231</v>
      </c>
      <c r="I2" s="127" t="s">
        <v>53</v>
      </c>
      <c r="J2" s="152" t="s">
        <v>174</v>
      </c>
      <c r="K2" s="599" t="s">
        <v>6</v>
      </c>
      <c r="L2" s="600"/>
      <c r="M2" s="601"/>
      <c r="N2" s="599" t="s">
        <v>76</v>
      </c>
      <c r="O2" s="600"/>
      <c r="P2" s="601"/>
      <c r="R2" s="599" t="s">
        <v>93</v>
      </c>
      <c r="S2" s="601"/>
      <c r="T2" s="599" t="s">
        <v>158</v>
      </c>
      <c r="U2" s="600"/>
      <c r="V2" s="600"/>
      <c r="W2" s="600"/>
      <c r="X2" s="601"/>
      <c r="Z2" s="244" t="s">
        <v>91</v>
      </c>
      <c r="AA2" s="168"/>
    </row>
    <row r="3" spans="2:27">
      <c r="B3" s="670"/>
      <c r="C3" s="677"/>
      <c r="D3" s="678"/>
      <c r="E3" s="670"/>
      <c r="F3" s="670"/>
      <c r="G3" s="670"/>
      <c r="H3" s="670"/>
      <c r="I3" s="670"/>
      <c r="J3" s="670"/>
      <c r="K3" s="655" t="s">
        <v>56</v>
      </c>
      <c r="L3" s="666" t="s">
        <v>73</v>
      </c>
      <c r="M3" s="668" t="s">
        <v>90</v>
      </c>
      <c r="N3" s="655" t="s">
        <v>52</v>
      </c>
      <c r="O3" s="666" t="s">
        <v>73</v>
      </c>
      <c r="P3" s="668" t="s">
        <v>90</v>
      </c>
      <c r="Q3" s="1" t="s">
        <v>53</v>
      </c>
      <c r="R3" s="154" t="s">
        <v>293</v>
      </c>
      <c r="S3" s="154" t="s">
        <v>292</v>
      </c>
      <c r="T3" s="305"/>
      <c r="U3" s="524" t="s">
        <v>293</v>
      </c>
      <c r="V3" s="525" t="s">
        <v>292</v>
      </c>
      <c r="W3" s="153" t="s">
        <v>296</v>
      </c>
      <c r="X3" s="371"/>
      <c r="Z3" s="124" t="s">
        <v>181</v>
      </c>
      <c r="AA3" s="123">
        <f>parameter!C8</f>
        <v>5676.9848887954295</v>
      </c>
    </row>
    <row r="4" spans="2:27" ht="15" thickBot="1">
      <c r="B4" s="671"/>
      <c r="C4" s="679"/>
      <c r="D4" s="680"/>
      <c r="E4" s="671"/>
      <c r="F4" s="671"/>
      <c r="G4" s="671"/>
      <c r="H4" s="671"/>
      <c r="I4" s="671"/>
      <c r="J4" s="671"/>
      <c r="K4" s="657"/>
      <c r="L4" s="667"/>
      <c r="M4" s="669"/>
      <c r="N4" s="657"/>
      <c r="O4" s="667"/>
      <c r="P4" s="669"/>
      <c r="Q4" s="90" t="s">
        <v>64</v>
      </c>
      <c r="R4" s="483">
        <f>AA6</f>
        <v>3654.1161779686181</v>
      </c>
      <c r="S4" s="483">
        <f>AA7</f>
        <v>2022.8687108268114</v>
      </c>
      <c r="T4" s="370"/>
      <c r="U4" s="484">
        <f>AA6</f>
        <v>3654.1161779686181</v>
      </c>
      <c r="V4" s="484">
        <f>AA7</f>
        <v>2022.8687108268114</v>
      </c>
      <c r="W4" s="726">
        <f>U4+V4</f>
        <v>5676.9848887954295</v>
      </c>
      <c r="X4" s="530"/>
      <c r="Z4" s="124" t="s">
        <v>176</v>
      </c>
      <c r="AA4" s="123">
        <v>681</v>
      </c>
    </row>
    <row r="5" spans="2:27" ht="15">
      <c r="B5" s="660" t="s">
        <v>226</v>
      </c>
      <c r="C5" s="655"/>
      <c r="D5" s="306" t="s">
        <v>237</v>
      </c>
      <c r="E5" s="154" t="s">
        <v>148</v>
      </c>
      <c r="F5" s="154" t="s">
        <v>290</v>
      </c>
      <c r="G5" s="670" t="s">
        <v>247</v>
      </c>
      <c r="H5" s="154"/>
      <c r="I5" s="154"/>
      <c r="J5" s="388"/>
      <c r="K5" s="392"/>
      <c r="L5" s="393"/>
      <c r="M5" s="394"/>
      <c r="N5" s="392"/>
      <c r="O5" s="727">
        <v>0.8</v>
      </c>
      <c r="P5" s="394"/>
      <c r="Q5" s="90"/>
      <c r="R5" s="574">
        <v>1</v>
      </c>
      <c r="S5" s="574">
        <v>1</v>
      </c>
      <c r="T5" s="575"/>
      <c r="U5" s="575">
        <f t="shared" ref="U5:U12" si="0">R5*O5</f>
        <v>0.8</v>
      </c>
      <c r="V5" s="576">
        <f t="shared" ref="V5:V12" si="1">O5*S5</f>
        <v>0.8</v>
      </c>
      <c r="W5" s="556">
        <f>(U5*3654.11618+V5*2022.86871)/5676.98489</f>
        <v>0.80000000000000016</v>
      </c>
      <c r="X5" s="542"/>
      <c r="Z5" s="124" t="s">
        <v>165</v>
      </c>
      <c r="AA5" s="123">
        <v>661</v>
      </c>
    </row>
    <row r="6" spans="2:27">
      <c r="B6" s="661"/>
      <c r="C6" s="659"/>
      <c r="D6" s="116" t="s">
        <v>238</v>
      </c>
      <c r="E6" s="687" t="s">
        <v>297</v>
      </c>
      <c r="F6" s="50"/>
      <c r="G6" s="676"/>
      <c r="H6" s="50"/>
      <c r="I6" s="50"/>
      <c r="J6" s="389"/>
      <c r="K6" s="397"/>
      <c r="L6" s="398"/>
      <c r="M6" s="399"/>
      <c r="N6" s="397"/>
      <c r="O6" s="398"/>
      <c r="P6" s="399"/>
      <c r="Q6" s="519"/>
      <c r="R6" s="395">
        <v>1</v>
      </c>
      <c r="S6" s="395">
        <v>1</v>
      </c>
      <c r="T6" s="396"/>
      <c r="U6" s="396">
        <f t="shared" si="0"/>
        <v>0</v>
      </c>
      <c r="V6" s="542">
        <f t="shared" si="1"/>
        <v>0</v>
      </c>
      <c r="W6" s="759">
        <f>(U6*3654.11618+V6*2022.86871)/5676.98489</f>
        <v>0</v>
      </c>
      <c r="X6" s="542"/>
      <c r="Z6" s="124" t="s">
        <v>0</v>
      </c>
      <c r="AA6" s="123">
        <f>parameter!C10</f>
        <v>3654.1161779686181</v>
      </c>
    </row>
    <row r="7" spans="2:27" ht="15" thickBot="1">
      <c r="B7" s="675"/>
      <c r="C7" s="681" t="s">
        <v>229</v>
      </c>
      <c r="D7" s="380" t="s">
        <v>138</v>
      </c>
      <c r="E7" s="361" t="s">
        <v>248</v>
      </c>
      <c r="F7" s="361"/>
      <c r="G7" s="361" t="s">
        <v>240</v>
      </c>
      <c r="H7" s="372"/>
      <c r="I7" s="361"/>
      <c r="J7" s="373"/>
      <c r="K7" s="473"/>
      <c r="L7" s="474"/>
      <c r="M7" s="475"/>
      <c r="N7" s="400"/>
      <c r="O7" s="401"/>
      <c r="P7" s="402"/>
      <c r="Q7" s="519"/>
      <c r="R7" s="577">
        <v>1</v>
      </c>
      <c r="S7" s="577">
        <v>1</v>
      </c>
      <c r="T7" s="578"/>
      <c r="U7" s="579">
        <f t="shared" si="0"/>
        <v>0</v>
      </c>
      <c r="V7" s="580">
        <f t="shared" si="1"/>
        <v>0</v>
      </c>
      <c r="W7" s="554">
        <f t="shared" ref="W7:W37" si="2">(U7*3654.11618+V7*2022.86871)/5676.98489</f>
        <v>0</v>
      </c>
      <c r="X7" s="543"/>
      <c r="Z7" s="124" t="s">
        <v>36</v>
      </c>
      <c r="AA7" s="123">
        <f>parameter!C11</f>
        <v>2022.8687108268114</v>
      </c>
    </row>
    <row r="8" spans="2:27" ht="15">
      <c r="B8" s="660" t="s">
        <v>225</v>
      </c>
      <c r="C8" s="682"/>
      <c r="D8" s="688" t="s">
        <v>298</v>
      </c>
      <c r="E8" s="359" t="s">
        <v>251</v>
      </c>
      <c r="F8" s="359"/>
      <c r="G8" s="359" t="s">
        <v>249</v>
      </c>
      <c r="H8" s="637" t="s">
        <v>232</v>
      </c>
      <c r="I8" s="368"/>
      <c r="J8" s="469">
        <v>3.3</v>
      </c>
      <c r="K8" s="433"/>
      <c r="L8" s="404">
        <v>9.3000000000000005E-4</v>
      </c>
      <c r="M8" s="405"/>
      <c r="N8" s="403"/>
      <c r="O8" s="406">
        <f>J8*L8</f>
        <v>3.0690000000000001E-3</v>
      </c>
      <c r="P8" s="407"/>
      <c r="Q8" s="90"/>
      <c r="R8" s="520">
        <v>1</v>
      </c>
      <c r="S8" s="520">
        <v>1</v>
      </c>
      <c r="T8" s="573"/>
      <c r="U8" s="573">
        <f t="shared" si="0"/>
        <v>3.0690000000000001E-3</v>
      </c>
      <c r="V8" s="573">
        <f t="shared" si="1"/>
        <v>3.0690000000000001E-3</v>
      </c>
      <c r="W8" s="765">
        <f t="shared" si="2"/>
        <v>3.0690000000000001E-3</v>
      </c>
      <c r="X8" s="544"/>
      <c r="Z8" s="486" t="s">
        <v>164</v>
      </c>
      <c r="AA8" s="123">
        <v>0.3</v>
      </c>
    </row>
    <row r="9" spans="2:27" ht="15">
      <c r="B9" s="661"/>
      <c r="C9" s="658" t="s">
        <v>230</v>
      </c>
      <c r="D9" s="689" t="s">
        <v>250</v>
      </c>
      <c r="E9" s="359" t="s">
        <v>251</v>
      </c>
      <c r="F9" s="690" t="s">
        <v>299</v>
      </c>
      <c r="G9" s="602" t="s">
        <v>252</v>
      </c>
      <c r="H9" s="604"/>
      <c r="I9" s="53"/>
      <c r="J9" s="390">
        <v>3.3</v>
      </c>
      <c r="K9" s="411"/>
      <c r="L9" s="412">
        <f>O9/J9</f>
        <v>1.5151515151515154E-3</v>
      </c>
      <c r="M9" s="413"/>
      <c r="N9" s="403"/>
      <c r="O9" s="691">
        <v>5.0000000000000001E-3</v>
      </c>
      <c r="P9" s="410"/>
      <c r="Q9" s="90"/>
      <c r="R9" s="408"/>
      <c r="S9" s="408"/>
      <c r="T9" s="409"/>
      <c r="U9" s="409">
        <f t="shared" si="0"/>
        <v>0</v>
      </c>
      <c r="V9" s="409">
        <f t="shared" si="1"/>
        <v>0</v>
      </c>
      <c r="W9" s="560">
        <f t="shared" si="2"/>
        <v>0</v>
      </c>
      <c r="X9" s="544"/>
      <c r="Z9" s="124" t="s">
        <v>68</v>
      </c>
      <c r="AA9" s="123">
        <v>0.6</v>
      </c>
    </row>
    <row r="10" spans="2:27" ht="15">
      <c r="B10" s="661"/>
      <c r="C10" s="656"/>
      <c r="D10" s="374" t="s">
        <v>241</v>
      </c>
      <c r="E10" s="55" t="s">
        <v>26</v>
      </c>
      <c r="F10" s="477"/>
      <c r="G10" s="604"/>
      <c r="H10" s="604"/>
      <c r="I10" s="55"/>
      <c r="J10" s="470">
        <v>3.3</v>
      </c>
      <c r="K10" s="411"/>
      <c r="L10" s="412">
        <f t="shared" ref="L10:L14" si="3">O10/J10</f>
        <v>3.6363636363636362E-2</v>
      </c>
      <c r="M10" s="413">
        <f t="shared" ref="M10:M13" si="4">P10/J10</f>
        <v>6.0606060606060615E-2</v>
      </c>
      <c r="N10" s="411"/>
      <c r="O10" s="414">
        <v>0.12</v>
      </c>
      <c r="P10" s="410">
        <v>0.2</v>
      </c>
      <c r="Q10" s="90"/>
      <c r="R10" s="408">
        <v>1</v>
      </c>
      <c r="S10" s="408">
        <v>1</v>
      </c>
      <c r="T10" s="409"/>
      <c r="U10" s="409">
        <f t="shared" si="0"/>
        <v>0.12</v>
      </c>
      <c r="V10" s="409">
        <f t="shared" si="1"/>
        <v>0.12</v>
      </c>
      <c r="W10" s="560">
        <f t="shared" si="2"/>
        <v>0.12000000000000001</v>
      </c>
      <c r="X10" s="544"/>
      <c r="Z10" s="124" t="s">
        <v>41</v>
      </c>
      <c r="AA10" s="123">
        <v>0.8</v>
      </c>
    </row>
    <row r="11" spans="2:27" ht="15">
      <c r="B11" s="661"/>
      <c r="C11" s="656"/>
      <c r="D11" s="387" t="s">
        <v>244</v>
      </c>
      <c r="E11" s="57" t="s">
        <v>106</v>
      </c>
      <c r="F11" s="55"/>
      <c r="G11" s="604"/>
      <c r="H11" s="604"/>
      <c r="I11" s="55"/>
      <c r="J11" s="470">
        <v>3.3</v>
      </c>
      <c r="K11" s="411"/>
      <c r="L11" s="412">
        <f t="shared" si="3"/>
        <v>6.0606060606060615E-2</v>
      </c>
      <c r="M11" s="413">
        <f t="shared" si="4"/>
        <v>0.12121212121212123</v>
      </c>
      <c r="N11" s="411"/>
      <c r="O11" s="414">
        <v>0.2</v>
      </c>
      <c r="P11" s="410">
        <v>0.4</v>
      </c>
      <c r="Q11" s="90"/>
      <c r="R11" s="408">
        <v>1</v>
      </c>
      <c r="S11" s="408">
        <v>1</v>
      </c>
      <c r="T11" s="409"/>
      <c r="U11" s="409">
        <f t="shared" si="0"/>
        <v>0.2</v>
      </c>
      <c r="V11" s="409">
        <f t="shared" si="1"/>
        <v>0.2</v>
      </c>
      <c r="W11" s="560">
        <f t="shared" si="2"/>
        <v>0.20000000000000004</v>
      </c>
      <c r="X11" s="544"/>
      <c r="Z11" s="124" t="s">
        <v>70</v>
      </c>
      <c r="AA11" s="123">
        <v>0.8</v>
      </c>
    </row>
    <row r="12" spans="2:27" ht="15">
      <c r="B12" s="661"/>
      <c r="C12" s="656"/>
      <c r="D12" s="673"/>
      <c r="E12" s="602" t="s">
        <v>16</v>
      </c>
      <c r="F12" s="55"/>
      <c r="G12" s="604"/>
      <c r="H12" s="604"/>
      <c r="I12" s="55" t="s">
        <v>307</v>
      </c>
      <c r="J12" s="470">
        <v>3.3</v>
      </c>
      <c r="K12" s="411"/>
      <c r="L12" s="412">
        <f t="shared" si="3"/>
        <v>6.0606060606060615E-2</v>
      </c>
      <c r="M12" s="413"/>
      <c r="N12" s="411"/>
      <c r="O12" s="414">
        <v>0.2</v>
      </c>
      <c r="P12" s="413"/>
      <c r="Q12" s="90"/>
      <c r="R12" s="408">
        <v>1</v>
      </c>
      <c r="S12" s="408">
        <v>1</v>
      </c>
      <c r="T12" s="409"/>
      <c r="U12" s="409">
        <f t="shared" si="0"/>
        <v>0.2</v>
      </c>
      <c r="V12" s="409">
        <f t="shared" si="1"/>
        <v>0.2</v>
      </c>
      <c r="W12" s="560">
        <f t="shared" si="2"/>
        <v>0.20000000000000004</v>
      </c>
      <c r="X12" s="544"/>
      <c r="Z12" s="124" t="s">
        <v>102</v>
      </c>
      <c r="AA12" s="123">
        <v>0.2</v>
      </c>
    </row>
    <row r="13" spans="2:27" ht="15">
      <c r="B13" s="661"/>
      <c r="C13" s="656"/>
      <c r="D13" s="674"/>
      <c r="E13" s="603"/>
      <c r="F13" s="692" t="s">
        <v>257</v>
      </c>
      <c r="G13" s="604"/>
      <c r="H13" s="604"/>
      <c r="I13" s="692" t="s">
        <v>300</v>
      </c>
      <c r="J13" s="470">
        <v>3.3</v>
      </c>
      <c r="K13" s="411"/>
      <c r="L13" s="412">
        <f t="shared" si="3"/>
        <v>8.6363636363636365E-2</v>
      </c>
      <c r="M13" s="413">
        <f t="shared" si="4"/>
        <v>0.13333333333333333</v>
      </c>
      <c r="N13" s="508"/>
      <c r="O13" s="414">
        <v>0.28499999999999998</v>
      </c>
      <c r="P13" s="479">
        <v>0.44</v>
      </c>
      <c r="Q13" s="90"/>
      <c r="R13" s="408"/>
      <c r="S13" s="408"/>
      <c r="T13" s="409"/>
      <c r="U13" s="409"/>
      <c r="V13" s="409"/>
      <c r="W13" s="560">
        <f t="shared" si="2"/>
        <v>0</v>
      </c>
      <c r="X13" s="544"/>
      <c r="Z13" s="124" t="s">
        <v>157</v>
      </c>
      <c r="AA13" s="123">
        <v>0.9</v>
      </c>
    </row>
    <row r="14" spans="2:27" ht="15.75" thickBot="1">
      <c r="B14" s="661"/>
      <c r="C14" s="656"/>
      <c r="D14" s="673" t="s">
        <v>245</v>
      </c>
      <c r="E14" s="602" t="s">
        <v>44</v>
      </c>
      <c r="F14" s="55" t="s">
        <v>258</v>
      </c>
      <c r="G14" s="604"/>
      <c r="H14" s="604"/>
      <c r="I14" s="55" t="s">
        <v>307</v>
      </c>
      <c r="J14" s="470">
        <v>3.3</v>
      </c>
      <c r="K14" s="411"/>
      <c r="L14" s="412">
        <f t="shared" si="3"/>
        <v>1.0606060606060608E-2</v>
      </c>
      <c r="M14" s="413"/>
      <c r="N14" s="415"/>
      <c r="O14" s="414">
        <v>3.5000000000000003E-2</v>
      </c>
      <c r="P14" s="416"/>
      <c r="Q14" s="90"/>
      <c r="R14" s="408">
        <v>1</v>
      </c>
      <c r="S14" s="408">
        <v>1</v>
      </c>
      <c r="T14" s="409"/>
      <c r="U14" s="409">
        <f>R14*O14</f>
        <v>3.5000000000000003E-2</v>
      </c>
      <c r="V14" s="409">
        <f>O14*S14</f>
        <v>3.5000000000000003E-2</v>
      </c>
      <c r="W14" s="560">
        <f t="shared" si="2"/>
        <v>3.5000000000000003E-2</v>
      </c>
      <c r="X14" s="544"/>
      <c r="Z14" s="382" t="s">
        <v>182</v>
      </c>
      <c r="AA14" s="126">
        <v>0.4</v>
      </c>
    </row>
    <row r="15" spans="2:27" ht="15">
      <c r="B15" s="661"/>
      <c r="C15" s="656"/>
      <c r="D15" s="674"/>
      <c r="E15" s="603"/>
      <c r="F15" s="528" t="s">
        <v>259</v>
      </c>
      <c r="G15" s="714" t="s">
        <v>252</v>
      </c>
      <c r="H15" s="714" t="s">
        <v>302</v>
      </c>
      <c r="I15" s="528" t="s">
        <v>291</v>
      </c>
      <c r="J15" s="722">
        <v>8</v>
      </c>
      <c r="K15" s="693"/>
      <c r="L15" s="721">
        <v>0.62</v>
      </c>
      <c r="M15" s="694"/>
      <c r="N15" s="695"/>
      <c r="O15" s="715">
        <f>J15*L15</f>
        <v>4.96</v>
      </c>
      <c r="P15" s="696"/>
      <c r="Q15" s="90"/>
      <c r="R15" s="408"/>
      <c r="S15" s="408"/>
      <c r="T15" s="409"/>
      <c r="U15" s="409"/>
      <c r="V15" s="409"/>
      <c r="W15" s="560">
        <f t="shared" si="2"/>
        <v>0</v>
      </c>
      <c r="X15" s="544"/>
    </row>
    <row r="16" spans="2:27" ht="15.75" customHeight="1">
      <c r="B16" s="661"/>
      <c r="C16" s="656"/>
      <c r="D16" s="697" t="s">
        <v>246</v>
      </c>
      <c r="E16" s="698" t="s">
        <v>253</v>
      </c>
      <c r="F16" s="716"/>
      <c r="G16" s="698" t="s">
        <v>252</v>
      </c>
      <c r="H16" s="699" t="s">
        <v>301</v>
      </c>
      <c r="I16" s="698"/>
      <c r="J16" s="700">
        <v>8.26</v>
      </c>
      <c r="K16" s="701">
        <f>0.065*3/J16</f>
        <v>2.3607748184019371E-2</v>
      </c>
      <c r="L16" s="702">
        <f>0.19*3/J16</f>
        <v>6.9007263922518172E-2</v>
      </c>
      <c r="M16" s="703">
        <f>2.3*3/J16</f>
        <v>0.83535108958837767</v>
      </c>
      <c r="N16" s="704">
        <v>6.5000000000000002E-2</v>
      </c>
      <c r="O16" s="705">
        <v>0.19</v>
      </c>
      <c r="P16" s="706">
        <v>2.2999999999999998</v>
      </c>
      <c r="Q16" s="90"/>
      <c r="R16" s="731">
        <v>0</v>
      </c>
      <c r="S16" s="731">
        <v>0</v>
      </c>
      <c r="T16" s="732"/>
      <c r="U16" s="733">
        <f>R16*O16</f>
        <v>0</v>
      </c>
      <c r="V16" s="733">
        <f>O16*S16</f>
        <v>0</v>
      </c>
      <c r="W16" s="744">
        <f t="shared" si="2"/>
        <v>0</v>
      </c>
      <c r="X16" s="745"/>
    </row>
    <row r="17" spans="2:26" ht="14.25" customHeight="1">
      <c r="B17" s="661"/>
      <c r="C17" s="656"/>
      <c r="D17" s="707"/>
      <c r="E17" s="699"/>
      <c r="F17" s="717"/>
      <c r="G17" s="699"/>
      <c r="H17" s="699"/>
      <c r="I17" s="699"/>
      <c r="J17" s="708"/>
      <c r="K17" s="701"/>
      <c r="L17" s="709"/>
      <c r="M17" s="703"/>
      <c r="N17" s="704"/>
      <c r="O17" s="705"/>
      <c r="P17" s="706"/>
      <c r="Q17" s="90"/>
      <c r="R17" s="735"/>
      <c r="S17" s="735"/>
      <c r="T17" s="736"/>
      <c r="U17" s="737"/>
      <c r="V17" s="737"/>
      <c r="W17" s="747"/>
      <c r="X17" s="748"/>
    </row>
    <row r="18" spans="2:26" ht="14.25" customHeight="1">
      <c r="B18" s="661"/>
      <c r="C18" s="656"/>
      <c r="D18" s="710"/>
      <c r="E18" s="711"/>
      <c r="F18" s="718"/>
      <c r="G18" s="711"/>
      <c r="H18" s="711"/>
      <c r="I18" s="711"/>
      <c r="J18" s="712"/>
      <c r="K18" s="701"/>
      <c r="L18" s="713"/>
      <c r="M18" s="703"/>
      <c r="N18" s="704"/>
      <c r="O18" s="705"/>
      <c r="P18" s="706"/>
      <c r="Q18" s="90"/>
      <c r="R18" s="739"/>
      <c r="S18" s="739"/>
      <c r="T18" s="740"/>
      <c r="U18" s="741"/>
      <c r="V18" s="741"/>
      <c r="W18" s="750"/>
      <c r="X18" s="751"/>
    </row>
    <row r="19" spans="2:26" ht="15">
      <c r="B19" s="661"/>
      <c r="C19" s="656"/>
      <c r="D19" s="652" t="s">
        <v>242</v>
      </c>
      <c r="E19" s="64" t="s">
        <v>235</v>
      </c>
      <c r="F19" s="719" t="s">
        <v>304</v>
      </c>
      <c r="G19" s="605" t="s">
        <v>252</v>
      </c>
      <c r="H19" s="650" t="s">
        <v>233</v>
      </c>
      <c r="I19" s="378"/>
      <c r="J19" s="471">
        <v>5</v>
      </c>
      <c r="K19" s="463"/>
      <c r="L19" s="464">
        <f>0.07*2</f>
        <v>0.14000000000000001</v>
      </c>
      <c r="M19" s="476">
        <f>0.167*2</f>
        <v>0.33400000000000002</v>
      </c>
      <c r="N19" s="417"/>
      <c r="O19" s="418">
        <f>L19*J19</f>
        <v>0.70000000000000007</v>
      </c>
      <c r="P19" s="419">
        <f>M19*J19</f>
        <v>1.6700000000000002</v>
      </c>
      <c r="Q19" s="90"/>
      <c r="R19" s="420">
        <v>0</v>
      </c>
      <c r="S19" s="420">
        <v>0</v>
      </c>
      <c r="T19" s="421"/>
      <c r="U19" s="421">
        <f t="shared" ref="U19:U28" si="5">R19*O19</f>
        <v>0</v>
      </c>
      <c r="V19" s="421">
        <f t="shared" ref="V19:V28" si="6">S19*O19</f>
        <v>0</v>
      </c>
      <c r="W19" s="764">
        <f t="shared" si="2"/>
        <v>0</v>
      </c>
      <c r="X19" s="545"/>
    </row>
    <row r="20" spans="2:26" ht="15">
      <c r="B20" s="661"/>
      <c r="C20" s="659"/>
      <c r="D20" s="672"/>
      <c r="E20" s="64" t="s">
        <v>236</v>
      </c>
      <c r="F20" s="720" t="s">
        <v>303</v>
      </c>
      <c r="G20" s="663"/>
      <c r="H20" s="663"/>
      <c r="I20" s="64"/>
      <c r="J20" s="379">
        <v>5</v>
      </c>
      <c r="K20" s="463"/>
      <c r="L20" s="464">
        <v>6.4000000000000001E-2</v>
      </c>
      <c r="M20" s="466"/>
      <c r="N20" s="463"/>
      <c r="O20" s="467">
        <f>L20*J20</f>
        <v>0.32</v>
      </c>
      <c r="P20" s="466"/>
      <c r="Q20" s="90"/>
      <c r="R20" s="493">
        <v>0</v>
      </c>
      <c r="S20" s="493">
        <v>0</v>
      </c>
      <c r="T20" s="494"/>
      <c r="U20" s="494">
        <f t="shared" si="5"/>
        <v>0</v>
      </c>
      <c r="V20" s="494">
        <f t="shared" si="6"/>
        <v>0</v>
      </c>
      <c r="W20" s="764">
        <f t="shared" si="2"/>
        <v>0</v>
      </c>
      <c r="X20" s="550"/>
    </row>
    <row r="21" spans="2:26" ht="15">
      <c r="B21" s="661"/>
      <c r="C21" s="658"/>
      <c r="D21" s="385" t="s">
        <v>276</v>
      </c>
      <c r="E21" s="359" t="s">
        <v>62</v>
      </c>
      <c r="F21" s="359" t="s">
        <v>277</v>
      </c>
      <c r="G21" s="359" t="s">
        <v>255</v>
      </c>
      <c r="H21" s="359" t="s">
        <v>232</v>
      </c>
      <c r="I21" s="359"/>
      <c r="J21" s="472">
        <v>3.3</v>
      </c>
      <c r="K21" s="411"/>
      <c r="L21" s="412">
        <f>O21/J21</f>
        <v>3.6363636363636368E-3</v>
      </c>
      <c r="M21" s="413"/>
      <c r="N21" s="403"/>
      <c r="O21" s="406">
        <v>1.2E-2</v>
      </c>
      <c r="P21" s="465"/>
      <c r="Q21" s="90"/>
      <c r="R21" s="408">
        <v>1</v>
      </c>
      <c r="S21" s="408">
        <v>1</v>
      </c>
      <c r="T21" s="591"/>
      <c r="U21" s="595">
        <f t="shared" si="5"/>
        <v>1.2E-2</v>
      </c>
      <c r="V21" s="141">
        <f t="shared" si="6"/>
        <v>1.2E-2</v>
      </c>
      <c r="W21" s="560">
        <f t="shared" si="2"/>
        <v>1.2E-2</v>
      </c>
      <c r="X21" s="558"/>
    </row>
    <row r="22" spans="2:26" ht="15.75" thickBot="1">
      <c r="B22" s="662"/>
      <c r="C22" s="657"/>
      <c r="D22" s="386" t="s">
        <v>239</v>
      </c>
      <c r="E22" s="369" t="s">
        <v>61</v>
      </c>
      <c r="F22" s="485"/>
      <c r="G22" s="369" t="s">
        <v>254</v>
      </c>
      <c r="H22" s="369" t="s">
        <v>234</v>
      </c>
      <c r="I22" s="369"/>
      <c r="J22" s="384">
        <v>3.3</v>
      </c>
      <c r="K22" s="428"/>
      <c r="L22" s="429">
        <f>O22/J22</f>
        <v>0.39393939393939398</v>
      </c>
      <c r="M22" s="430"/>
      <c r="N22" s="428"/>
      <c r="O22" s="723">
        <v>1.3</v>
      </c>
      <c r="P22" s="430"/>
      <c r="Q22" s="90"/>
      <c r="R22" s="431">
        <v>0.5</v>
      </c>
      <c r="S22" s="431">
        <v>0.5</v>
      </c>
      <c r="T22" s="432"/>
      <c r="U22" s="432">
        <f t="shared" si="5"/>
        <v>0.65</v>
      </c>
      <c r="V22" s="432">
        <f t="shared" si="6"/>
        <v>0.65</v>
      </c>
      <c r="W22" s="562">
        <f t="shared" si="2"/>
        <v>0.65000000000000013</v>
      </c>
      <c r="X22" s="547"/>
    </row>
    <row r="23" spans="2:26" ht="15.75" thickBot="1">
      <c r="B23" s="362" t="s">
        <v>23</v>
      </c>
      <c r="C23" s="149"/>
      <c r="D23" s="376" t="s">
        <v>264</v>
      </c>
      <c r="E23" s="363" t="s">
        <v>265</v>
      </c>
      <c r="F23" s="363"/>
      <c r="G23" s="363" t="s">
        <v>260</v>
      </c>
      <c r="H23" s="363" t="s">
        <v>232</v>
      </c>
      <c r="I23" s="363"/>
      <c r="J23" s="363">
        <v>3.3</v>
      </c>
      <c r="K23" s="439"/>
      <c r="L23" s="440">
        <f>0.13</f>
        <v>0.13</v>
      </c>
      <c r="M23" s="441"/>
      <c r="N23" s="439"/>
      <c r="O23" s="442">
        <f>L23*J23</f>
        <v>0.42899999999999999</v>
      </c>
      <c r="P23" s="441"/>
      <c r="Q23" s="90"/>
      <c r="R23" s="584">
        <v>1</v>
      </c>
      <c r="S23" s="584">
        <v>1</v>
      </c>
      <c r="T23" s="585"/>
      <c r="U23" s="585">
        <f t="shared" si="5"/>
        <v>0.42899999999999999</v>
      </c>
      <c r="V23" s="585">
        <f t="shared" si="6"/>
        <v>0.42899999999999999</v>
      </c>
      <c r="W23" s="593">
        <f t="shared" si="2"/>
        <v>0.42899999999999999</v>
      </c>
      <c r="X23" s="594"/>
    </row>
    <row r="24" spans="2:26" ht="15" customHeight="1">
      <c r="B24" s="660" t="s">
        <v>48</v>
      </c>
      <c r="C24" s="655"/>
      <c r="D24" s="664" t="s">
        <v>266</v>
      </c>
      <c r="E24" s="637" t="s">
        <v>267</v>
      </c>
      <c r="F24" s="523"/>
      <c r="G24" s="637" t="s">
        <v>261</v>
      </c>
      <c r="H24" s="637" t="s">
        <v>232</v>
      </c>
      <c r="I24" s="368" t="s">
        <v>278</v>
      </c>
      <c r="J24" s="367">
        <v>3.3</v>
      </c>
      <c r="K24" s="433"/>
      <c r="L24" s="434">
        <v>1.2999999999999999E-2</v>
      </c>
      <c r="M24" s="489"/>
      <c r="N24" s="433"/>
      <c r="O24" s="724">
        <f>L24*J24</f>
        <v>4.2899999999999994E-2</v>
      </c>
      <c r="P24" s="489"/>
      <c r="Q24" s="518"/>
      <c r="R24" s="520"/>
      <c r="S24" s="520"/>
      <c r="T24" s="573"/>
      <c r="U24" s="573">
        <f t="shared" si="5"/>
        <v>0</v>
      </c>
      <c r="V24" s="573">
        <f t="shared" si="6"/>
        <v>0</v>
      </c>
      <c r="W24" s="765">
        <f t="shared" si="2"/>
        <v>0</v>
      </c>
      <c r="X24" s="549"/>
    </row>
    <row r="25" spans="2:26" ht="15">
      <c r="B25" s="661"/>
      <c r="C25" s="656"/>
      <c r="D25" s="636"/>
      <c r="E25" s="604"/>
      <c r="F25" s="390" t="s">
        <v>282</v>
      </c>
      <c r="G25" s="604"/>
      <c r="H25" s="604"/>
      <c r="I25" s="55" t="s">
        <v>279</v>
      </c>
      <c r="J25" s="57">
        <v>3.3</v>
      </c>
      <c r="K25" s="488"/>
      <c r="L25" s="414">
        <v>1.0999999999999999E-2</v>
      </c>
      <c r="M25" s="490"/>
      <c r="N25" s="488"/>
      <c r="O25" s="487">
        <f t="shared" ref="O25:O26" si="7">L25*J25</f>
        <v>3.6299999999999999E-2</v>
      </c>
      <c r="P25" s="413"/>
      <c r="Q25" s="518"/>
      <c r="R25" s="408">
        <v>1</v>
      </c>
      <c r="S25" s="408">
        <v>1</v>
      </c>
      <c r="T25" s="409"/>
      <c r="U25" s="409">
        <f t="shared" si="5"/>
        <v>3.6299999999999999E-2</v>
      </c>
      <c r="V25" s="409">
        <f t="shared" si="6"/>
        <v>3.6299999999999999E-2</v>
      </c>
      <c r="W25" s="560">
        <f t="shared" si="2"/>
        <v>3.6299999999999999E-2</v>
      </c>
      <c r="X25" s="544"/>
    </row>
    <row r="26" spans="2:26" ht="15">
      <c r="B26" s="661"/>
      <c r="C26" s="656"/>
      <c r="D26" s="665"/>
      <c r="E26" s="603"/>
      <c r="F26" s="470" t="s">
        <v>281</v>
      </c>
      <c r="G26" s="603"/>
      <c r="H26" s="604"/>
      <c r="I26" s="53" t="s">
        <v>280</v>
      </c>
      <c r="J26" s="55">
        <v>3.3</v>
      </c>
      <c r="K26" s="411"/>
      <c r="L26" s="482">
        <v>0.55000000000000004</v>
      </c>
      <c r="M26" s="413"/>
      <c r="N26" s="411"/>
      <c r="O26" s="412">
        <f t="shared" si="7"/>
        <v>1.8149999999999999</v>
      </c>
      <c r="P26" s="465"/>
      <c r="Q26" s="518"/>
      <c r="R26" s="408"/>
      <c r="S26" s="408"/>
      <c r="T26" s="409"/>
      <c r="U26" s="409">
        <f t="shared" si="5"/>
        <v>0</v>
      </c>
      <c r="V26" s="409">
        <f t="shared" si="6"/>
        <v>0</v>
      </c>
      <c r="W26" s="560">
        <f t="shared" si="2"/>
        <v>0</v>
      </c>
      <c r="X26" s="544"/>
    </row>
    <row r="27" spans="2:26" ht="15">
      <c r="B27" s="661"/>
      <c r="C27" s="656"/>
      <c r="D27" s="635" t="s">
        <v>66</v>
      </c>
      <c r="E27" s="602" t="s">
        <v>262</v>
      </c>
      <c r="F27" s="470"/>
      <c r="G27" s="602" t="s">
        <v>249</v>
      </c>
      <c r="H27" s="604"/>
      <c r="I27" s="55" t="s">
        <v>115</v>
      </c>
      <c r="J27" s="55">
        <v>3.3</v>
      </c>
      <c r="K27" s="435">
        <v>4.4999999999999998E-2</v>
      </c>
      <c r="L27" s="414">
        <v>5.5000000000000007E-2</v>
      </c>
      <c r="M27" s="410">
        <v>0.12</v>
      </c>
      <c r="N27" s="411">
        <f>J27*K27</f>
        <v>0.14849999999999999</v>
      </c>
      <c r="O27" s="412">
        <f>L27*J27</f>
        <v>0.18150000000000002</v>
      </c>
      <c r="P27" s="413">
        <f>M27*J27</f>
        <v>0.39599999999999996</v>
      </c>
      <c r="Q27" s="90"/>
      <c r="R27" s="408">
        <v>0.9</v>
      </c>
      <c r="S27" s="408">
        <v>0.9</v>
      </c>
      <c r="T27" s="409"/>
      <c r="U27" s="409">
        <f t="shared" si="5"/>
        <v>0.16335000000000002</v>
      </c>
      <c r="V27" s="409">
        <f t="shared" si="6"/>
        <v>0.16335000000000002</v>
      </c>
      <c r="W27" s="560">
        <f t="shared" si="2"/>
        <v>0.16335</v>
      </c>
      <c r="X27" s="544"/>
    </row>
    <row r="28" spans="2:26" ht="15" customHeight="1">
      <c r="B28" s="661"/>
      <c r="C28" s="656"/>
      <c r="D28" s="636"/>
      <c r="E28" s="604"/>
      <c r="F28" s="472" t="s">
        <v>306</v>
      </c>
      <c r="G28" s="604"/>
      <c r="H28" s="604"/>
      <c r="I28" s="602" t="s">
        <v>111</v>
      </c>
      <c r="J28" s="602">
        <v>3.3</v>
      </c>
      <c r="K28" s="638">
        <v>0.6</v>
      </c>
      <c r="L28" s="640">
        <v>0.8</v>
      </c>
      <c r="M28" s="642">
        <v>1</v>
      </c>
      <c r="N28" s="644">
        <f>J28*K28</f>
        <v>1.9799999999999998</v>
      </c>
      <c r="O28" s="646">
        <f>L28*J28</f>
        <v>2.64</v>
      </c>
      <c r="P28" s="648">
        <f>M28*J28</f>
        <v>3.3</v>
      </c>
      <c r="Q28" s="90"/>
      <c r="R28" s="627">
        <f>100%-R27</f>
        <v>9.9999999999999978E-2</v>
      </c>
      <c r="S28" s="627">
        <f t="shared" ref="S28" si="8">100%-S27</f>
        <v>9.9999999999999978E-2</v>
      </c>
      <c r="T28" s="631"/>
      <c r="U28" s="629">
        <f t="shared" si="5"/>
        <v>0.26399999999999996</v>
      </c>
      <c r="V28" s="629">
        <f t="shared" si="6"/>
        <v>0.26399999999999996</v>
      </c>
      <c r="W28" s="683">
        <f t="shared" si="2"/>
        <v>0.26399999999999996</v>
      </c>
      <c r="X28" s="548"/>
    </row>
    <row r="29" spans="2:26" ht="14.25" customHeight="1">
      <c r="B29" s="661"/>
      <c r="C29" s="656"/>
      <c r="D29" s="636"/>
      <c r="E29" s="604"/>
      <c r="F29" s="517" t="s">
        <v>285</v>
      </c>
      <c r="G29" s="603"/>
      <c r="H29" s="603"/>
      <c r="I29" s="603"/>
      <c r="J29" s="604"/>
      <c r="K29" s="639"/>
      <c r="L29" s="641"/>
      <c r="M29" s="643"/>
      <c r="N29" s="645"/>
      <c r="O29" s="647"/>
      <c r="P29" s="649"/>
      <c r="Q29" s="90"/>
      <c r="R29" s="628"/>
      <c r="S29" s="628"/>
      <c r="T29" s="632"/>
      <c r="U29" s="630"/>
      <c r="V29" s="630"/>
      <c r="W29" s="684"/>
      <c r="X29" s="549"/>
    </row>
    <row r="30" spans="2:26">
      <c r="B30" s="661"/>
      <c r="C30" s="656"/>
      <c r="D30" s="480" t="s">
        <v>268</v>
      </c>
      <c r="E30" s="64" t="s">
        <v>270</v>
      </c>
      <c r="F30" s="379"/>
      <c r="G30" s="650" t="s">
        <v>247</v>
      </c>
      <c r="H30" s="650" t="s">
        <v>233</v>
      </c>
      <c r="I30" s="58"/>
      <c r="J30" s="64">
        <v>5</v>
      </c>
      <c r="K30" s="509"/>
      <c r="L30" s="492">
        <v>0</v>
      </c>
      <c r="M30" s="466"/>
      <c r="N30" s="509"/>
      <c r="O30" s="481">
        <v>0</v>
      </c>
      <c r="P30" s="491"/>
      <c r="R30" s="501">
        <v>0</v>
      </c>
      <c r="S30" s="501">
        <v>0</v>
      </c>
      <c r="T30" s="478"/>
      <c r="U30" s="502">
        <f t="shared" ref="U30:U37" si="9">R30*O30</f>
        <v>0</v>
      </c>
      <c r="V30" s="502">
        <f t="shared" ref="V30:V37" si="10">S30*O30</f>
        <v>0</v>
      </c>
      <c r="W30" s="764">
        <f t="shared" si="2"/>
        <v>0</v>
      </c>
      <c r="X30" s="375"/>
    </row>
    <row r="31" spans="2:26" ht="15">
      <c r="B31" s="661"/>
      <c r="C31" s="656"/>
      <c r="D31" s="652" t="s">
        <v>269</v>
      </c>
      <c r="E31" s="650" t="s">
        <v>263</v>
      </c>
      <c r="F31" s="497"/>
      <c r="G31" s="605"/>
      <c r="H31" s="605"/>
      <c r="I31" s="64" t="s">
        <v>286</v>
      </c>
      <c r="J31" s="64">
        <v>5</v>
      </c>
      <c r="K31" s="463"/>
      <c r="L31" s="467">
        <f>O31/5</f>
        <v>0.122</v>
      </c>
      <c r="M31" s="466"/>
      <c r="N31" s="496"/>
      <c r="O31" s="464">
        <v>0.61</v>
      </c>
      <c r="P31" s="476"/>
      <c r="Q31" s="90"/>
      <c r="R31" s="493">
        <v>0</v>
      </c>
      <c r="S31" s="493">
        <v>0</v>
      </c>
      <c r="T31" s="494"/>
      <c r="U31" s="494">
        <f t="shared" si="9"/>
        <v>0</v>
      </c>
      <c r="V31" s="502">
        <f t="shared" si="10"/>
        <v>0</v>
      </c>
      <c r="W31" s="764">
        <f t="shared" si="2"/>
        <v>0</v>
      </c>
      <c r="X31" s="550"/>
      <c r="Z31" s="725"/>
    </row>
    <row r="32" spans="2:26" ht="15">
      <c r="B32" s="661"/>
      <c r="C32" s="656"/>
      <c r="D32" s="653"/>
      <c r="E32" s="605"/>
      <c r="F32" s="497"/>
      <c r="G32" s="605"/>
      <c r="H32" s="605"/>
      <c r="I32" s="64" t="s">
        <v>283</v>
      </c>
      <c r="J32" s="64">
        <v>5</v>
      </c>
      <c r="K32" s="463"/>
      <c r="L32" s="467">
        <f>O32/5</f>
        <v>0.54</v>
      </c>
      <c r="M32" s="466"/>
      <c r="N32" s="496"/>
      <c r="O32" s="464">
        <v>2.7</v>
      </c>
      <c r="P32" s="476"/>
      <c r="Q32" s="90"/>
      <c r="R32" s="493">
        <v>0</v>
      </c>
      <c r="S32" s="493">
        <v>0</v>
      </c>
      <c r="T32" s="494"/>
      <c r="U32" s="494">
        <f t="shared" si="9"/>
        <v>0</v>
      </c>
      <c r="V32" s="502">
        <f t="shared" si="10"/>
        <v>0</v>
      </c>
      <c r="W32" s="764">
        <f t="shared" si="2"/>
        <v>0</v>
      </c>
      <c r="X32" s="550"/>
    </row>
    <row r="33" spans="2:25" ht="15.75" thickBot="1">
      <c r="B33" s="662"/>
      <c r="C33" s="657"/>
      <c r="D33" s="654"/>
      <c r="E33" s="651"/>
      <c r="F33" s="498"/>
      <c r="G33" s="651"/>
      <c r="H33" s="651"/>
      <c r="I33" s="63" t="s">
        <v>284</v>
      </c>
      <c r="J33" s="63">
        <v>5</v>
      </c>
      <c r="K33" s="422"/>
      <c r="L33" s="425">
        <f>O33/5</f>
        <v>0.91999999999999993</v>
      </c>
      <c r="M33" s="424">
        <f>P33/5</f>
        <v>1</v>
      </c>
      <c r="N33" s="436"/>
      <c r="O33" s="423">
        <v>4.5999999999999996</v>
      </c>
      <c r="P33" s="437">
        <v>5</v>
      </c>
      <c r="Q33" s="90"/>
      <c r="R33" s="426">
        <v>0</v>
      </c>
      <c r="S33" s="426">
        <v>0</v>
      </c>
      <c r="T33" s="427"/>
      <c r="U33" s="507">
        <f t="shared" si="9"/>
        <v>0</v>
      </c>
      <c r="V33" s="507">
        <f t="shared" si="10"/>
        <v>0</v>
      </c>
      <c r="W33" s="555">
        <f t="shared" si="2"/>
        <v>0</v>
      </c>
      <c r="X33" s="546"/>
    </row>
    <row r="34" spans="2:25">
      <c r="B34" s="660" t="s">
        <v>67</v>
      </c>
      <c r="C34" s="381" t="s">
        <v>67</v>
      </c>
      <c r="D34" s="512" t="s">
        <v>287</v>
      </c>
      <c r="E34" s="364" t="s">
        <v>275</v>
      </c>
      <c r="F34" s="364"/>
      <c r="G34" s="364" t="s">
        <v>272</v>
      </c>
      <c r="H34" s="364" t="s">
        <v>227</v>
      </c>
      <c r="I34" s="364"/>
      <c r="J34" s="364">
        <v>5</v>
      </c>
      <c r="K34" s="443"/>
      <c r="L34" s="444">
        <f>O34/J34</f>
        <v>0.2</v>
      </c>
      <c r="M34" s="445"/>
      <c r="N34" s="443"/>
      <c r="O34" s="444">
        <v>1</v>
      </c>
      <c r="P34" s="445"/>
      <c r="Q34" s="130"/>
      <c r="R34" s="446">
        <v>0</v>
      </c>
      <c r="S34" s="446">
        <v>0</v>
      </c>
      <c r="T34" s="447"/>
      <c r="U34" s="448">
        <f t="shared" si="9"/>
        <v>0</v>
      </c>
      <c r="V34" s="448">
        <f t="shared" si="10"/>
        <v>0</v>
      </c>
      <c r="W34" s="766">
        <f t="shared" si="2"/>
        <v>0</v>
      </c>
      <c r="X34" s="551"/>
    </row>
    <row r="35" spans="2:25">
      <c r="B35" s="661"/>
      <c r="C35" s="658" t="s">
        <v>24</v>
      </c>
      <c r="D35" s="513" t="s">
        <v>288</v>
      </c>
      <c r="E35" s="175" t="s">
        <v>274</v>
      </c>
      <c r="F35" s="175"/>
      <c r="G35" s="175" t="s">
        <v>271</v>
      </c>
      <c r="H35" s="175" t="s">
        <v>228</v>
      </c>
      <c r="I35" s="158"/>
      <c r="J35" s="158">
        <v>5</v>
      </c>
      <c r="K35" s="449"/>
      <c r="L35" s="450">
        <f>O35/J35</f>
        <v>0.2</v>
      </c>
      <c r="M35" s="451"/>
      <c r="N35" s="449"/>
      <c r="O35" s="450">
        <v>1</v>
      </c>
      <c r="P35" s="451"/>
      <c r="Q35" s="130"/>
      <c r="R35" s="452">
        <v>0</v>
      </c>
      <c r="S35" s="452">
        <v>0</v>
      </c>
      <c r="T35" s="453"/>
      <c r="U35" s="454">
        <f t="shared" si="9"/>
        <v>0</v>
      </c>
      <c r="V35" s="454">
        <f t="shared" si="10"/>
        <v>0</v>
      </c>
      <c r="W35" s="772">
        <f t="shared" si="2"/>
        <v>0</v>
      </c>
      <c r="X35" s="552"/>
    </row>
    <row r="36" spans="2:25">
      <c r="B36" s="661"/>
      <c r="C36" s="659"/>
      <c r="D36" s="514" t="s">
        <v>288</v>
      </c>
      <c r="E36" s="173" t="s">
        <v>274</v>
      </c>
      <c r="F36" s="173"/>
      <c r="G36" s="173" t="s">
        <v>271</v>
      </c>
      <c r="H36" s="173" t="s">
        <v>65</v>
      </c>
      <c r="I36" s="155"/>
      <c r="J36" s="155">
        <v>3.3</v>
      </c>
      <c r="K36" s="510"/>
      <c r="L36" s="455"/>
      <c r="M36" s="511">
        <f>P36/J36</f>
        <v>0.60606060606060608</v>
      </c>
      <c r="N36" s="510"/>
      <c r="O36" s="455"/>
      <c r="P36" s="456">
        <v>2</v>
      </c>
      <c r="R36" s="457">
        <v>0</v>
      </c>
      <c r="S36" s="457">
        <v>0</v>
      </c>
      <c r="T36" s="156"/>
      <c r="U36" s="458">
        <f t="shared" si="9"/>
        <v>0</v>
      </c>
      <c r="V36" s="458">
        <f t="shared" si="10"/>
        <v>0</v>
      </c>
      <c r="W36" s="773">
        <f t="shared" si="2"/>
        <v>0</v>
      </c>
      <c r="X36" s="167"/>
    </row>
    <row r="37" spans="2:25" ht="15.75" thickBot="1">
      <c r="B37" s="662"/>
      <c r="C37" s="515" t="s">
        <v>22</v>
      </c>
      <c r="D37" s="516" t="s">
        <v>289</v>
      </c>
      <c r="E37" s="366" t="s">
        <v>273</v>
      </c>
      <c r="F37" s="366" t="s">
        <v>305</v>
      </c>
      <c r="G37" s="366" t="s">
        <v>249</v>
      </c>
      <c r="H37" s="366" t="s">
        <v>75</v>
      </c>
      <c r="I37" s="365"/>
      <c r="J37" s="365">
        <v>3.3</v>
      </c>
      <c r="K37" s="459">
        <f>N37/J37</f>
        <v>0.11515151515151516</v>
      </c>
      <c r="L37" s="460">
        <f>O37/J37</f>
        <v>0.24242424242424246</v>
      </c>
      <c r="M37" s="461">
        <f>P37/J37</f>
        <v>0.54545454545454553</v>
      </c>
      <c r="N37" s="499">
        <v>0.38</v>
      </c>
      <c r="O37" s="462">
        <v>0.8</v>
      </c>
      <c r="P37" s="500">
        <v>1.8</v>
      </c>
      <c r="Q37" s="130"/>
      <c r="R37" s="503">
        <v>0</v>
      </c>
      <c r="S37" s="503">
        <v>0</v>
      </c>
      <c r="T37" s="566"/>
      <c r="U37" s="567">
        <f t="shared" si="9"/>
        <v>0</v>
      </c>
      <c r="V37" s="567">
        <f t="shared" si="10"/>
        <v>0</v>
      </c>
      <c r="W37" s="774">
        <f t="shared" si="2"/>
        <v>0</v>
      </c>
      <c r="X37" s="568"/>
    </row>
    <row r="38" spans="2:25" ht="15" thickBot="1">
      <c r="O38" s="90"/>
      <c r="P38" s="90"/>
      <c r="Q38" s="90"/>
      <c r="T38" s="569" t="s">
        <v>163</v>
      </c>
      <c r="U38" s="570">
        <f>SUM(U5:U37)/0.9</f>
        <v>3.2363544444444434</v>
      </c>
      <c r="V38" s="776">
        <f>SUM(V5:V37)/0.9</f>
        <v>3.2363544444444434</v>
      </c>
      <c r="W38" s="771">
        <f>SUM(W5:W37)/0.9</f>
        <v>3.2363544444444443</v>
      </c>
      <c r="X38" s="777" t="s">
        <v>119</v>
      </c>
      <c r="Y38" s="1" t="s">
        <v>4</v>
      </c>
    </row>
    <row r="39" spans="2:25">
      <c r="O39" s="90"/>
      <c r="P39" s="90"/>
      <c r="Q39" s="90"/>
      <c r="T39" s="117" t="s">
        <v>10</v>
      </c>
      <c r="U39" s="526">
        <f>1.135*20*R4/3600</f>
        <v>23.041232566635454</v>
      </c>
      <c r="V39" s="526">
        <v>0</v>
      </c>
      <c r="W39" s="527">
        <f t="shared" ref="W39:W44" si="11">U39+V39</f>
        <v>23.041232566635454</v>
      </c>
      <c r="X39" s="118" t="s">
        <v>129</v>
      </c>
    </row>
    <row r="40" spans="2:25">
      <c r="O40" s="90"/>
      <c r="P40" s="90"/>
      <c r="Q40" s="90"/>
      <c r="R40" s="90"/>
      <c r="T40" s="117" t="s">
        <v>9</v>
      </c>
      <c r="U40" s="5">
        <f>U38*R4/3600</f>
        <v>3.2850042036347444</v>
      </c>
      <c r="V40" s="5">
        <f>V38*S4/3600</f>
        <v>1.8185333730033202</v>
      </c>
      <c r="W40" s="522">
        <f t="shared" si="11"/>
        <v>5.1035375766380646</v>
      </c>
      <c r="X40" s="118" t="s">
        <v>129</v>
      </c>
    </row>
    <row r="41" spans="2:25">
      <c r="O41" s="90"/>
      <c r="P41" s="90"/>
      <c r="Q41" s="90"/>
      <c r="R41" s="90"/>
      <c r="T41" s="117" t="s">
        <v>100</v>
      </c>
      <c r="U41" s="563">
        <f>W39-W40</f>
        <v>17.937694989997389</v>
      </c>
      <c r="V41" s="5"/>
      <c r="W41" s="522">
        <f t="shared" si="11"/>
        <v>17.937694989997389</v>
      </c>
      <c r="X41" s="118" t="s">
        <v>129</v>
      </c>
    </row>
    <row r="42" spans="2:25">
      <c r="O42" s="90"/>
      <c r="P42" s="90"/>
      <c r="Q42" s="90"/>
      <c r="R42" s="90"/>
      <c r="T42" s="117" t="s">
        <v>179</v>
      </c>
      <c r="U42" s="5">
        <f>100*(W39/W40-1)</f>
        <v>351.47571112455245</v>
      </c>
      <c r="V42" s="5"/>
      <c r="W42" s="522">
        <f t="shared" si="11"/>
        <v>351.47571112455245</v>
      </c>
      <c r="X42" s="118" t="s">
        <v>110</v>
      </c>
    </row>
    <row r="43" spans="2:25">
      <c r="O43" s="90"/>
      <c r="P43" s="90"/>
      <c r="Q43" s="90"/>
      <c r="R43" s="90"/>
      <c r="T43" s="117" t="s">
        <v>107</v>
      </c>
      <c r="U43" s="5">
        <f>U41/$U$39*100</f>
        <v>77.850414200374971</v>
      </c>
      <c r="V43" s="5"/>
      <c r="W43" s="522">
        <f t="shared" si="11"/>
        <v>77.850414200374971</v>
      </c>
      <c r="X43" s="118" t="s">
        <v>110</v>
      </c>
      <c r="Y43" s="21" t="s">
        <v>77</v>
      </c>
    </row>
    <row r="44" spans="2:25" ht="15" thickBot="1">
      <c r="O44" s="90"/>
      <c r="P44" s="90"/>
      <c r="Q44" s="90"/>
      <c r="R44" s="90"/>
      <c r="T44" s="119" t="s">
        <v>167</v>
      </c>
      <c r="U44" s="120">
        <f>(U39-U40)/40*100</f>
        <v>49.390570907501775</v>
      </c>
      <c r="V44" s="120">
        <f>(V39-V40)/40*100</f>
        <v>-4.5463334325083</v>
      </c>
      <c r="W44" s="564">
        <f t="shared" si="11"/>
        <v>44.844237474993477</v>
      </c>
      <c r="X44" s="121" t="s">
        <v>110</v>
      </c>
    </row>
    <row r="48" spans="2:25">
      <c r="O48" s="90"/>
      <c r="P48" s="90"/>
      <c r="Q48" s="90"/>
      <c r="R48" s="90"/>
      <c r="S48" s="90"/>
    </row>
    <row r="49" spans="15:19">
      <c r="O49" s="90"/>
      <c r="P49" s="90"/>
      <c r="Q49" s="90"/>
      <c r="R49" s="90"/>
      <c r="S49" s="90"/>
    </row>
    <row r="50" spans="15:19">
      <c r="O50" s="90"/>
      <c r="P50" s="90"/>
      <c r="Q50" s="90"/>
      <c r="R50" s="90"/>
      <c r="S50" s="90"/>
    </row>
    <row r="51" spans="15:19">
      <c r="R51" s="90"/>
      <c r="S51" s="90"/>
    </row>
    <row r="52" spans="15:19">
      <c r="R52" s="90"/>
      <c r="S52" s="90"/>
    </row>
  </sheetData>
  <mergeCells count="83">
    <mergeCell ref="C2:D2"/>
    <mergeCell ref="K2:M2"/>
    <mergeCell ref="N2:P2"/>
    <mergeCell ref="T2:X2"/>
    <mergeCell ref="B3:B4"/>
    <mergeCell ref="C3:D4"/>
    <mergeCell ref="E3:E4"/>
    <mergeCell ref="F3:F4"/>
    <mergeCell ref="G3:G4"/>
    <mergeCell ref="N3:N4"/>
    <mergeCell ref="O3:O4"/>
    <mergeCell ref="P3:P4"/>
    <mergeCell ref="B5:B7"/>
    <mergeCell ref="C5:C6"/>
    <mergeCell ref="G5:G6"/>
    <mergeCell ref="C7:C8"/>
    <mergeCell ref="B8:B22"/>
    <mergeCell ref="C9:C20"/>
    <mergeCell ref="H3:H4"/>
    <mergeCell ref="I3:I4"/>
    <mergeCell ref="J3:J4"/>
    <mergeCell ref="K3:K4"/>
    <mergeCell ref="L3:L4"/>
    <mergeCell ref="M3:M4"/>
    <mergeCell ref="L16:L18"/>
    <mergeCell ref="M16:M18"/>
    <mergeCell ref="D12:D13"/>
    <mergeCell ref="E12:E13"/>
    <mergeCell ref="D14:D15"/>
    <mergeCell ref="E14:E15"/>
    <mergeCell ref="D16:D18"/>
    <mergeCell ref="E16:E18"/>
    <mergeCell ref="G16:G18"/>
    <mergeCell ref="H8:H14"/>
    <mergeCell ref="G9:G14"/>
    <mergeCell ref="F16:F18"/>
    <mergeCell ref="T16:T18"/>
    <mergeCell ref="U16:U18"/>
    <mergeCell ref="V16:V18"/>
    <mergeCell ref="W16:W18"/>
    <mergeCell ref="D19:D20"/>
    <mergeCell ref="G19:G20"/>
    <mergeCell ref="H19:H20"/>
    <mergeCell ref="N16:N18"/>
    <mergeCell ref="O16:O18"/>
    <mergeCell ref="P16:P18"/>
    <mergeCell ref="R16:R18"/>
    <mergeCell ref="S16:S18"/>
    <mergeCell ref="H16:H18"/>
    <mergeCell ref="I16:I18"/>
    <mergeCell ref="J16:J18"/>
    <mergeCell ref="K16:K18"/>
    <mergeCell ref="C21:C22"/>
    <mergeCell ref="B24:B33"/>
    <mergeCell ref="C24:C33"/>
    <mergeCell ref="D24:D26"/>
    <mergeCell ref="E24:E26"/>
    <mergeCell ref="N28:N29"/>
    <mergeCell ref="O28:O29"/>
    <mergeCell ref="P28:P29"/>
    <mergeCell ref="H24:H29"/>
    <mergeCell ref="D27:D29"/>
    <mergeCell ref="E27:E29"/>
    <mergeCell ref="G27:G29"/>
    <mergeCell ref="I28:I29"/>
    <mergeCell ref="J28:J29"/>
    <mergeCell ref="G24:G26"/>
    <mergeCell ref="B34:B37"/>
    <mergeCell ref="C35:C36"/>
    <mergeCell ref="R2:S2"/>
    <mergeCell ref="W28:W29"/>
    <mergeCell ref="G30:G33"/>
    <mergeCell ref="H30:H33"/>
    <mergeCell ref="D31:D33"/>
    <mergeCell ref="E31:E33"/>
    <mergeCell ref="R28:R29"/>
    <mergeCell ref="S28:S29"/>
    <mergeCell ref="T28:T29"/>
    <mergeCell ref="U28:U29"/>
    <mergeCell ref="V28:V29"/>
    <mergeCell ref="K28:K29"/>
    <mergeCell ref="L28:L29"/>
    <mergeCell ref="M28:M29"/>
  </mergeCells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2F98-902F-4517-93A6-6DFB4BCF2C66}">
  <dimension ref="A1:AI44"/>
  <sheetViews>
    <sheetView tabSelected="1" topLeftCell="A9" workbookViewId="0">
      <selection activeCell="AC49" sqref="AC49"/>
    </sheetView>
  </sheetViews>
  <sheetFormatPr defaultRowHeight="14.25"/>
  <cols>
    <col min="2" max="2" width="8" bestFit="1" customWidth="1"/>
    <col min="4" max="4" width="9.625" bestFit="1" customWidth="1"/>
    <col min="5" max="5" width="4.75" bestFit="1" customWidth="1"/>
    <col min="6" max="6" width="10.25" bestFit="1" customWidth="1"/>
    <col min="7" max="9" width="4.75" customWidth="1"/>
    <col min="10" max="10" width="5.125" customWidth="1"/>
    <col min="11" max="34" width="4.75" customWidth="1"/>
  </cols>
  <sheetData>
    <row r="1" spans="1:35" ht="15" thickBot="1">
      <c r="A1" s="804"/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5"/>
      <c r="Y1" s="805"/>
      <c r="Z1" s="805"/>
      <c r="AA1" s="805"/>
      <c r="AB1" s="805"/>
      <c r="AC1" s="805"/>
      <c r="AD1" s="805"/>
      <c r="AE1" s="805"/>
      <c r="AF1" s="805"/>
      <c r="AG1" s="805"/>
    </row>
    <row r="2" spans="1:35" ht="15" thickBot="1">
      <c r="A2" s="804"/>
      <c r="B2" s="810" t="s">
        <v>314</v>
      </c>
      <c r="C2" s="811" t="s">
        <v>320</v>
      </c>
      <c r="D2" s="812" t="s">
        <v>311</v>
      </c>
      <c r="E2" s="812" t="s">
        <v>312</v>
      </c>
      <c r="F2" s="882" t="s">
        <v>322</v>
      </c>
      <c r="G2" s="813">
        <v>44805</v>
      </c>
      <c r="H2" s="814"/>
      <c r="I2" s="820">
        <v>44810</v>
      </c>
      <c r="J2" s="821"/>
      <c r="K2" s="817">
        <v>44812</v>
      </c>
      <c r="L2" s="818"/>
      <c r="M2" s="815">
        <v>44817</v>
      </c>
      <c r="N2" s="816"/>
      <c r="O2" s="817">
        <v>44819</v>
      </c>
      <c r="P2" s="818"/>
      <c r="Q2" s="815">
        <v>44824</v>
      </c>
      <c r="R2" s="816"/>
      <c r="S2" s="817">
        <v>44826</v>
      </c>
      <c r="T2" s="818"/>
      <c r="U2" s="815">
        <v>44831</v>
      </c>
      <c r="V2" s="816"/>
      <c r="W2" s="817">
        <v>44833</v>
      </c>
      <c r="X2" s="818"/>
      <c r="Y2" s="815">
        <v>44838</v>
      </c>
      <c r="Z2" s="816"/>
      <c r="AA2" s="817">
        <v>44840</v>
      </c>
      <c r="AB2" s="818"/>
      <c r="AC2" s="815">
        <v>44845</v>
      </c>
      <c r="AD2" s="816"/>
      <c r="AE2" s="817">
        <v>44847</v>
      </c>
      <c r="AF2" s="818"/>
      <c r="AG2" s="815">
        <v>44852</v>
      </c>
      <c r="AH2" s="816"/>
      <c r="AI2" s="872" t="s">
        <v>356</v>
      </c>
    </row>
    <row r="3" spans="1:35">
      <c r="A3" s="804"/>
      <c r="B3" s="781" t="s">
        <v>318</v>
      </c>
      <c r="C3" s="786" t="s">
        <v>335</v>
      </c>
      <c r="D3" s="786" t="s">
        <v>329</v>
      </c>
      <c r="E3" s="786" t="s">
        <v>330</v>
      </c>
      <c r="F3" s="790" t="s">
        <v>331</v>
      </c>
      <c r="G3" s="787" t="s">
        <v>327</v>
      </c>
      <c r="H3" s="788" t="s">
        <v>327</v>
      </c>
      <c r="I3" s="825" t="s">
        <v>327</v>
      </c>
      <c r="J3" s="824" t="s">
        <v>327</v>
      </c>
      <c r="K3" s="789" t="s">
        <v>327</v>
      </c>
      <c r="L3" s="790" t="s">
        <v>327</v>
      </c>
      <c r="M3" s="789" t="s">
        <v>327</v>
      </c>
      <c r="N3" s="790" t="s">
        <v>327</v>
      </c>
      <c r="O3" s="789" t="s">
        <v>327</v>
      </c>
      <c r="P3" s="790" t="s">
        <v>339</v>
      </c>
      <c r="Q3" s="789" t="s">
        <v>339</v>
      </c>
      <c r="R3" s="790" t="s">
        <v>339</v>
      </c>
      <c r="S3" s="789" t="s">
        <v>339</v>
      </c>
      <c r="T3" s="790" t="s">
        <v>339</v>
      </c>
      <c r="U3" s="789" t="s">
        <v>339</v>
      </c>
      <c r="V3" s="790" t="s">
        <v>339</v>
      </c>
      <c r="W3" s="789" t="s">
        <v>339</v>
      </c>
      <c r="X3" s="790" t="s">
        <v>339</v>
      </c>
      <c r="Y3" s="789" t="s">
        <v>339</v>
      </c>
      <c r="Z3" s="790" t="s">
        <v>339</v>
      </c>
      <c r="AA3" s="868" t="s">
        <v>340</v>
      </c>
      <c r="AB3" s="790" t="s">
        <v>340</v>
      </c>
      <c r="AC3" s="789" t="s">
        <v>339</v>
      </c>
      <c r="AD3" s="790" t="s">
        <v>339</v>
      </c>
      <c r="AE3" s="868" t="s">
        <v>355</v>
      </c>
      <c r="AF3" s="790" t="s">
        <v>339</v>
      </c>
      <c r="AG3" s="789" t="s">
        <v>340</v>
      </c>
      <c r="AH3" s="790" t="s">
        <v>340</v>
      </c>
      <c r="AI3" s="803"/>
    </row>
    <row r="4" spans="1:35" ht="15" thickBot="1">
      <c r="A4" s="804"/>
      <c r="B4" s="783"/>
      <c r="C4" s="792" t="s">
        <v>319</v>
      </c>
      <c r="D4" s="792" t="s">
        <v>309</v>
      </c>
      <c r="E4" s="792" t="s">
        <v>330</v>
      </c>
      <c r="F4" s="801" t="s">
        <v>333</v>
      </c>
      <c r="G4" s="798" t="s">
        <v>327</v>
      </c>
      <c r="H4" s="799" t="s">
        <v>327</v>
      </c>
      <c r="I4" s="826" t="s">
        <v>327</v>
      </c>
      <c r="J4" s="822" t="s">
        <v>327</v>
      </c>
      <c r="K4" s="795" t="s">
        <v>327</v>
      </c>
      <c r="L4" s="796" t="s">
        <v>327</v>
      </c>
      <c r="M4" s="795" t="s">
        <v>327</v>
      </c>
      <c r="N4" s="796" t="s">
        <v>327</v>
      </c>
      <c r="O4" s="795" t="s">
        <v>327</v>
      </c>
      <c r="P4" s="806" t="s">
        <v>339</v>
      </c>
      <c r="Q4" s="807" t="s">
        <v>339</v>
      </c>
      <c r="R4" s="806" t="s">
        <v>339</v>
      </c>
      <c r="S4" s="807" t="s">
        <v>339</v>
      </c>
      <c r="T4" s="806" t="s">
        <v>339</v>
      </c>
      <c r="U4" s="807" t="s">
        <v>339</v>
      </c>
      <c r="V4" s="806" t="s">
        <v>339</v>
      </c>
      <c r="W4" s="807" t="s">
        <v>339</v>
      </c>
      <c r="X4" s="806" t="s">
        <v>339</v>
      </c>
      <c r="Y4" s="807" t="s">
        <v>339</v>
      </c>
      <c r="Z4" s="806" t="s">
        <v>339</v>
      </c>
      <c r="AA4" s="807" t="s">
        <v>339</v>
      </c>
      <c r="AB4" s="806" t="s">
        <v>339</v>
      </c>
      <c r="AC4" s="807" t="s">
        <v>339</v>
      </c>
      <c r="AD4" s="806" t="s">
        <v>339</v>
      </c>
      <c r="AE4" s="807" t="s">
        <v>339</v>
      </c>
      <c r="AF4" s="806" t="s">
        <v>339</v>
      </c>
      <c r="AG4" s="807" t="s">
        <v>339</v>
      </c>
      <c r="AH4" s="806" t="s">
        <v>339</v>
      </c>
      <c r="AI4" s="869"/>
    </row>
    <row r="5" spans="1:35">
      <c r="A5" s="804"/>
      <c r="B5" s="781" t="s">
        <v>324</v>
      </c>
      <c r="C5" s="786" t="s">
        <v>321</v>
      </c>
      <c r="D5" s="786" t="s">
        <v>309</v>
      </c>
      <c r="E5" s="786" t="s">
        <v>330</v>
      </c>
      <c r="F5" s="790" t="s">
        <v>336</v>
      </c>
      <c r="G5" s="787"/>
      <c r="H5" s="788"/>
      <c r="I5" s="825" t="s">
        <v>340</v>
      </c>
      <c r="J5" s="828" t="s">
        <v>340</v>
      </c>
      <c r="K5" s="789" t="s">
        <v>339</v>
      </c>
      <c r="L5" s="790" t="s">
        <v>339</v>
      </c>
      <c r="M5" s="789" t="s">
        <v>339</v>
      </c>
      <c r="N5" s="790" t="s">
        <v>339</v>
      </c>
      <c r="O5" s="789" t="s">
        <v>339</v>
      </c>
      <c r="P5" s="790" t="s">
        <v>339</v>
      </c>
      <c r="Q5" s="789" t="s">
        <v>339</v>
      </c>
      <c r="R5" s="790" t="s">
        <v>339</v>
      </c>
      <c r="S5" s="789" t="s">
        <v>340</v>
      </c>
      <c r="T5" s="790" t="s">
        <v>340</v>
      </c>
      <c r="U5" s="789" t="s">
        <v>339</v>
      </c>
      <c r="V5" s="790" t="s">
        <v>339</v>
      </c>
      <c r="W5" s="789" t="s">
        <v>339</v>
      </c>
      <c r="X5" s="790" t="s">
        <v>339</v>
      </c>
      <c r="Y5" s="789" t="s">
        <v>339</v>
      </c>
      <c r="Z5" s="790" t="s">
        <v>339</v>
      </c>
      <c r="AA5" s="789" t="s">
        <v>339</v>
      </c>
      <c r="AB5" s="790" t="s">
        <v>339</v>
      </c>
      <c r="AC5" s="789" t="s">
        <v>339</v>
      </c>
      <c r="AD5" s="790" t="s">
        <v>339</v>
      </c>
      <c r="AE5" s="789" t="s">
        <v>339</v>
      </c>
      <c r="AF5" s="790" t="s">
        <v>339</v>
      </c>
      <c r="AG5" s="789" t="s">
        <v>340</v>
      </c>
      <c r="AH5" s="790" t="s">
        <v>340</v>
      </c>
      <c r="AI5" s="803"/>
    </row>
    <row r="6" spans="1:35">
      <c r="A6" s="804"/>
      <c r="B6" s="782"/>
      <c r="C6" s="792" t="s">
        <v>328</v>
      </c>
      <c r="D6" s="792" t="s">
        <v>309</v>
      </c>
      <c r="E6" s="792" t="s">
        <v>330</v>
      </c>
      <c r="F6" s="796" t="s">
        <v>337</v>
      </c>
      <c r="G6" s="793" t="s">
        <v>327</v>
      </c>
      <c r="H6" s="794" t="s">
        <v>327</v>
      </c>
      <c r="I6" s="829" t="s">
        <v>327</v>
      </c>
      <c r="J6" s="830" t="s">
        <v>339</v>
      </c>
      <c r="K6" s="807" t="s">
        <v>339</v>
      </c>
      <c r="L6" s="806" t="s">
        <v>339</v>
      </c>
      <c r="M6" s="807" t="s">
        <v>339</v>
      </c>
      <c r="N6" s="806" t="s">
        <v>339</v>
      </c>
      <c r="O6" s="807" t="s">
        <v>339</v>
      </c>
      <c r="P6" s="806" t="s">
        <v>339</v>
      </c>
      <c r="Q6" s="807" t="s">
        <v>339</v>
      </c>
      <c r="R6" s="806" t="s">
        <v>339</v>
      </c>
      <c r="S6" s="807" t="s">
        <v>339</v>
      </c>
      <c r="T6" s="806" t="s">
        <v>339</v>
      </c>
      <c r="U6" s="807" t="s">
        <v>339</v>
      </c>
      <c r="V6" s="806" t="s">
        <v>339</v>
      </c>
      <c r="W6" s="807" t="s">
        <v>340</v>
      </c>
      <c r="X6" s="806" t="s">
        <v>340</v>
      </c>
      <c r="Y6" s="807" t="s">
        <v>339</v>
      </c>
      <c r="Z6" s="806" t="s">
        <v>339</v>
      </c>
      <c r="AA6" s="807" t="s">
        <v>339</v>
      </c>
      <c r="AB6" s="806" t="s">
        <v>339</v>
      </c>
      <c r="AC6" s="807" t="s">
        <v>339</v>
      </c>
      <c r="AD6" s="806" t="s">
        <v>339</v>
      </c>
      <c r="AE6" s="807" t="s">
        <v>339</v>
      </c>
      <c r="AF6" s="806" t="s">
        <v>339</v>
      </c>
      <c r="AG6" s="807" t="s">
        <v>339</v>
      </c>
      <c r="AH6" s="806" t="s">
        <v>339</v>
      </c>
      <c r="AI6" s="869"/>
    </row>
    <row r="7" spans="1:35" ht="15" thickBot="1">
      <c r="A7" s="804"/>
      <c r="B7" s="783"/>
      <c r="C7" s="870" t="s">
        <v>357</v>
      </c>
      <c r="D7" s="797" t="s">
        <v>309</v>
      </c>
      <c r="E7" s="797" t="s">
        <v>330</v>
      </c>
      <c r="F7" s="801" t="s">
        <v>338</v>
      </c>
      <c r="G7" s="798" t="s">
        <v>327</v>
      </c>
      <c r="H7" s="799" t="s">
        <v>327</v>
      </c>
      <c r="I7" s="827" t="s">
        <v>327</v>
      </c>
      <c r="J7" s="823" t="s">
        <v>339</v>
      </c>
      <c r="K7" s="800" t="s">
        <v>339</v>
      </c>
      <c r="L7" s="801" t="s">
        <v>339</v>
      </c>
      <c r="M7" s="800" t="s">
        <v>339</v>
      </c>
      <c r="N7" s="801" t="s">
        <v>339</v>
      </c>
      <c r="O7" s="800" t="s">
        <v>339</v>
      </c>
      <c r="P7" s="801" t="s">
        <v>339</v>
      </c>
      <c r="Q7" s="800" t="s">
        <v>339</v>
      </c>
      <c r="R7" s="801" t="s">
        <v>339</v>
      </c>
      <c r="S7" s="800" t="s">
        <v>339</v>
      </c>
      <c r="T7" s="801" t="s">
        <v>339</v>
      </c>
      <c r="U7" s="800" t="s">
        <v>339</v>
      </c>
      <c r="V7" s="801" t="s">
        <v>339</v>
      </c>
      <c r="W7" s="800" t="s">
        <v>339</v>
      </c>
      <c r="X7" s="801" t="s">
        <v>339</v>
      </c>
      <c r="Y7" s="800" t="s">
        <v>339</v>
      </c>
      <c r="Z7" s="801" t="s">
        <v>339</v>
      </c>
      <c r="AA7" s="800" t="s">
        <v>339</v>
      </c>
      <c r="AB7" s="801" t="s">
        <v>339</v>
      </c>
      <c r="AC7" s="800" t="s">
        <v>339</v>
      </c>
      <c r="AD7" s="801" t="s">
        <v>339</v>
      </c>
      <c r="AE7" s="800" t="s">
        <v>340</v>
      </c>
      <c r="AF7" s="801" t="s">
        <v>339</v>
      </c>
      <c r="AG7" s="800" t="s">
        <v>339</v>
      </c>
      <c r="AH7" s="801" t="s">
        <v>339</v>
      </c>
      <c r="AI7" s="802"/>
    </row>
    <row r="8" spans="1:35">
      <c r="A8" s="804"/>
      <c r="B8" s="781" t="s">
        <v>323</v>
      </c>
      <c r="C8" s="792" t="s">
        <v>315</v>
      </c>
      <c r="D8" s="792" t="s">
        <v>309</v>
      </c>
      <c r="E8" s="792" t="s">
        <v>316</v>
      </c>
      <c r="F8" s="790" t="s">
        <v>332</v>
      </c>
      <c r="G8" s="787" t="s">
        <v>317</v>
      </c>
      <c r="H8" s="788" t="s">
        <v>327</v>
      </c>
      <c r="I8" s="825" t="s">
        <v>327</v>
      </c>
      <c r="J8" s="831" t="s">
        <v>339</v>
      </c>
      <c r="K8" s="807" t="s">
        <v>339</v>
      </c>
      <c r="L8" s="806" t="s">
        <v>339</v>
      </c>
      <c r="M8" s="807" t="s">
        <v>339</v>
      </c>
      <c r="N8" s="806" t="s">
        <v>339</v>
      </c>
      <c r="O8" s="807" t="s">
        <v>339</v>
      </c>
      <c r="P8" s="806" t="s">
        <v>339</v>
      </c>
      <c r="Q8" s="807" t="s">
        <v>339</v>
      </c>
      <c r="R8" s="806" t="s">
        <v>339</v>
      </c>
      <c r="S8" s="807" t="s">
        <v>339</v>
      </c>
      <c r="T8" s="806" t="s">
        <v>339</v>
      </c>
      <c r="U8" s="807" t="s">
        <v>339</v>
      </c>
      <c r="V8" s="806" t="s">
        <v>339</v>
      </c>
      <c r="W8" s="807" t="s">
        <v>339</v>
      </c>
      <c r="X8" s="806" t="s">
        <v>339</v>
      </c>
      <c r="Y8" s="807" t="s">
        <v>339</v>
      </c>
      <c r="Z8" s="806" t="s">
        <v>339</v>
      </c>
      <c r="AA8" s="807" t="s">
        <v>339</v>
      </c>
      <c r="AB8" s="806" t="s">
        <v>339</v>
      </c>
      <c r="AC8" s="807" t="s">
        <v>339</v>
      </c>
      <c r="AD8" s="806" t="s">
        <v>339</v>
      </c>
      <c r="AE8" s="807" t="s">
        <v>339</v>
      </c>
      <c r="AF8" s="806" t="s">
        <v>339</v>
      </c>
      <c r="AG8" s="807" t="s">
        <v>339</v>
      </c>
      <c r="AH8" s="806" t="s">
        <v>339</v>
      </c>
      <c r="AI8" s="869"/>
    </row>
    <row r="9" spans="1:35" ht="15" thickBot="1">
      <c r="A9" s="804"/>
      <c r="B9" s="783"/>
      <c r="C9" s="797" t="s">
        <v>325</v>
      </c>
      <c r="D9" s="797" t="s">
        <v>310</v>
      </c>
      <c r="E9" s="797" t="s">
        <v>326</v>
      </c>
      <c r="F9" s="801" t="s">
        <v>334</v>
      </c>
      <c r="G9" s="798" t="s">
        <v>327</v>
      </c>
      <c r="H9" s="799" t="s">
        <v>327</v>
      </c>
      <c r="I9" s="827" t="s">
        <v>327</v>
      </c>
      <c r="J9" s="823" t="s">
        <v>339</v>
      </c>
      <c r="K9" s="800" t="s">
        <v>339</v>
      </c>
      <c r="L9" s="801" t="s">
        <v>339</v>
      </c>
      <c r="M9" s="800" t="s">
        <v>339</v>
      </c>
      <c r="N9" s="801" t="s">
        <v>339</v>
      </c>
      <c r="O9" s="800" t="s">
        <v>339</v>
      </c>
      <c r="P9" s="801" t="s">
        <v>339</v>
      </c>
      <c r="Q9" s="800" t="s">
        <v>339</v>
      </c>
      <c r="R9" s="801" t="s">
        <v>339</v>
      </c>
      <c r="S9" s="867" t="s">
        <v>340</v>
      </c>
      <c r="T9" s="801" t="s">
        <v>340</v>
      </c>
      <c r="U9" s="800" t="s">
        <v>339</v>
      </c>
      <c r="V9" s="801" t="s">
        <v>339</v>
      </c>
      <c r="W9" s="800" t="s">
        <v>339</v>
      </c>
      <c r="X9" s="801" t="s">
        <v>339</v>
      </c>
      <c r="Y9" s="800" t="s">
        <v>339</v>
      </c>
      <c r="Z9" s="801" t="s">
        <v>339</v>
      </c>
      <c r="AA9" s="800" t="s">
        <v>339</v>
      </c>
      <c r="AB9" s="801" t="s">
        <v>339</v>
      </c>
      <c r="AC9" s="800" t="s">
        <v>339</v>
      </c>
      <c r="AD9" s="801" t="s">
        <v>339</v>
      </c>
      <c r="AE9" s="800" t="s">
        <v>339</v>
      </c>
      <c r="AF9" s="801" t="s">
        <v>339</v>
      </c>
      <c r="AG9" s="800" t="s">
        <v>339</v>
      </c>
      <c r="AH9" s="801" t="s">
        <v>339</v>
      </c>
      <c r="AI9" s="802"/>
    </row>
    <row r="10" spans="1:35" ht="15" thickBot="1">
      <c r="A10" s="804"/>
      <c r="B10" s="792"/>
      <c r="C10" s="808"/>
      <c r="D10" s="808"/>
      <c r="E10" s="792"/>
      <c r="F10" s="792"/>
      <c r="G10" s="871" t="s">
        <v>358</v>
      </c>
      <c r="H10" s="784"/>
      <c r="I10" s="784"/>
      <c r="J10" s="785"/>
      <c r="K10" s="808"/>
      <c r="L10" s="808"/>
      <c r="M10" s="808"/>
      <c r="N10" s="808"/>
      <c r="O10" s="808"/>
      <c r="P10" s="808"/>
      <c r="Q10" s="808"/>
      <c r="R10" s="808"/>
      <c r="S10" s="808"/>
      <c r="T10" s="808"/>
      <c r="U10" s="809"/>
      <c r="V10" s="809"/>
      <c r="W10" s="809"/>
      <c r="X10" s="809"/>
      <c r="Y10" s="809"/>
      <c r="Z10" s="809"/>
      <c r="AA10" s="809"/>
      <c r="AB10" s="809"/>
      <c r="AC10" s="819"/>
      <c r="AD10" s="819"/>
      <c r="AE10" s="819"/>
      <c r="AF10" s="819"/>
      <c r="AG10" s="819"/>
      <c r="AH10" s="805"/>
    </row>
    <row r="11" spans="1:35" ht="16.5">
      <c r="A11" s="780"/>
      <c r="B11" s="804"/>
      <c r="C11" s="804"/>
      <c r="D11" s="804"/>
      <c r="E11" s="804"/>
      <c r="F11" s="804"/>
      <c r="G11" s="804"/>
      <c r="H11" s="804"/>
      <c r="I11" s="804"/>
      <c r="J11" s="804"/>
      <c r="K11" s="804"/>
      <c r="L11" s="804"/>
      <c r="M11" s="804"/>
      <c r="N11" s="804"/>
      <c r="O11" s="804"/>
      <c r="P11" s="804"/>
      <c r="Q11" s="804"/>
      <c r="R11" s="804"/>
      <c r="S11" s="804"/>
      <c r="T11" s="804"/>
      <c r="U11" s="804"/>
      <c r="V11" s="804"/>
      <c r="W11" s="804"/>
      <c r="X11" s="805"/>
      <c r="Y11" s="805"/>
      <c r="Z11" s="805"/>
      <c r="AA11" s="805"/>
      <c r="AB11" s="805"/>
      <c r="AC11" s="805"/>
      <c r="AD11" s="805"/>
      <c r="AE11" s="805"/>
      <c r="AF11" s="805"/>
      <c r="AG11" s="805"/>
      <c r="AH11" s="805"/>
    </row>
    <row r="12" spans="1:35" ht="17.25" thickBot="1">
      <c r="A12" s="780"/>
      <c r="B12" s="779"/>
      <c r="C12" s="804"/>
      <c r="D12" s="804"/>
      <c r="E12" s="778"/>
      <c r="F12" s="779"/>
      <c r="G12" s="804"/>
      <c r="H12" s="778"/>
      <c r="I12" s="804"/>
      <c r="J12" s="804"/>
      <c r="K12" s="804"/>
      <c r="L12" s="804"/>
      <c r="M12" s="804"/>
      <c r="N12" s="804"/>
      <c r="O12" s="804"/>
      <c r="P12" s="804"/>
      <c r="Q12" s="804"/>
      <c r="R12" s="804"/>
      <c r="S12" s="804"/>
      <c r="T12" s="804"/>
      <c r="U12" s="804"/>
      <c r="V12" s="804"/>
      <c r="W12" s="804"/>
      <c r="X12" s="805"/>
      <c r="Y12" s="805"/>
      <c r="Z12" s="805"/>
      <c r="AA12" s="805"/>
      <c r="AB12" s="805"/>
      <c r="AC12" s="805"/>
      <c r="AD12" s="805"/>
      <c r="AE12" s="805"/>
      <c r="AF12" s="805"/>
      <c r="AG12" s="805"/>
      <c r="AH12" s="805"/>
    </row>
    <row r="13" spans="1:35" ht="17.25" thickBot="1">
      <c r="A13" s="780"/>
      <c r="B13" s="885" t="s">
        <v>360</v>
      </c>
      <c r="C13" s="873" t="s">
        <v>320</v>
      </c>
      <c r="D13" s="873" t="s">
        <v>311</v>
      </c>
      <c r="E13" s="873" t="s">
        <v>312</v>
      </c>
      <c r="F13" s="883" t="s">
        <v>322</v>
      </c>
      <c r="G13" s="875" t="s">
        <v>341</v>
      </c>
      <c r="H13" s="876"/>
      <c r="I13" s="876"/>
      <c r="J13" s="877"/>
      <c r="K13" s="815" t="s">
        <v>349</v>
      </c>
      <c r="L13" s="866"/>
      <c r="M13" s="866"/>
      <c r="N13" s="816"/>
      <c r="O13" s="815" t="s">
        <v>350</v>
      </c>
      <c r="P13" s="866"/>
      <c r="Q13" s="866"/>
      <c r="R13" s="816"/>
      <c r="S13" s="815" t="s">
        <v>351</v>
      </c>
      <c r="T13" s="866"/>
      <c r="U13" s="866"/>
      <c r="V13" s="816"/>
      <c r="W13" s="815" t="s">
        <v>352</v>
      </c>
      <c r="X13" s="866"/>
      <c r="Y13" s="866"/>
      <c r="Z13" s="816"/>
      <c r="AA13" s="815" t="s">
        <v>353</v>
      </c>
      <c r="AB13" s="866"/>
      <c r="AC13" s="866"/>
      <c r="AD13" s="816"/>
      <c r="AE13" s="815" t="s">
        <v>354</v>
      </c>
      <c r="AF13" s="866"/>
      <c r="AG13" s="866"/>
      <c r="AH13" s="816"/>
      <c r="AI13" s="890" t="s">
        <v>359</v>
      </c>
    </row>
    <row r="14" spans="1:35" ht="17.25" thickBot="1">
      <c r="A14" s="780"/>
      <c r="B14" s="881"/>
      <c r="C14" s="874"/>
      <c r="D14" s="874"/>
      <c r="E14" s="874"/>
      <c r="F14" s="884"/>
      <c r="G14" s="878"/>
      <c r="H14" s="879"/>
      <c r="I14" s="879"/>
      <c r="J14" s="880"/>
      <c r="K14" s="888" t="s">
        <v>361</v>
      </c>
      <c r="L14" s="886"/>
      <c r="M14" s="889" t="s">
        <v>363</v>
      </c>
      <c r="N14" s="865"/>
      <c r="O14" s="888" t="s">
        <v>361</v>
      </c>
      <c r="P14" s="886"/>
      <c r="Q14" s="889" t="s">
        <v>363</v>
      </c>
      <c r="R14" s="865"/>
      <c r="S14" s="888" t="s">
        <v>361</v>
      </c>
      <c r="T14" s="886"/>
      <c r="U14" s="889" t="s">
        <v>363</v>
      </c>
      <c r="V14" s="865"/>
      <c r="W14" s="888" t="s">
        <v>361</v>
      </c>
      <c r="X14" s="886"/>
      <c r="Y14" s="889" t="s">
        <v>363</v>
      </c>
      <c r="Z14" s="865"/>
      <c r="AA14" s="888" t="s">
        <v>361</v>
      </c>
      <c r="AB14" s="886"/>
      <c r="AC14" s="889" t="s">
        <v>363</v>
      </c>
      <c r="AD14" s="865"/>
      <c r="AE14" s="888" t="s">
        <v>361</v>
      </c>
      <c r="AF14" s="886"/>
      <c r="AG14" s="889" t="s">
        <v>363</v>
      </c>
      <c r="AH14" s="865"/>
      <c r="AI14" s="891"/>
    </row>
    <row r="15" spans="1:35" ht="16.5">
      <c r="A15" s="780"/>
      <c r="B15" s="781" t="s">
        <v>318</v>
      </c>
      <c r="C15" s="786" t="s">
        <v>335</v>
      </c>
      <c r="D15" s="786" t="s">
        <v>329</v>
      </c>
      <c r="E15" s="786" t="s">
        <v>330</v>
      </c>
      <c r="F15" s="790" t="s">
        <v>331</v>
      </c>
      <c r="G15" s="832" t="s">
        <v>342</v>
      </c>
      <c r="H15" s="845"/>
      <c r="I15" s="845"/>
      <c r="J15" s="833"/>
      <c r="K15" s="856">
        <v>91</v>
      </c>
      <c r="L15" s="860"/>
      <c r="M15" s="860">
        <v>90</v>
      </c>
      <c r="N15" s="857"/>
      <c r="O15" s="856">
        <v>92</v>
      </c>
      <c r="P15" s="860"/>
      <c r="Q15" s="860">
        <v>91</v>
      </c>
      <c r="R15" s="857"/>
      <c r="S15" s="856">
        <v>93</v>
      </c>
      <c r="T15" s="860"/>
      <c r="U15" s="860">
        <v>90</v>
      </c>
      <c r="V15" s="857"/>
      <c r="W15" s="856">
        <v>95</v>
      </c>
      <c r="X15" s="860"/>
      <c r="Y15" s="860">
        <v>95</v>
      </c>
      <c r="Z15" s="857"/>
      <c r="AA15" s="856">
        <v>70</v>
      </c>
      <c r="AB15" s="860"/>
      <c r="AC15" s="860"/>
      <c r="AD15" s="857"/>
      <c r="AE15" s="856">
        <v>93</v>
      </c>
      <c r="AF15" s="860"/>
      <c r="AG15" s="860"/>
      <c r="AH15" s="857"/>
      <c r="AI15" s="803">
        <f>(K15+M15+O15+Q15+S15+U15+W15+Y15+AA15+AE15)/10</f>
        <v>90</v>
      </c>
    </row>
    <row r="16" spans="1:35" ht="17.25" thickBot="1">
      <c r="A16" s="780"/>
      <c r="B16" s="783"/>
      <c r="C16" s="887" t="s">
        <v>362</v>
      </c>
      <c r="D16" s="792" t="s">
        <v>309</v>
      </c>
      <c r="E16" s="792" t="s">
        <v>330</v>
      </c>
      <c r="F16" s="792" t="s">
        <v>333</v>
      </c>
      <c r="G16" s="836" t="s">
        <v>343</v>
      </c>
      <c r="H16" s="837"/>
      <c r="I16" s="837"/>
      <c r="J16" s="838"/>
      <c r="K16" s="850">
        <v>95</v>
      </c>
      <c r="L16" s="861"/>
      <c r="M16" s="861">
        <v>95</v>
      </c>
      <c r="N16" s="851"/>
      <c r="O16" s="850">
        <v>96</v>
      </c>
      <c r="P16" s="861"/>
      <c r="Q16" s="861">
        <v>95</v>
      </c>
      <c r="R16" s="851"/>
      <c r="S16" s="858">
        <v>97</v>
      </c>
      <c r="T16" s="864"/>
      <c r="U16" s="864">
        <v>99</v>
      </c>
      <c r="V16" s="859"/>
      <c r="W16" s="858">
        <v>97</v>
      </c>
      <c r="X16" s="864"/>
      <c r="Y16" s="864">
        <v>100</v>
      </c>
      <c r="Z16" s="859"/>
      <c r="AA16" s="858">
        <v>97</v>
      </c>
      <c r="AB16" s="864"/>
      <c r="AC16" s="864"/>
      <c r="AD16" s="859"/>
      <c r="AE16" s="858">
        <v>98</v>
      </c>
      <c r="AF16" s="864"/>
      <c r="AG16" s="864"/>
      <c r="AH16" s="859"/>
      <c r="AI16" s="802">
        <f t="shared" ref="AI16:AI21" si="0">(K16+M16+O16+Q16+S16+U16+W16+Y16+AA16+AE16)/10</f>
        <v>96.9</v>
      </c>
    </row>
    <row r="17" spans="1:35" ht="16.5">
      <c r="A17" s="780"/>
      <c r="B17" s="781" t="s">
        <v>324</v>
      </c>
      <c r="C17" s="786" t="s">
        <v>321</v>
      </c>
      <c r="D17" s="786" t="s">
        <v>309</v>
      </c>
      <c r="E17" s="786" t="s">
        <v>330</v>
      </c>
      <c r="F17" s="790" t="s">
        <v>336</v>
      </c>
      <c r="G17" s="842" t="s">
        <v>344</v>
      </c>
      <c r="H17" s="843"/>
      <c r="I17" s="843"/>
      <c r="J17" s="844"/>
      <c r="K17" s="856">
        <v>83</v>
      </c>
      <c r="L17" s="860"/>
      <c r="M17" s="860">
        <v>90</v>
      </c>
      <c r="N17" s="857"/>
      <c r="O17" s="856">
        <v>91</v>
      </c>
      <c r="P17" s="860"/>
      <c r="Q17" s="860">
        <v>83</v>
      </c>
      <c r="R17" s="857"/>
      <c r="S17" s="856">
        <v>70</v>
      </c>
      <c r="T17" s="860"/>
      <c r="U17" s="860">
        <v>70</v>
      </c>
      <c r="V17" s="857"/>
      <c r="W17" s="856">
        <v>96</v>
      </c>
      <c r="X17" s="860"/>
      <c r="Y17" s="860">
        <v>93</v>
      </c>
      <c r="Z17" s="857"/>
      <c r="AA17" s="856">
        <v>94</v>
      </c>
      <c r="AB17" s="860"/>
      <c r="AC17" s="860"/>
      <c r="AD17" s="857"/>
      <c r="AE17" s="856">
        <v>91</v>
      </c>
      <c r="AF17" s="860"/>
      <c r="AG17" s="860"/>
      <c r="AH17" s="857"/>
      <c r="AI17" s="803">
        <f t="shared" si="0"/>
        <v>86.1</v>
      </c>
    </row>
    <row r="18" spans="1:35" ht="16.5">
      <c r="A18" s="780"/>
      <c r="B18" s="782"/>
      <c r="C18" s="792" t="s">
        <v>328</v>
      </c>
      <c r="D18" s="792" t="s">
        <v>309</v>
      </c>
      <c r="E18" s="792" t="s">
        <v>330</v>
      </c>
      <c r="F18" s="796" t="s">
        <v>337</v>
      </c>
      <c r="G18" s="846" t="s">
        <v>345</v>
      </c>
      <c r="H18" s="847"/>
      <c r="I18" s="847"/>
      <c r="J18" s="848"/>
      <c r="K18" s="852">
        <v>81</v>
      </c>
      <c r="L18" s="862"/>
      <c r="M18" s="862">
        <v>85</v>
      </c>
      <c r="N18" s="855"/>
      <c r="O18" s="852">
        <v>96</v>
      </c>
      <c r="P18" s="862"/>
      <c r="Q18" s="862">
        <v>88</v>
      </c>
      <c r="R18" s="855"/>
      <c r="S18" s="852">
        <v>95</v>
      </c>
      <c r="T18" s="862"/>
      <c r="U18" s="862">
        <v>98</v>
      </c>
      <c r="V18" s="855"/>
      <c r="W18" s="852">
        <v>70</v>
      </c>
      <c r="X18" s="862"/>
      <c r="Y18" s="862">
        <v>70</v>
      </c>
      <c r="Z18" s="855"/>
      <c r="AA18" s="852">
        <v>97</v>
      </c>
      <c r="AB18" s="862"/>
      <c r="AC18" s="862"/>
      <c r="AD18" s="855"/>
      <c r="AE18" s="852">
        <v>94</v>
      </c>
      <c r="AF18" s="862"/>
      <c r="AG18" s="862"/>
      <c r="AH18" s="855"/>
      <c r="AI18" s="791">
        <f t="shared" si="0"/>
        <v>87.4</v>
      </c>
    </row>
    <row r="19" spans="1:35" ht="17.25" thickBot="1">
      <c r="A19" s="780"/>
      <c r="B19" s="783"/>
      <c r="C19" s="797" t="s">
        <v>313</v>
      </c>
      <c r="D19" s="797" t="s">
        <v>309</v>
      </c>
      <c r="E19" s="797" t="s">
        <v>330</v>
      </c>
      <c r="F19" s="801" t="s">
        <v>338</v>
      </c>
      <c r="G19" s="834" t="s">
        <v>346</v>
      </c>
      <c r="H19" s="849"/>
      <c r="I19" s="849"/>
      <c r="J19" s="835"/>
      <c r="K19" s="850">
        <v>92</v>
      </c>
      <c r="L19" s="861"/>
      <c r="M19" s="861">
        <v>95</v>
      </c>
      <c r="N19" s="851"/>
      <c r="O19" s="850">
        <v>96</v>
      </c>
      <c r="P19" s="861"/>
      <c r="Q19" s="861">
        <v>96</v>
      </c>
      <c r="R19" s="851"/>
      <c r="S19" s="850">
        <v>95</v>
      </c>
      <c r="T19" s="861"/>
      <c r="U19" s="861">
        <v>96</v>
      </c>
      <c r="V19" s="851"/>
      <c r="W19" s="850">
        <v>93</v>
      </c>
      <c r="X19" s="861"/>
      <c r="Y19" s="861">
        <v>99</v>
      </c>
      <c r="Z19" s="851"/>
      <c r="AA19" s="850">
        <v>99</v>
      </c>
      <c r="AB19" s="861"/>
      <c r="AC19" s="861"/>
      <c r="AD19" s="851"/>
      <c r="AE19" s="850">
        <v>70</v>
      </c>
      <c r="AF19" s="861"/>
      <c r="AG19" s="861"/>
      <c r="AH19" s="851"/>
      <c r="AI19" s="802">
        <f t="shared" si="0"/>
        <v>93.1</v>
      </c>
    </row>
    <row r="20" spans="1:35" ht="16.5">
      <c r="A20" s="780"/>
      <c r="B20" s="781" t="s">
        <v>323</v>
      </c>
      <c r="C20" s="792" t="s">
        <v>315</v>
      </c>
      <c r="D20" s="792" t="s">
        <v>309</v>
      </c>
      <c r="E20" s="786" t="s">
        <v>316</v>
      </c>
      <c r="F20" s="796" t="s">
        <v>332</v>
      </c>
      <c r="G20" s="839" t="s">
        <v>347</v>
      </c>
      <c r="H20" s="840"/>
      <c r="I20" s="840"/>
      <c r="J20" s="841"/>
      <c r="K20" s="853">
        <v>85</v>
      </c>
      <c r="L20" s="863"/>
      <c r="M20" s="863">
        <v>90</v>
      </c>
      <c r="N20" s="854"/>
      <c r="O20" s="853">
        <v>92</v>
      </c>
      <c r="P20" s="863"/>
      <c r="Q20" s="863">
        <v>92</v>
      </c>
      <c r="R20" s="854"/>
      <c r="S20" s="853">
        <v>88</v>
      </c>
      <c r="T20" s="863"/>
      <c r="U20" s="863">
        <v>98</v>
      </c>
      <c r="V20" s="854"/>
      <c r="W20" s="853">
        <v>88</v>
      </c>
      <c r="X20" s="863"/>
      <c r="Y20" s="863">
        <v>96</v>
      </c>
      <c r="Z20" s="854"/>
      <c r="AA20" s="853">
        <v>90</v>
      </c>
      <c r="AB20" s="863"/>
      <c r="AC20" s="863"/>
      <c r="AD20" s="854"/>
      <c r="AE20" s="853">
        <v>95</v>
      </c>
      <c r="AF20" s="863"/>
      <c r="AG20" s="863"/>
      <c r="AH20" s="854"/>
      <c r="AI20" s="803">
        <f t="shared" si="0"/>
        <v>91.4</v>
      </c>
    </row>
    <row r="21" spans="1:35" ht="17.25" thickBot="1">
      <c r="A21" s="780"/>
      <c r="B21" s="783"/>
      <c r="C21" s="797" t="s">
        <v>325</v>
      </c>
      <c r="D21" s="797" t="s">
        <v>310</v>
      </c>
      <c r="E21" s="797" t="s">
        <v>326</v>
      </c>
      <c r="F21" s="801" t="s">
        <v>334</v>
      </c>
      <c r="G21" s="834" t="s">
        <v>348</v>
      </c>
      <c r="H21" s="849"/>
      <c r="I21" s="849"/>
      <c r="J21" s="835"/>
      <c r="K21" s="850">
        <v>88</v>
      </c>
      <c r="L21" s="861"/>
      <c r="M21" s="861">
        <v>90</v>
      </c>
      <c r="N21" s="851"/>
      <c r="O21" s="850">
        <v>93</v>
      </c>
      <c r="P21" s="861"/>
      <c r="Q21" s="861">
        <v>86</v>
      </c>
      <c r="R21" s="851"/>
      <c r="S21" s="850">
        <v>70</v>
      </c>
      <c r="T21" s="861"/>
      <c r="U21" s="861">
        <v>70</v>
      </c>
      <c r="V21" s="851"/>
      <c r="W21" s="850">
        <v>90</v>
      </c>
      <c r="X21" s="861"/>
      <c r="Y21" s="861">
        <v>87</v>
      </c>
      <c r="Z21" s="851"/>
      <c r="AA21" s="850">
        <v>94</v>
      </c>
      <c r="AB21" s="861"/>
      <c r="AC21" s="861"/>
      <c r="AD21" s="851"/>
      <c r="AE21" s="850">
        <v>93</v>
      </c>
      <c r="AF21" s="861"/>
      <c r="AG21" s="861"/>
      <c r="AH21" s="851"/>
      <c r="AI21" s="802">
        <f t="shared" si="0"/>
        <v>86.1</v>
      </c>
    </row>
    <row r="22" spans="1:35" ht="16.5">
      <c r="A22" s="780"/>
      <c r="B22" s="792"/>
      <c r="C22" s="808"/>
      <c r="D22" s="808"/>
      <c r="E22" s="792"/>
      <c r="F22" s="792"/>
      <c r="G22" s="808"/>
      <c r="H22" s="808"/>
      <c r="I22" s="808"/>
      <c r="J22" s="808"/>
      <c r="K22" s="808"/>
      <c r="L22" s="808"/>
      <c r="M22" s="808"/>
      <c r="N22" s="808"/>
      <c r="O22" s="808"/>
      <c r="P22" s="808"/>
      <c r="Q22" s="809"/>
      <c r="R22" s="809"/>
      <c r="S22" s="809"/>
      <c r="T22" s="809"/>
      <c r="U22" s="809"/>
      <c r="V22" s="809"/>
      <c r="W22" s="809"/>
      <c r="X22" s="809"/>
      <c r="Y22" s="819"/>
      <c r="Z22" s="819"/>
      <c r="AA22" s="819"/>
      <c r="AB22" s="819"/>
      <c r="AC22" s="819"/>
      <c r="AD22" s="805"/>
    </row>
    <row r="23" spans="1:35" ht="16.5">
      <c r="A23" s="780"/>
    </row>
    <row r="24" spans="1:35" ht="17.25" thickBot="1">
      <c r="A24" s="780"/>
    </row>
    <row r="25" spans="1:35" ht="17.25" thickBot="1">
      <c r="A25" s="780"/>
      <c r="B25" s="810" t="s">
        <v>314</v>
      </c>
      <c r="C25" s="811" t="s">
        <v>320</v>
      </c>
      <c r="D25" s="812" t="s">
        <v>311</v>
      </c>
      <c r="E25" s="812" t="s">
        <v>312</v>
      </c>
      <c r="F25" s="882" t="s">
        <v>322</v>
      </c>
      <c r="G25" s="817">
        <v>44861</v>
      </c>
      <c r="H25" s="818"/>
      <c r="I25" s="815">
        <v>44866</v>
      </c>
      <c r="J25" s="816"/>
      <c r="K25" s="817">
        <v>44868</v>
      </c>
      <c r="L25" s="818"/>
      <c r="M25" s="815">
        <v>44873</v>
      </c>
      <c r="N25" s="816"/>
      <c r="O25" s="817">
        <v>44875</v>
      </c>
      <c r="P25" s="818"/>
      <c r="Q25" s="815">
        <v>44880</v>
      </c>
      <c r="R25" s="816"/>
      <c r="S25" s="817">
        <v>44882</v>
      </c>
      <c r="T25" s="818"/>
      <c r="U25" s="815">
        <v>44887</v>
      </c>
      <c r="V25" s="816"/>
      <c r="W25" s="817">
        <v>44889</v>
      </c>
      <c r="X25" s="818"/>
      <c r="Y25" s="815">
        <v>44894</v>
      </c>
      <c r="Z25" s="816"/>
      <c r="AA25" s="817">
        <v>44896</v>
      </c>
      <c r="AB25" s="818"/>
      <c r="AC25" s="815">
        <v>44901</v>
      </c>
      <c r="AD25" s="816"/>
      <c r="AE25" s="817">
        <v>44903</v>
      </c>
      <c r="AF25" s="818"/>
      <c r="AG25" s="815">
        <v>44908</v>
      </c>
      <c r="AH25" s="816"/>
      <c r="AI25" s="872" t="s">
        <v>356</v>
      </c>
    </row>
    <row r="26" spans="1:35" ht="16.5">
      <c r="A26" s="780"/>
      <c r="B26" s="781" t="s">
        <v>318</v>
      </c>
      <c r="C26" s="786" t="s">
        <v>335</v>
      </c>
      <c r="D26" s="786" t="s">
        <v>329</v>
      </c>
      <c r="E26" s="786" t="s">
        <v>330</v>
      </c>
      <c r="F26" s="790" t="s">
        <v>331</v>
      </c>
      <c r="G26" s="795"/>
      <c r="H26" s="796"/>
      <c r="I26" s="789"/>
      <c r="J26" s="790"/>
      <c r="K26" s="789"/>
      <c r="L26" s="790"/>
      <c r="M26" s="789"/>
      <c r="N26" s="790"/>
      <c r="O26" s="789"/>
      <c r="P26" s="790"/>
      <c r="Q26" s="789"/>
      <c r="R26" s="790"/>
      <c r="S26" s="789"/>
      <c r="T26" s="790"/>
      <c r="U26" s="789"/>
      <c r="V26" s="790"/>
      <c r="W26" s="789"/>
      <c r="X26" s="790"/>
      <c r="Y26" s="789"/>
      <c r="Z26" s="790"/>
      <c r="AA26" s="868"/>
      <c r="AB26" s="790"/>
      <c r="AC26" s="789"/>
      <c r="AD26" s="790"/>
      <c r="AE26" s="868"/>
      <c r="AF26" s="790"/>
      <c r="AG26" s="789"/>
      <c r="AH26" s="790"/>
      <c r="AI26" s="803"/>
    </row>
    <row r="27" spans="1:35" ht="17.25" thickBot="1">
      <c r="A27" s="780"/>
      <c r="B27" s="783"/>
      <c r="C27" s="792" t="s">
        <v>319</v>
      </c>
      <c r="D27" s="792" t="s">
        <v>309</v>
      </c>
      <c r="E27" s="792" t="s">
        <v>330</v>
      </c>
      <c r="F27" s="801" t="s">
        <v>333</v>
      </c>
      <c r="G27" s="800"/>
      <c r="H27" s="801"/>
      <c r="I27" s="800"/>
      <c r="J27" s="801"/>
      <c r="K27" s="795"/>
      <c r="L27" s="796"/>
      <c r="M27" s="795"/>
      <c r="N27" s="796"/>
      <c r="O27" s="795"/>
      <c r="P27" s="806"/>
      <c r="Q27" s="807"/>
      <c r="R27" s="806"/>
      <c r="S27" s="807"/>
      <c r="T27" s="806"/>
      <c r="U27" s="807"/>
      <c r="V27" s="806"/>
      <c r="W27" s="807"/>
      <c r="X27" s="806"/>
      <c r="Y27" s="807"/>
      <c r="Z27" s="806"/>
      <c r="AA27" s="807"/>
      <c r="AB27" s="806"/>
      <c r="AC27" s="807"/>
      <c r="AD27" s="806"/>
      <c r="AE27" s="807"/>
      <c r="AF27" s="806"/>
      <c r="AG27" s="807"/>
      <c r="AH27" s="806"/>
      <c r="AI27" s="869"/>
    </row>
    <row r="28" spans="1:35" ht="16.5">
      <c r="A28" s="780"/>
      <c r="B28" s="781" t="s">
        <v>324</v>
      </c>
      <c r="C28" s="786" t="s">
        <v>321</v>
      </c>
      <c r="D28" s="786" t="s">
        <v>309</v>
      </c>
      <c r="E28" s="786" t="s">
        <v>330</v>
      </c>
      <c r="F28" s="790" t="s">
        <v>336</v>
      </c>
      <c r="G28" s="789"/>
      <c r="H28" s="790"/>
      <c r="I28" s="789"/>
      <c r="J28" s="790"/>
      <c r="K28" s="789"/>
      <c r="L28" s="790"/>
      <c r="M28" s="789"/>
      <c r="N28" s="790"/>
      <c r="O28" s="789"/>
      <c r="P28" s="790"/>
      <c r="Q28" s="789"/>
      <c r="R28" s="790"/>
      <c r="S28" s="789"/>
      <c r="T28" s="790"/>
      <c r="U28" s="789"/>
      <c r="V28" s="790"/>
      <c r="W28" s="789"/>
      <c r="X28" s="790"/>
      <c r="Y28" s="789"/>
      <c r="Z28" s="790"/>
      <c r="AA28" s="789"/>
      <c r="AB28" s="790"/>
      <c r="AC28" s="789"/>
      <c r="AD28" s="790"/>
      <c r="AE28" s="789"/>
      <c r="AF28" s="790"/>
      <c r="AG28" s="789"/>
      <c r="AH28" s="790"/>
      <c r="AI28" s="803"/>
    </row>
    <row r="29" spans="1:35" ht="16.5">
      <c r="A29" s="780"/>
      <c r="B29" s="782"/>
      <c r="C29" s="792" t="s">
        <v>328</v>
      </c>
      <c r="D29" s="792" t="s">
        <v>309</v>
      </c>
      <c r="E29" s="792" t="s">
        <v>330</v>
      </c>
      <c r="F29" s="796" t="s">
        <v>337</v>
      </c>
      <c r="G29" s="795"/>
      <c r="H29" s="796"/>
      <c r="I29" s="795"/>
      <c r="J29" s="892"/>
      <c r="K29" s="807"/>
      <c r="L29" s="806"/>
      <c r="M29" s="807"/>
      <c r="N29" s="806"/>
      <c r="O29" s="807"/>
      <c r="P29" s="806"/>
      <c r="Q29" s="807"/>
      <c r="R29" s="806"/>
      <c r="S29" s="807"/>
      <c r="T29" s="806"/>
      <c r="U29" s="807"/>
      <c r="V29" s="806"/>
      <c r="W29" s="807"/>
      <c r="X29" s="806"/>
      <c r="Y29" s="807"/>
      <c r="Z29" s="806"/>
      <c r="AA29" s="807"/>
      <c r="AB29" s="806"/>
      <c r="AC29" s="807"/>
      <c r="AD29" s="806"/>
      <c r="AE29" s="807"/>
      <c r="AF29" s="806"/>
      <c r="AG29" s="807"/>
      <c r="AH29" s="806"/>
      <c r="AI29" s="869"/>
    </row>
    <row r="30" spans="1:35" ht="17.25" thickBot="1">
      <c r="A30" s="780"/>
      <c r="B30" s="783"/>
      <c r="C30" s="870" t="s">
        <v>357</v>
      </c>
      <c r="D30" s="797" t="s">
        <v>309</v>
      </c>
      <c r="E30" s="797" t="s">
        <v>330</v>
      </c>
      <c r="F30" s="801" t="s">
        <v>338</v>
      </c>
      <c r="G30" s="800"/>
      <c r="H30" s="801"/>
      <c r="I30" s="800"/>
      <c r="J30" s="801"/>
      <c r="K30" s="800"/>
      <c r="L30" s="801"/>
      <c r="M30" s="800"/>
      <c r="N30" s="801"/>
      <c r="O30" s="800"/>
      <c r="P30" s="801"/>
      <c r="Q30" s="800"/>
      <c r="R30" s="801"/>
      <c r="S30" s="800"/>
      <c r="T30" s="801"/>
      <c r="U30" s="800"/>
      <c r="V30" s="801"/>
      <c r="W30" s="800"/>
      <c r="X30" s="801"/>
      <c r="Y30" s="800"/>
      <c r="Z30" s="801"/>
      <c r="AA30" s="800"/>
      <c r="AB30" s="801"/>
      <c r="AC30" s="800"/>
      <c r="AD30" s="801"/>
      <c r="AE30" s="800"/>
      <c r="AF30" s="801"/>
      <c r="AG30" s="800"/>
      <c r="AH30" s="801"/>
      <c r="AI30" s="802"/>
    </row>
    <row r="31" spans="1:35" ht="16.5">
      <c r="A31" s="780"/>
      <c r="B31" s="781" t="s">
        <v>323</v>
      </c>
      <c r="C31" s="792" t="s">
        <v>315</v>
      </c>
      <c r="D31" s="792" t="s">
        <v>309</v>
      </c>
      <c r="E31" s="792" t="s">
        <v>316</v>
      </c>
      <c r="F31" s="790" t="s">
        <v>332</v>
      </c>
      <c r="G31" s="789"/>
      <c r="H31" s="790"/>
      <c r="I31" s="789"/>
      <c r="J31" s="893"/>
      <c r="K31" s="807"/>
      <c r="L31" s="806"/>
      <c r="M31" s="807"/>
      <c r="N31" s="806"/>
      <c r="O31" s="807"/>
      <c r="P31" s="806"/>
      <c r="Q31" s="807"/>
      <c r="R31" s="806"/>
      <c r="S31" s="807"/>
      <c r="T31" s="806"/>
      <c r="U31" s="807"/>
      <c r="V31" s="806"/>
      <c r="W31" s="807"/>
      <c r="X31" s="806"/>
      <c r="Y31" s="807"/>
      <c r="Z31" s="806"/>
      <c r="AA31" s="807"/>
      <c r="AB31" s="806"/>
      <c r="AC31" s="807"/>
      <c r="AD31" s="806"/>
      <c r="AE31" s="807"/>
      <c r="AF31" s="806"/>
      <c r="AG31" s="807"/>
      <c r="AH31" s="806"/>
      <c r="AI31" s="869"/>
    </row>
    <row r="32" spans="1:35" ht="17.25" thickBot="1">
      <c r="A32" s="780"/>
      <c r="B32" s="783"/>
      <c r="C32" s="797" t="s">
        <v>325</v>
      </c>
      <c r="D32" s="797" t="s">
        <v>310</v>
      </c>
      <c r="E32" s="797" t="s">
        <v>326</v>
      </c>
      <c r="F32" s="801" t="s">
        <v>334</v>
      </c>
      <c r="G32" s="800"/>
      <c r="H32" s="801"/>
      <c r="I32" s="800"/>
      <c r="J32" s="801"/>
      <c r="K32" s="800"/>
      <c r="L32" s="801"/>
      <c r="M32" s="800"/>
      <c r="N32" s="801"/>
      <c r="O32" s="800"/>
      <c r="P32" s="801"/>
      <c r="Q32" s="800"/>
      <c r="R32" s="801"/>
      <c r="S32" s="867"/>
      <c r="T32" s="801"/>
      <c r="U32" s="800"/>
      <c r="V32" s="801"/>
      <c r="W32" s="800"/>
      <c r="X32" s="801"/>
      <c r="Y32" s="800"/>
      <c r="Z32" s="801"/>
      <c r="AA32" s="800"/>
      <c r="AB32" s="801"/>
      <c r="AC32" s="800"/>
      <c r="AD32" s="801"/>
      <c r="AE32" s="800"/>
      <c r="AF32" s="801"/>
      <c r="AG32" s="800"/>
      <c r="AH32" s="801"/>
      <c r="AI32" s="802"/>
    </row>
    <row r="33" spans="1:35" ht="16.5">
      <c r="A33" s="780"/>
      <c r="B33" s="792"/>
      <c r="C33" s="808"/>
      <c r="D33" s="808"/>
      <c r="E33" s="792"/>
      <c r="F33" s="792"/>
      <c r="G33" s="808"/>
      <c r="H33" s="808"/>
      <c r="I33" s="808"/>
      <c r="J33" s="808"/>
      <c r="K33" s="808"/>
      <c r="L33" s="808"/>
      <c r="M33" s="808"/>
      <c r="N33" s="808"/>
      <c r="O33" s="808"/>
      <c r="P33" s="808"/>
      <c r="Q33" s="809"/>
      <c r="R33" s="809"/>
      <c r="S33" s="809"/>
      <c r="T33" s="809"/>
      <c r="U33" s="809"/>
      <c r="V33" s="809"/>
      <c r="W33" s="809"/>
      <c r="X33" s="809"/>
      <c r="Y33" s="819"/>
      <c r="Z33" s="819"/>
      <c r="AA33" s="819"/>
      <c r="AB33" s="819"/>
      <c r="AC33" s="819"/>
      <c r="AD33" s="805"/>
    </row>
    <row r="34" spans="1:35" ht="16.5">
      <c r="A34" s="780"/>
      <c r="B34" s="804"/>
      <c r="C34" s="804"/>
      <c r="D34" s="804"/>
      <c r="E34" s="804"/>
      <c r="F34" s="804"/>
      <c r="G34" s="804"/>
      <c r="H34" s="804"/>
      <c r="I34" s="804"/>
      <c r="J34" s="804"/>
      <c r="K34" s="804"/>
      <c r="L34" s="804"/>
      <c r="M34" s="804"/>
      <c r="N34" s="804"/>
      <c r="O34" s="804"/>
      <c r="P34" s="804"/>
      <c r="Q34" s="804"/>
      <c r="R34" s="804"/>
      <c r="S34" s="804"/>
      <c r="T34" s="804"/>
      <c r="U34" s="804"/>
      <c r="V34" s="804"/>
      <c r="W34" s="804"/>
      <c r="X34" s="805"/>
      <c r="Y34" s="805"/>
      <c r="Z34" s="805"/>
      <c r="AA34" s="805"/>
      <c r="AB34" s="805"/>
      <c r="AC34" s="805"/>
      <c r="AD34" s="805"/>
      <c r="AE34" s="805"/>
      <c r="AF34" s="805"/>
      <c r="AG34" s="805"/>
      <c r="AH34" s="805"/>
    </row>
    <row r="35" spans="1:35" ht="17.25" thickBot="1">
      <c r="A35" s="780"/>
      <c r="B35" s="779"/>
      <c r="C35" s="804"/>
      <c r="D35" s="804"/>
      <c r="E35" s="778"/>
      <c r="F35" s="779"/>
      <c r="G35" s="804"/>
      <c r="H35" s="778"/>
      <c r="I35" s="804"/>
      <c r="J35" s="804"/>
      <c r="K35" s="804"/>
      <c r="L35" s="804"/>
      <c r="M35" s="804"/>
      <c r="N35" s="804"/>
      <c r="O35" s="804"/>
      <c r="P35" s="804"/>
      <c r="Q35" s="804"/>
      <c r="R35" s="804"/>
      <c r="S35" s="804"/>
      <c r="T35" s="804"/>
      <c r="U35" s="804"/>
      <c r="V35" s="804"/>
      <c r="W35" s="804"/>
      <c r="X35" s="805"/>
      <c r="Y35" s="805"/>
      <c r="Z35" s="805"/>
      <c r="AA35" s="805"/>
      <c r="AB35" s="805"/>
      <c r="AC35" s="805"/>
      <c r="AD35" s="805"/>
      <c r="AE35" s="805"/>
      <c r="AF35" s="805"/>
      <c r="AG35" s="805"/>
      <c r="AH35" s="805"/>
    </row>
    <row r="36" spans="1:35" ht="17.25" thickBot="1">
      <c r="A36" s="780"/>
      <c r="B36" s="885" t="s">
        <v>360</v>
      </c>
      <c r="C36" s="873" t="s">
        <v>320</v>
      </c>
      <c r="D36" s="873" t="s">
        <v>311</v>
      </c>
      <c r="E36" s="873" t="s">
        <v>312</v>
      </c>
      <c r="F36" s="883" t="s">
        <v>322</v>
      </c>
      <c r="G36" s="875" t="s">
        <v>341</v>
      </c>
      <c r="H36" s="876"/>
      <c r="I36" s="876"/>
      <c r="J36" s="877"/>
      <c r="K36" s="815" t="s">
        <v>364</v>
      </c>
      <c r="L36" s="866"/>
      <c r="M36" s="866"/>
      <c r="N36" s="816"/>
      <c r="O36" s="815" t="s">
        <v>365</v>
      </c>
      <c r="P36" s="866"/>
      <c r="Q36" s="866"/>
      <c r="R36" s="816"/>
      <c r="S36" s="815" t="s">
        <v>366</v>
      </c>
      <c r="T36" s="866"/>
      <c r="U36" s="866"/>
      <c r="V36" s="816"/>
      <c r="W36" s="815" t="s">
        <v>367</v>
      </c>
      <c r="X36" s="866"/>
      <c r="Y36" s="866"/>
      <c r="Z36" s="816"/>
      <c r="AA36" s="815" t="s">
        <v>368</v>
      </c>
      <c r="AB36" s="866"/>
      <c r="AC36" s="866"/>
      <c r="AD36" s="816"/>
      <c r="AE36" s="815" t="s">
        <v>369</v>
      </c>
      <c r="AF36" s="866"/>
      <c r="AG36" s="866"/>
      <c r="AH36" s="816"/>
      <c r="AI36" s="890" t="s">
        <v>359</v>
      </c>
    </row>
    <row r="37" spans="1:35" ht="17.25" thickBot="1">
      <c r="A37" s="780"/>
      <c r="B37" s="881"/>
      <c r="C37" s="874"/>
      <c r="D37" s="874"/>
      <c r="E37" s="874"/>
      <c r="F37" s="904"/>
      <c r="G37" s="878"/>
      <c r="H37" s="879"/>
      <c r="I37" s="879"/>
      <c r="J37" s="880"/>
      <c r="K37" s="888" t="s">
        <v>361</v>
      </c>
      <c r="L37" s="886"/>
      <c r="M37" s="889" t="s">
        <v>363</v>
      </c>
      <c r="N37" s="865"/>
      <c r="O37" s="888" t="s">
        <v>361</v>
      </c>
      <c r="P37" s="886"/>
      <c r="Q37" s="889" t="s">
        <v>363</v>
      </c>
      <c r="R37" s="865"/>
      <c r="S37" s="888" t="s">
        <v>361</v>
      </c>
      <c r="T37" s="886"/>
      <c r="U37" s="889" t="s">
        <v>363</v>
      </c>
      <c r="V37" s="865"/>
      <c r="W37" s="888" t="s">
        <v>361</v>
      </c>
      <c r="X37" s="886"/>
      <c r="Y37" s="889" t="s">
        <v>363</v>
      </c>
      <c r="Z37" s="865"/>
      <c r="AA37" s="888" t="s">
        <v>361</v>
      </c>
      <c r="AB37" s="886"/>
      <c r="AC37" s="889" t="s">
        <v>363</v>
      </c>
      <c r="AD37" s="865"/>
      <c r="AE37" s="888" t="s">
        <v>361</v>
      </c>
      <c r="AF37" s="886"/>
      <c r="AG37" s="889" t="s">
        <v>363</v>
      </c>
      <c r="AH37" s="865"/>
      <c r="AI37" s="891"/>
    </row>
    <row r="38" spans="1:35" ht="16.5">
      <c r="A38" s="780"/>
      <c r="B38" s="781" t="s">
        <v>318</v>
      </c>
      <c r="C38" s="786" t="s">
        <v>335</v>
      </c>
      <c r="D38" s="786" t="s">
        <v>329</v>
      </c>
      <c r="E38" s="786" t="s">
        <v>330</v>
      </c>
      <c r="F38" s="790" t="s">
        <v>331</v>
      </c>
      <c r="G38" s="905" t="s">
        <v>370</v>
      </c>
      <c r="H38" s="906"/>
      <c r="I38" s="906"/>
      <c r="J38" s="907"/>
      <c r="K38" s="856"/>
      <c r="L38" s="860"/>
      <c r="M38" s="860"/>
      <c r="N38" s="857"/>
      <c r="O38" s="856"/>
      <c r="P38" s="860"/>
      <c r="Q38" s="860"/>
      <c r="R38" s="857"/>
      <c r="S38" s="856"/>
      <c r="T38" s="860"/>
      <c r="U38" s="860"/>
      <c r="V38" s="857"/>
      <c r="W38" s="856"/>
      <c r="X38" s="860"/>
      <c r="Y38" s="860"/>
      <c r="Z38" s="857"/>
      <c r="AA38" s="856"/>
      <c r="AB38" s="860"/>
      <c r="AC38" s="860"/>
      <c r="AD38" s="857"/>
      <c r="AE38" s="856"/>
      <c r="AF38" s="860"/>
      <c r="AG38" s="860"/>
      <c r="AH38" s="857"/>
      <c r="AI38" s="803"/>
    </row>
    <row r="39" spans="1:35" ht="17.25" thickBot="1">
      <c r="A39" s="780"/>
      <c r="B39" s="783"/>
      <c r="C39" s="887" t="s">
        <v>362</v>
      </c>
      <c r="D39" s="792" t="s">
        <v>309</v>
      </c>
      <c r="E39" s="792" t="s">
        <v>330</v>
      </c>
      <c r="F39" s="792" t="s">
        <v>333</v>
      </c>
      <c r="G39" s="908"/>
      <c r="H39" s="909"/>
      <c r="I39" s="909"/>
      <c r="J39" s="910"/>
      <c r="K39" s="850"/>
      <c r="L39" s="861"/>
      <c r="M39" s="861"/>
      <c r="N39" s="851"/>
      <c r="O39" s="850"/>
      <c r="P39" s="861"/>
      <c r="Q39" s="861"/>
      <c r="R39" s="851"/>
      <c r="S39" s="858"/>
      <c r="T39" s="864"/>
      <c r="U39" s="864"/>
      <c r="V39" s="859"/>
      <c r="W39" s="858"/>
      <c r="X39" s="864"/>
      <c r="Y39" s="864"/>
      <c r="Z39" s="859"/>
      <c r="AA39" s="858"/>
      <c r="AB39" s="864"/>
      <c r="AC39" s="864"/>
      <c r="AD39" s="859"/>
      <c r="AE39" s="858"/>
      <c r="AF39" s="864"/>
      <c r="AG39" s="864"/>
      <c r="AH39" s="859"/>
      <c r="AI39" s="802"/>
    </row>
    <row r="40" spans="1:35" ht="16.5">
      <c r="A40" s="780"/>
      <c r="B40" s="781" t="s">
        <v>324</v>
      </c>
      <c r="C40" s="786" t="s">
        <v>321</v>
      </c>
      <c r="D40" s="786" t="s">
        <v>309</v>
      </c>
      <c r="E40" s="786" t="s">
        <v>330</v>
      </c>
      <c r="F40" s="790" t="s">
        <v>336</v>
      </c>
      <c r="G40" s="894" t="s">
        <v>371</v>
      </c>
      <c r="H40" s="895"/>
      <c r="I40" s="895"/>
      <c r="J40" s="896"/>
      <c r="K40" s="856"/>
      <c r="L40" s="860"/>
      <c r="M40" s="860"/>
      <c r="N40" s="857"/>
      <c r="O40" s="856"/>
      <c r="P40" s="860"/>
      <c r="Q40" s="860"/>
      <c r="R40" s="857"/>
      <c r="S40" s="856"/>
      <c r="T40" s="860"/>
      <c r="U40" s="860"/>
      <c r="V40" s="857"/>
      <c r="W40" s="856"/>
      <c r="X40" s="860"/>
      <c r="Y40" s="860"/>
      <c r="Z40" s="857"/>
      <c r="AA40" s="856"/>
      <c r="AB40" s="860"/>
      <c r="AC40" s="860"/>
      <c r="AD40" s="857"/>
      <c r="AE40" s="856"/>
      <c r="AF40" s="860"/>
      <c r="AG40" s="860"/>
      <c r="AH40" s="857"/>
      <c r="AI40" s="803"/>
    </row>
    <row r="41" spans="1:35" ht="16.5">
      <c r="A41" s="780"/>
      <c r="B41" s="782"/>
      <c r="C41" s="792" t="s">
        <v>328</v>
      </c>
      <c r="D41" s="792" t="s">
        <v>309</v>
      </c>
      <c r="E41" s="792" t="s">
        <v>330</v>
      </c>
      <c r="F41" s="796" t="s">
        <v>337</v>
      </c>
      <c r="G41" s="900"/>
      <c r="H41" s="901"/>
      <c r="I41" s="901"/>
      <c r="J41" s="902"/>
      <c r="K41" s="852"/>
      <c r="L41" s="862"/>
      <c r="M41" s="862"/>
      <c r="N41" s="855"/>
      <c r="O41" s="852"/>
      <c r="P41" s="862"/>
      <c r="Q41" s="862"/>
      <c r="R41" s="855"/>
      <c r="S41" s="852"/>
      <c r="T41" s="862"/>
      <c r="U41" s="862"/>
      <c r="V41" s="855"/>
      <c r="W41" s="852"/>
      <c r="X41" s="862"/>
      <c r="Y41" s="862"/>
      <c r="Z41" s="855"/>
      <c r="AA41" s="852"/>
      <c r="AB41" s="862"/>
      <c r="AC41" s="862"/>
      <c r="AD41" s="855"/>
      <c r="AE41" s="852"/>
      <c r="AF41" s="862"/>
      <c r="AG41" s="862"/>
      <c r="AH41" s="855"/>
      <c r="AI41" s="791"/>
    </row>
    <row r="42" spans="1:35" ht="17.25" thickBot="1">
      <c r="A42" s="780"/>
      <c r="B42" s="783"/>
      <c r="C42" s="797" t="s">
        <v>313</v>
      </c>
      <c r="D42" s="797" t="s">
        <v>309</v>
      </c>
      <c r="E42" s="797" t="s">
        <v>330</v>
      </c>
      <c r="F42" s="801" t="s">
        <v>338</v>
      </c>
      <c r="G42" s="897"/>
      <c r="H42" s="898"/>
      <c r="I42" s="898"/>
      <c r="J42" s="899"/>
      <c r="K42" s="850"/>
      <c r="L42" s="861"/>
      <c r="M42" s="861"/>
      <c r="N42" s="851"/>
      <c r="O42" s="850"/>
      <c r="P42" s="861"/>
      <c r="Q42" s="861"/>
      <c r="R42" s="851"/>
      <c r="S42" s="850"/>
      <c r="T42" s="861"/>
      <c r="U42" s="861"/>
      <c r="V42" s="851"/>
      <c r="W42" s="850"/>
      <c r="X42" s="861"/>
      <c r="Y42" s="861"/>
      <c r="Z42" s="851"/>
      <c r="AA42" s="850"/>
      <c r="AB42" s="861"/>
      <c r="AC42" s="861"/>
      <c r="AD42" s="851"/>
      <c r="AE42" s="850"/>
      <c r="AF42" s="861"/>
      <c r="AG42" s="861"/>
      <c r="AH42" s="851"/>
      <c r="AI42" s="802"/>
    </row>
    <row r="43" spans="1:35">
      <c r="B43" s="781" t="s">
        <v>323</v>
      </c>
      <c r="C43" s="792" t="s">
        <v>315</v>
      </c>
      <c r="D43" s="792" t="s">
        <v>309</v>
      </c>
      <c r="E43" s="786" t="s">
        <v>316</v>
      </c>
      <c r="F43" s="796" t="s">
        <v>332</v>
      </c>
      <c r="G43" s="903" t="s">
        <v>372</v>
      </c>
      <c r="H43" s="895"/>
      <c r="I43" s="895"/>
      <c r="J43" s="896"/>
      <c r="K43" s="853"/>
      <c r="L43" s="863"/>
      <c r="M43" s="863"/>
      <c r="N43" s="854"/>
      <c r="O43" s="853"/>
      <c r="P43" s="863"/>
      <c r="Q43" s="863"/>
      <c r="R43" s="854"/>
      <c r="S43" s="853"/>
      <c r="T43" s="863"/>
      <c r="U43" s="863"/>
      <c r="V43" s="854"/>
      <c r="W43" s="853"/>
      <c r="X43" s="863"/>
      <c r="Y43" s="863"/>
      <c r="Z43" s="854"/>
      <c r="AA43" s="853"/>
      <c r="AB43" s="863"/>
      <c r="AC43" s="863"/>
      <c r="AD43" s="854"/>
      <c r="AE43" s="853"/>
      <c r="AF43" s="863"/>
      <c r="AG43" s="863"/>
      <c r="AH43" s="854"/>
      <c r="AI43" s="803"/>
    </row>
    <row r="44" spans="1:35" ht="15" thickBot="1">
      <c r="B44" s="783"/>
      <c r="C44" s="797" t="s">
        <v>325</v>
      </c>
      <c r="D44" s="797" t="s">
        <v>310</v>
      </c>
      <c r="E44" s="797" t="s">
        <v>326</v>
      </c>
      <c r="F44" s="801" t="s">
        <v>334</v>
      </c>
      <c r="G44" s="897"/>
      <c r="H44" s="898"/>
      <c r="I44" s="898"/>
      <c r="J44" s="899"/>
      <c r="K44" s="850"/>
      <c r="L44" s="861"/>
      <c r="M44" s="861"/>
      <c r="N44" s="851"/>
      <c r="O44" s="850"/>
      <c r="P44" s="861"/>
      <c r="Q44" s="861"/>
      <c r="R44" s="851"/>
      <c r="S44" s="850"/>
      <c r="T44" s="861"/>
      <c r="U44" s="861"/>
      <c r="V44" s="851"/>
      <c r="W44" s="850"/>
      <c r="X44" s="861"/>
      <c r="Y44" s="861"/>
      <c r="Z44" s="851"/>
      <c r="AA44" s="850"/>
      <c r="AB44" s="861"/>
      <c r="AC44" s="861"/>
      <c r="AD44" s="851"/>
      <c r="AE44" s="850"/>
      <c r="AF44" s="861"/>
      <c r="AG44" s="861"/>
      <c r="AH44" s="851"/>
      <c r="AI44" s="802"/>
    </row>
  </sheetData>
  <mergeCells count="276">
    <mergeCell ref="Q43:R43"/>
    <mergeCell ref="U40:V40"/>
    <mergeCell ref="S41:T41"/>
    <mergeCell ref="W44:X44"/>
    <mergeCell ref="Y42:Z42"/>
    <mergeCell ref="W38:X38"/>
    <mergeCell ref="Q39:R39"/>
    <mergeCell ref="Y44:Z44"/>
    <mergeCell ref="AA44:AB44"/>
    <mergeCell ref="AC44:AD44"/>
    <mergeCell ref="AE44:AF44"/>
    <mergeCell ref="AG44:AH44"/>
    <mergeCell ref="G38:J39"/>
    <mergeCell ref="G40:J42"/>
    <mergeCell ref="G43:J44"/>
    <mergeCell ref="AE43:AF43"/>
    <mergeCell ref="AG43:AH43"/>
    <mergeCell ref="K44:L44"/>
    <mergeCell ref="K44:L44"/>
    <mergeCell ref="M44:N44"/>
    <mergeCell ref="O44:P44"/>
    <mergeCell ref="Q44:R44"/>
    <mergeCell ref="S44:T44"/>
    <mergeCell ref="U44:V44"/>
    <mergeCell ref="S43:T43"/>
    <mergeCell ref="U43:V43"/>
    <mergeCell ref="W43:X43"/>
    <mergeCell ref="Y43:Z43"/>
    <mergeCell ref="AA43:AB43"/>
    <mergeCell ref="AC43:AD43"/>
    <mergeCell ref="AA42:AB42"/>
    <mergeCell ref="AC42:AD42"/>
    <mergeCell ref="AE42:AF42"/>
    <mergeCell ref="AG42:AH42"/>
    <mergeCell ref="B43:B44"/>
    <mergeCell ref="K43:L43"/>
    <mergeCell ref="K43:L43"/>
    <mergeCell ref="M43:N43"/>
    <mergeCell ref="O43:P43"/>
    <mergeCell ref="AG41:AH41"/>
    <mergeCell ref="K42:L42"/>
    <mergeCell ref="K42:L42"/>
    <mergeCell ref="M42:N42"/>
    <mergeCell ref="O42:P42"/>
    <mergeCell ref="Q42:R42"/>
    <mergeCell ref="S42:T42"/>
    <mergeCell ref="U42:V42"/>
    <mergeCell ref="W42:X42"/>
    <mergeCell ref="U41:V41"/>
    <mergeCell ref="W41:X41"/>
    <mergeCell ref="Y41:Z41"/>
    <mergeCell ref="AA41:AB41"/>
    <mergeCell ref="AC41:AD41"/>
    <mergeCell ref="AE41:AF41"/>
    <mergeCell ref="K41:L41"/>
    <mergeCell ref="K41:L41"/>
    <mergeCell ref="M41:N41"/>
    <mergeCell ref="O41:P41"/>
    <mergeCell ref="Q41:R41"/>
    <mergeCell ref="W40:X40"/>
    <mergeCell ref="Y40:Z40"/>
    <mergeCell ref="AA40:AB40"/>
    <mergeCell ref="AC40:AD40"/>
    <mergeCell ref="AE40:AF40"/>
    <mergeCell ref="AG40:AH40"/>
    <mergeCell ref="AE39:AF39"/>
    <mergeCell ref="AG39:AH39"/>
    <mergeCell ref="B40:B42"/>
    <mergeCell ref="K40:L40"/>
    <mergeCell ref="K40:L40"/>
    <mergeCell ref="M40:N40"/>
    <mergeCell ref="O40:P40"/>
    <mergeCell ref="Q40:R40"/>
    <mergeCell ref="S40:T40"/>
    <mergeCell ref="S39:T39"/>
    <mergeCell ref="U39:V39"/>
    <mergeCell ref="W39:X39"/>
    <mergeCell ref="Y39:Z39"/>
    <mergeCell ref="AA39:AB39"/>
    <mergeCell ref="AC39:AD39"/>
    <mergeCell ref="Y38:Z38"/>
    <mergeCell ref="AA38:AB38"/>
    <mergeCell ref="AC38:AD38"/>
    <mergeCell ref="AE38:AF38"/>
    <mergeCell ref="AG38:AH38"/>
    <mergeCell ref="K39:L39"/>
    <mergeCell ref="K39:L39"/>
    <mergeCell ref="M39:N39"/>
    <mergeCell ref="O39:P39"/>
    <mergeCell ref="AG37:AH37"/>
    <mergeCell ref="B38:B39"/>
    <mergeCell ref="K38:L38"/>
    <mergeCell ref="K38:L38"/>
    <mergeCell ref="M38:N38"/>
    <mergeCell ref="O38:P38"/>
    <mergeCell ref="Q38:R38"/>
    <mergeCell ref="S38:T38"/>
    <mergeCell ref="U38:V38"/>
    <mergeCell ref="AI36:AI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E17:AF17"/>
    <mergeCell ref="AE16:AF16"/>
    <mergeCell ref="AE15:AF15"/>
    <mergeCell ref="AE14:AF14"/>
    <mergeCell ref="AI13:AI14"/>
    <mergeCell ref="G25:H25"/>
    <mergeCell ref="I25:J25"/>
    <mergeCell ref="K25:L25"/>
    <mergeCell ref="M25:N25"/>
    <mergeCell ref="O25:P25"/>
    <mergeCell ref="U21:V21"/>
    <mergeCell ref="U20:V20"/>
    <mergeCell ref="Q25:R25"/>
    <mergeCell ref="S25:T25"/>
    <mergeCell ref="U25:V25"/>
    <mergeCell ref="W25:X25"/>
    <mergeCell ref="K13:N13"/>
    <mergeCell ref="O13:R13"/>
    <mergeCell ref="Y25:Z25"/>
    <mergeCell ref="AA25:AB25"/>
    <mergeCell ref="AC25:AD25"/>
    <mergeCell ref="AE25:AF25"/>
    <mergeCell ref="AG25:AH25"/>
    <mergeCell ref="B26:B27"/>
    <mergeCell ref="B28:B30"/>
    <mergeCell ref="B31:B32"/>
    <mergeCell ref="B36:B37"/>
    <mergeCell ref="B36:B37"/>
    <mergeCell ref="C36:C37"/>
    <mergeCell ref="D36:D37"/>
    <mergeCell ref="E36:E37"/>
    <mergeCell ref="AG2:AH2"/>
    <mergeCell ref="AA13:AD13"/>
    <mergeCell ref="AE13:AH13"/>
    <mergeCell ref="AC14:AD14"/>
    <mergeCell ref="AC15:AD15"/>
    <mergeCell ref="AC16:AD16"/>
    <mergeCell ref="AC17:AD17"/>
    <mergeCell ref="S13:V13"/>
    <mergeCell ref="W13:Z13"/>
    <mergeCell ref="U19:V19"/>
    <mergeCell ref="U18:V18"/>
    <mergeCell ref="U17:V17"/>
    <mergeCell ref="U16:V16"/>
    <mergeCell ref="B13:B14"/>
    <mergeCell ref="C13:C14"/>
    <mergeCell ref="D13:D14"/>
    <mergeCell ref="E13:E14"/>
    <mergeCell ref="F13:F14"/>
    <mergeCell ref="G13:J14"/>
    <mergeCell ref="K16:L16"/>
    <mergeCell ref="K15:L15"/>
    <mergeCell ref="K21:L21"/>
    <mergeCell ref="K20:L20"/>
    <mergeCell ref="K19:L19"/>
    <mergeCell ref="K18:L18"/>
    <mergeCell ref="Q21:R21"/>
    <mergeCell ref="Q20:R20"/>
    <mergeCell ref="Q19:R19"/>
    <mergeCell ref="Q18:R18"/>
    <mergeCell ref="K17:L17"/>
    <mergeCell ref="K14:L14"/>
    <mergeCell ref="Q17:R17"/>
    <mergeCell ref="Q16:R16"/>
    <mergeCell ref="Q15:R15"/>
    <mergeCell ref="Q14:R14"/>
    <mergeCell ref="O14:P14"/>
    <mergeCell ref="M21:N21"/>
    <mergeCell ref="M20:N20"/>
    <mergeCell ref="M19:N19"/>
    <mergeCell ref="M18:N18"/>
    <mergeCell ref="M17:N17"/>
    <mergeCell ref="M16:N16"/>
    <mergeCell ref="M15:N15"/>
    <mergeCell ref="M14:N14"/>
    <mergeCell ref="O18:P18"/>
    <mergeCell ref="O21:P21"/>
    <mergeCell ref="O20:P20"/>
    <mergeCell ref="O19:P19"/>
    <mergeCell ref="O17:P17"/>
    <mergeCell ref="O16:P16"/>
    <mergeCell ref="O15:P15"/>
    <mergeCell ref="U15:V15"/>
    <mergeCell ref="U14:V14"/>
    <mergeCell ref="S21:T21"/>
    <mergeCell ref="S20:T20"/>
    <mergeCell ref="S19:T19"/>
    <mergeCell ref="S18:T18"/>
    <mergeCell ref="S17:T17"/>
    <mergeCell ref="S16:T16"/>
    <mergeCell ref="S15:T15"/>
    <mergeCell ref="S14:T14"/>
    <mergeCell ref="Y14:Z14"/>
    <mergeCell ref="Y15:Z15"/>
    <mergeCell ref="Y16:Z16"/>
    <mergeCell ref="Y17:Z17"/>
    <mergeCell ref="Y18:Z18"/>
    <mergeCell ref="Y19:Z19"/>
    <mergeCell ref="Y20:Z20"/>
    <mergeCell ref="Y21:Z21"/>
    <mergeCell ref="W21:X21"/>
    <mergeCell ref="W20:X20"/>
    <mergeCell ref="W19:X19"/>
    <mergeCell ref="W18:X18"/>
    <mergeCell ref="W17:X17"/>
    <mergeCell ref="W16:X16"/>
    <mergeCell ref="W15:X15"/>
    <mergeCell ref="W14:X14"/>
    <mergeCell ref="AC18:AD18"/>
    <mergeCell ref="AC19:AD19"/>
    <mergeCell ref="AC20:AD20"/>
    <mergeCell ref="AC21:AD21"/>
    <mergeCell ref="AA21:AB21"/>
    <mergeCell ref="AA20:AB20"/>
    <mergeCell ref="AA19:AB19"/>
    <mergeCell ref="AA18:AB18"/>
    <mergeCell ref="AA17:AB17"/>
    <mergeCell ref="B15:B16"/>
    <mergeCell ref="B17:B19"/>
    <mergeCell ref="B20:B21"/>
    <mergeCell ref="AA16:AB16"/>
    <mergeCell ref="AA15:AB15"/>
    <mergeCell ref="G36:J37"/>
    <mergeCell ref="K36:N36"/>
    <mergeCell ref="O36:R36"/>
    <mergeCell ref="S36:V36"/>
    <mergeCell ref="W36:Z36"/>
    <mergeCell ref="AC2:AD2"/>
    <mergeCell ref="AE2:AF2"/>
    <mergeCell ref="G21:J21"/>
    <mergeCell ref="G20:J20"/>
    <mergeCell ref="G19:J19"/>
    <mergeCell ref="G18:J18"/>
    <mergeCell ref="G17:J17"/>
    <mergeCell ref="G16:J16"/>
    <mergeCell ref="AA14:AB14"/>
    <mergeCell ref="AE21:AF21"/>
    <mergeCell ref="S2:T2"/>
    <mergeCell ref="G10:J10"/>
    <mergeCell ref="U2:V2"/>
    <mergeCell ref="W2:X2"/>
    <mergeCell ref="Y2:Z2"/>
    <mergeCell ref="AA2:AB2"/>
    <mergeCell ref="G2:H2"/>
    <mergeCell ref="I2:J2"/>
    <mergeCell ref="K2:L2"/>
    <mergeCell ref="M2:N2"/>
    <mergeCell ref="O2:P2"/>
    <mergeCell ref="Q2:R2"/>
    <mergeCell ref="G15:J15"/>
    <mergeCell ref="AG14:AH14"/>
    <mergeCell ref="AG15:AH15"/>
    <mergeCell ref="AG16:AH16"/>
    <mergeCell ref="AG17:AH17"/>
    <mergeCell ref="AG18:AH18"/>
    <mergeCell ref="AA36:AD36"/>
    <mergeCell ref="AE36:AH36"/>
    <mergeCell ref="AC37:AD37"/>
    <mergeCell ref="AE37:AF37"/>
    <mergeCell ref="B3:B4"/>
    <mergeCell ref="B5:B7"/>
    <mergeCell ref="B8:B9"/>
    <mergeCell ref="AG19:AH19"/>
    <mergeCell ref="AG20:AH20"/>
    <mergeCell ref="AG21:AH21"/>
    <mergeCell ref="AE20:AF20"/>
    <mergeCell ref="AE19:AF19"/>
    <mergeCell ref="AE18:AF18"/>
  </mergeCells>
  <phoneticPr fontId="9" type="noConversion"/>
  <pageMargins left="0.7" right="0.7" top="0.75" bottom="0.75" header="0.3" footer="0.3"/>
  <ignoredErrors>
    <ignoredError sqref="E3 F3:F9 E4:E9 E15:F21 E26:F32 E38:F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Detumbling</vt:lpstr>
      <vt:lpstr>① 2주기(Mission&amp;UHF)</vt:lpstr>
      <vt:lpstr>② 8주기(S-band)</vt:lpstr>
      <vt:lpstr>③ 2주기(S-band)</vt:lpstr>
      <vt:lpstr>④ 그 외</vt:lpstr>
      <vt:lpstr>parameter</vt:lpstr>
      <vt:lpstr>Sheet1</vt:lpstr>
      <vt:lpstr>Sheet2</vt:lpstr>
      <vt:lpstr>0(new)</vt:lpstr>
      <vt:lpstr>1(new)</vt:lpstr>
      <vt:lpstr>2(new)</vt:lpstr>
      <vt:lpstr>3(new)</vt:lpstr>
      <vt:lpstr>4(new)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ACL2022_13</cp:lastModifiedBy>
  <cp:revision>109</cp:revision>
  <dcterms:created xsi:type="dcterms:W3CDTF">2022-05-05T15:04:23Z</dcterms:created>
  <dcterms:modified xsi:type="dcterms:W3CDTF">2022-10-18T02:41:09Z</dcterms:modified>
  <cp:version>1000.0100.01</cp:version>
</cp:coreProperties>
</file>