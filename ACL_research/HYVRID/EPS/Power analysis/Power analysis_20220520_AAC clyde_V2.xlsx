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Documents\ACL\HS_SLR_LDZ\CubeSat_Development\1.Design\원소영\Power analysis_20220520\"/>
    </mc:Choice>
  </mc:AlternateContent>
  <xr:revisionPtr revIDLastSave="0" documentId="13_ncr:1_{AF4818A2-E890-448D-85D6-7EFAB476FAB9}" xr6:coauthVersionLast="47" xr6:coauthVersionMax="47" xr10:uidLastSave="{00000000-0000-0000-0000-000000000000}"/>
  <bookViews>
    <workbookView xWindow="-103" yWindow="-103" windowWidth="33120" windowHeight="18274" activeTab="1" xr2:uid="{0A2B6DDC-A61D-4F7D-BB4D-49AE07372813}"/>
  </bookViews>
  <sheets>
    <sheet name="parameter" sheetId="1" r:id="rId1"/>
    <sheet name="Power analysis" sheetId="2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27" i="2" l="1"/>
  <c r="C5" i="1" l="1"/>
  <c r="I10" i="2" l="1"/>
  <c r="L10" i="2" s="1"/>
  <c r="H10" i="2"/>
  <c r="K10" i="2" s="1"/>
  <c r="H11" i="2"/>
  <c r="K11" i="2" s="1"/>
  <c r="R11" i="2" s="1"/>
  <c r="G14" i="2"/>
  <c r="J14" i="2" s="1"/>
  <c r="H14" i="2"/>
  <c r="K14" i="2" s="1"/>
  <c r="I14" i="2"/>
  <c r="L14" i="2" s="1"/>
  <c r="H8" i="2"/>
  <c r="K8" i="2" s="1"/>
  <c r="I8" i="2"/>
  <c r="L8" i="2" s="1"/>
  <c r="H9" i="2"/>
  <c r="K9" i="2" s="1"/>
  <c r="I9" i="2"/>
  <c r="L9" i="2" s="1"/>
  <c r="H12" i="2"/>
  <c r="K12" i="2" s="1"/>
  <c r="S12" i="2" s="1"/>
  <c r="H13" i="2"/>
  <c r="K13" i="2" s="1"/>
  <c r="S13" i="2" s="1"/>
  <c r="R9" i="2" l="1"/>
  <c r="S8" i="2"/>
  <c r="S14" i="2"/>
  <c r="R13" i="2"/>
  <c r="R10" i="2"/>
  <c r="S11" i="2"/>
  <c r="S9" i="2"/>
  <c r="R12" i="2"/>
  <c r="R14" i="2"/>
  <c r="S10" i="2"/>
  <c r="R8" i="2"/>
  <c r="Q6" i="2" l="1"/>
  <c r="K7" i="2"/>
  <c r="Q7" i="2" s="1"/>
  <c r="Q5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8" i="2"/>
  <c r="Q8" i="2" s="1"/>
  <c r="S6" i="2" l="1"/>
  <c r="R6" i="2"/>
  <c r="C8" i="1"/>
  <c r="I24" i="2"/>
  <c r="L24" i="2" s="1"/>
  <c r="H24" i="2"/>
  <c r="K24" i="2" s="1"/>
  <c r="G24" i="2"/>
  <c r="J24" i="2" s="1"/>
  <c r="S18" i="2"/>
  <c r="S5" i="2"/>
  <c r="I6" i="2"/>
  <c r="H6" i="2"/>
  <c r="S38" i="2" l="1"/>
  <c r="C10" i="1"/>
  <c r="W5" i="2" s="1"/>
  <c r="S17" i="2"/>
  <c r="N4" i="2" l="1"/>
  <c r="H5" i="2"/>
  <c r="R18" i="2"/>
  <c r="R38" i="2" s="1"/>
  <c r="Q18" i="2"/>
  <c r="Q23" i="2"/>
  <c r="L22" i="2"/>
  <c r="L23" i="2"/>
  <c r="K16" i="2"/>
  <c r="R17" i="2"/>
  <c r="K19" i="2"/>
  <c r="K22" i="2"/>
  <c r="J22" i="2"/>
  <c r="J23" i="2"/>
  <c r="L7" i="2"/>
  <c r="J7" i="2"/>
  <c r="W4" i="2"/>
  <c r="I20" i="2"/>
  <c r="L20" i="2" s="1"/>
  <c r="R20" i="2" s="1"/>
  <c r="H20" i="2"/>
  <c r="K20" i="2" s="1"/>
  <c r="H15" i="2"/>
  <c r="K15" i="2" s="1"/>
  <c r="Q14" i="2"/>
  <c r="Q9" i="2"/>
  <c r="H21" i="2"/>
  <c r="K21" i="2" s="1"/>
  <c r="I21" i="2"/>
  <c r="L21" i="2" s="1"/>
  <c r="C12" i="1"/>
  <c r="C11" i="1"/>
  <c r="W6" i="2" s="1"/>
  <c r="R23" i="2" l="1"/>
  <c r="S24" i="2"/>
  <c r="N22" i="2"/>
  <c r="Q22" i="2" s="1"/>
  <c r="R19" i="2"/>
  <c r="R21" i="2"/>
  <c r="P4" i="2"/>
  <c r="O4" i="2"/>
  <c r="R7" i="2"/>
  <c r="R5" i="2"/>
  <c r="Q20" i="2"/>
  <c r="S15" i="2"/>
  <c r="Q21" i="2"/>
  <c r="Q10" i="2"/>
  <c r="Q37" i="2" s="1"/>
  <c r="S23" i="2"/>
  <c r="S21" i="2"/>
  <c r="Q13" i="2"/>
  <c r="R16" i="2"/>
  <c r="S16" i="2"/>
  <c r="S20" i="2"/>
  <c r="S7" i="2"/>
  <c r="Q19" i="2"/>
  <c r="S19" i="2"/>
  <c r="R22" i="2"/>
  <c r="S22" i="2"/>
  <c r="Q11" i="2"/>
  <c r="Q24" i="2"/>
  <c r="R24" i="2"/>
  <c r="Q12" i="2"/>
  <c r="R15" i="2"/>
  <c r="Q15" i="2"/>
  <c r="Q16" i="2"/>
  <c r="Q17" i="2"/>
  <c r="Q38" i="2" s="1"/>
  <c r="S36" i="2" l="1"/>
  <c r="Q36" i="2"/>
  <c r="R36" i="2"/>
  <c r="R37" i="2"/>
  <c r="Q25" i="2"/>
  <c r="S25" i="2"/>
  <c r="R25" i="2"/>
  <c r="S37" i="2"/>
  <c r="Q28" i="2" l="1"/>
  <c r="S28" i="2"/>
  <c r="R28" i="2"/>
  <c r="Q29" i="2"/>
  <c r="Q30" i="2" s="1"/>
  <c r="Q32" i="2" s="1"/>
  <c r="Q31" i="2" l="1"/>
  <c r="R33" i="2"/>
  <c r="S33" i="2"/>
  <c r="S35" i="2" l="1"/>
  <c r="S34" i="2"/>
  <c r="R35" i="2"/>
  <c r="R3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tc={FF1EB6E7-4910-435C-83D8-2D6E837FC469}</author>
  </authors>
  <commentList>
    <comment ref="Q28" authorId="0" shapeId="0" xr:uid="{FF1EB6E7-4910-435C-83D8-2D6E837FC46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eclipse period + sunlight period</t>
      </text>
    </comment>
  </commentList>
</comments>
</file>

<file path=xl/sharedStrings.xml><?xml version="1.0" encoding="utf-8"?>
<sst xmlns="http://schemas.openxmlformats.org/spreadsheetml/2006/main" count="116" uniqueCount="98">
  <si>
    <t>parameter</t>
    <phoneticPr fontId="1" type="noConversion"/>
  </si>
  <si>
    <t>Earth Gravitational Standard Cosntant (km3/sec2)</t>
  </si>
  <si>
    <t>Earth Effective Radius (km)</t>
  </si>
  <si>
    <t>attitdue (km)</t>
    <phoneticPr fontId="1" type="noConversion"/>
  </si>
  <si>
    <t>orbital period (sec)</t>
    <phoneticPr fontId="1" type="noConversion"/>
  </si>
  <si>
    <t>sunlight (sec)</t>
    <phoneticPr fontId="1" type="noConversion"/>
  </si>
  <si>
    <t>Eclipse (sec)</t>
    <phoneticPr fontId="1" type="noConversion"/>
  </si>
  <si>
    <t>conversion efficiency (%)</t>
    <phoneticPr fontId="1" type="noConversion"/>
  </si>
  <si>
    <t>Conponent</t>
    <phoneticPr fontId="1" type="noConversion"/>
  </si>
  <si>
    <t>Product</t>
    <phoneticPr fontId="1" type="noConversion"/>
  </si>
  <si>
    <t>Subsystem</t>
    <phoneticPr fontId="1" type="noConversion"/>
  </si>
  <si>
    <t>PAYR</t>
    <phoneticPr fontId="1" type="noConversion"/>
  </si>
  <si>
    <t>PAYS</t>
    <phoneticPr fontId="1" type="noConversion"/>
  </si>
  <si>
    <t>PAYC</t>
    <phoneticPr fontId="1" type="noConversion"/>
  </si>
  <si>
    <t>ACDS</t>
    <phoneticPr fontId="1" type="noConversion"/>
  </si>
  <si>
    <t>CNDH</t>
    <phoneticPr fontId="1" type="noConversion"/>
  </si>
  <si>
    <t>COMS</t>
    <phoneticPr fontId="1" type="noConversion"/>
  </si>
  <si>
    <t>EPS</t>
    <phoneticPr fontId="1" type="noConversion"/>
  </si>
  <si>
    <t>Cam</t>
    <phoneticPr fontId="1" type="noConversion"/>
  </si>
  <si>
    <t>Battery</t>
    <phoneticPr fontId="1" type="noConversion"/>
  </si>
  <si>
    <t>PCDU</t>
    <phoneticPr fontId="1" type="noConversion"/>
  </si>
  <si>
    <t>Solar cell</t>
    <phoneticPr fontId="1" type="noConversion"/>
  </si>
  <si>
    <t>OBC</t>
    <phoneticPr fontId="1" type="noConversion"/>
  </si>
  <si>
    <t>UHF antenna</t>
    <phoneticPr fontId="1" type="noConversion"/>
  </si>
  <si>
    <t>S-band TRx</t>
    <phoneticPr fontId="1" type="noConversion"/>
  </si>
  <si>
    <t>UHF TRx</t>
    <phoneticPr fontId="1" type="noConversion"/>
  </si>
  <si>
    <t>ADCS module</t>
    <phoneticPr fontId="1" type="noConversion"/>
  </si>
  <si>
    <t>GPS antenna</t>
    <phoneticPr fontId="1" type="noConversion"/>
  </si>
  <si>
    <t>GPS Rx</t>
    <phoneticPr fontId="1" type="noConversion"/>
  </si>
  <si>
    <t>NanoCam - 70 mm</t>
  </si>
  <si>
    <t>OEM719</t>
  </si>
  <si>
    <t>Optimus-40</t>
  </si>
  <si>
    <t>Starbuck-Nano-Plus</t>
  </si>
  <si>
    <t>NCT</t>
    <phoneticPr fontId="1" type="noConversion"/>
  </si>
  <si>
    <t>NanoCom AX100</t>
  </si>
  <si>
    <t>Voltage Input</t>
    <phoneticPr fontId="1" type="noConversion"/>
  </si>
  <si>
    <t>Idel</t>
    <phoneticPr fontId="1" type="noConversion"/>
  </si>
  <si>
    <t>Nominal</t>
    <phoneticPr fontId="1" type="noConversion"/>
  </si>
  <si>
    <t>Peak</t>
    <phoneticPr fontId="1" type="noConversion"/>
  </si>
  <si>
    <t>Mode</t>
    <phoneticPr fontId="1" type="noConversion"/>
  </si>
  <si>
    <t>Rx</t>
    <phoneticPr fontId="1" type="noConversion"/>
  </si>
  <si>
    <t>Tx</t>
    <phoneticPr fontId="1" type="noConversion"/>
  </si>
  <si>
    <t>ISIS</t>
    <phoneticPr fontId="1" type="noConversion"/>
  </si>
  <si>
    <t>Current(A)</t>
    <phoneticPr fontId="1" type="noConversion"/>
  </si>
  <si>
    <t>Vbat</t>
    <phoneticPr fontId="1" type="noConversion"/>
  </si>
  <si>
    <t>Cubecomputer</t>
    <phoneticPr fontId="1" type="noConversion"/>
  </si>
  <si>
    <t>Cubesense V3 x 2</t>
    <phoneticPr fontId="1" type="noConversion"/>
  </si>
  <si>
    <t>Cubecontrol</t>
    <phoneticPr fontId="1" type="noConversion"/>
  </si>
  <si>
    <t>CubeMag</t>
    <phoneticPr fontId="1" type="noConversion"/>
  </si>
  <si>
    <t>Wheel x 3</t>
    <phoneticPr fontId="1" type="noConversion"/>
  </si>
  <si>
    <t>CubeTorquers Load</t>
    <phoneticPr fontId="1" type="noConversion"/>
  </si>
  <si>
    <t>CubeTorquers coil</t>
    <phoneticPr fontId="1" type="noConversion"/>
  </si>
  <si>
    <t>TW1829</t>
    <phoneticPr fontId="1" type="noConversion"/>
  </si>
  <si>
    <t>sun pointing</t>
    <phoneticPr fontId="1" type="noConversion"/>
  </si>
  <si>
    <t>Orbit period</t>
    <phoneticPr fontId="1" type="noConversion"/>
  </si>
  <si>
    <t>Missiond period</t>
    <phoneticPr fontId="1" type="noConversion"/>
  </si>
  <si>
    <t>Power</t>
    <phoneticPr fontId="1" type="noConversion"/>
  </si>
  <si>
    <t>Wh</t>
    <phoneticPr fontId="1" type="noConversion"/>
  </si>
  <si>
    <t>Note</t>
    <phoneticPr fontId="1" type="noConversion"/>
  </si>
  <si>
    <t>GOMspace</t>
    <phoneticPr fontId="1" type="noConversion"/>
  </si>
  <si>
    <t>Idle</t>
    <phoneticPr fontId="1" type="noConversion"/>
  </si>
  <si>
    <t>total power consumption</t>
    <phoneticPr fontId="1" type="noConversion"/>
  </si>
  <si>
    <t>Consumption Power (W)</t>
    <phoneticPr fontId="1" type="noConversion"/>
  </si>
  <si>
    <t>DoD reference</t>
    <phoneticPr fontId="1" type="noConversion"/>
  </si>
  <si>
    <t>Conversion Efficiency</t>
  </si>
  <si>
    <t>required margin</t>
    <phoneticPr fontId="1" type="noConversion"/>
  </si>
  <si>
    <t>W</t>
    <phoneticPr fontId="1" type="noConversion"/>
  </si>
  <si>
    <t>Peak load</t>
    <phoneticPr fontId="1" type="noConversion"/>
  </si>
  <si>
    <t>3.3V</t>
    <phoneticPr fontId="1" type="noConversion"/>
  </si>
  <si>
    <t>5.0V</t>
    <phoneticPr fontId="1" type="noConversion"/>
  </si>
  <si>
    <t>&lt; 4.5 A</t>
    <phoneticPr fontId="1" type="noConversion"/>
  </si>
  <si>
    <t>&lt; 4.7 A</t>
    <phoneticPr fontId="1" type="noConversion"/>
  </si>
  <si>
    <t>Mission</t>
    <phoneticPr fontId="1" type="noConversion"/>
  </si>
  <si>
    <t>S-band COM</t>
    <phoneticPr fontId="1" type="noConversion"/>
  </si>
  <si>
    <t>Duty(%)</t>
    <phoneticPr fontId="1" type="noConversion"/>
  </si>
  <si>
    <t>Time</t>
    <phoneticPr fontId="1" type="noConversion"/>
  </si>
  <si>
    <t>PULSAR-STX</t>
    <phoneticPr fontId="1" type="noConversion"/>
  </si>
  <si>
    <t>LTAN</t>
    <phoneticPr fontId="1" type="noConversion"/>
  </si>
  <si>
    <t>Beta angle(deg)</t>
    <phoneticPr fontId="1" type="noConversion"/>
  </si>
  <si>
    <t>sunlight (sec)</t>
  </si>
  <si>
    <t>Eclipse (sec)</t>
  </si>
  <si>
    <t>solar panel efficiency</t>
    <phoneticPr fontId="1" type="noConversion"/>
  </si>
  <si>
    <t>Emppt</t>
    <phoneticPr fontId="1" type="noConversion"/>
  </si>
  <si>
    <t>Etmp</t>
    <phoneticPr fontId="1" type="noConversion"/>
  </si>
  <si>
    <t>Eman</t>
    <phoneticPr fontId="1" type="noConversion"/>
  </si>
  <si>
    <t xml:space="preserve">Need Orbit number for Full charge </t>
    <phoneticPr fontId="1" type="noConversion"/>
  </si>
  <si>
    <t>Power generation (orbit average)</t>
    <phoneticPr fontId="1" type="noConversion"/>
  </si>
  <si>
    <t>Need battery capacity (at eclipse period)</t>
    <phoneticPr fontId="1" type="noConversion"/>
  </si>
  <si>
    <t>SoC after sun-pointing</t>
    <phoneticPr fontId="1" type="noConversion"/>
  </si>
  <si>
    <t>SoC after sun-pointing 6 orbit</t>
    <phoneticPr fontId="1" type="noConversion"/>
  </si>
  <si>
    <t>SoC after mission or S-band COM</t>
    <phoneticPr fontId="1" type="noConversion"/>
  </si>
  <si>
    <t>&gt; 40 %</t>
    <phoneticPr fontId="1" type="noConversion"/>
  </si>
  <si>
    <t>After mission or S-band COM,charging magnitude</t>
    <phoneticPr fontId="1" type="noConversion"/>
  </si>
  <si>
    <t>After sun-pointing, charging  magnitude</t>
    <phoneticPr fontId="1" type="noConversion"/>
  </si>
  <si>
    <t>%</t>
    <phoneticPr fontId="1" type="noConversion"/>
  </si>
  <si>
    <t>N</t>
    <phoneticPr fontId="1" type="noConversion"/>
  </si>
  <si>
    <t>worst case</t>
    <phoneticPr fontId="1" type="noConversion"/>
  </si>
  <si>
    <t>SoC after mission or S-band COM except margin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</si>
</sst>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_);[Red]\(0.00000\)"/>
    <numFmt numFmtId="177" formatCode="0_);[Red]\(0\)"/>
  </numFmts>
  <fonts count="3" x14ac:knownFonts="1">
    <font>
      <sz val="11"/>
      <color theme="1"/>
      <name val="D2Coding"/>
      <family val="2"/>
      <charset val="129"/>
    </font>
    <font>
      <sz val="8"/>
      <name val="D2Coding"/>
      <family val="2"/>
      <charset val="129"/>
    </font>
    <font>
      <sz val="11"/>
      <name val="D2Coding"/>
      <family val="2"/>
      <charset val="129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6" fontId="0" fillId="0" borderId="4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76" fontId="0" fillId="0" borderId="8" xfId="0" applyNumberFormat="1" applyFill="1" applyBorder="1" applyAlignment="1">
      <alignment horizontal="right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6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Alignment="1">
      <alignment horizontal="left" vertical="center"/>
    </xf>
    <xf numFmtId="176" fontId="0" fillId="5" borderId="4" xfId="0" applyNumberFormat="1" applyFill="1" applyBorder="1" applyAlignment="1">
      <alignment horizontal="right" vertical="center"/>
    </xf>
    <xf numFmtId="0" fontId="0" fillId="5" borderId="4" xfId="0" applyFill="1" applyBorder="1" applyAlignment="1">
      <alignment horizontal="center" vertical="center"/>
    </xf>
    <xf numFmtId="0" fontId="0" fillId="5" borderId="4" xfId="0" applyFill="1" applyBorder="1" applyAlignment="1">
      <alignment horizontal="right" vertical="center"/>
    </xf>
    <xf numFmtId="0" fontId="0" fillId="0" borderId="5" xfId="0" applyFill="1" applyBorder="1" applyAlignment="1">
      <alignment vertical="center"/>
    </xf>
    <xf numFmtId="0" fontId="0" fillId="0" borderId="7" xfId="0" applyFill="1" applyBorder="1" applyAlignment="1">
      <alignment vertical="center"/>
    </xf>
    <xf numFmtId="176" fontId="0" fillId="0" borderId="0" xfId="0" applyNumberFormat="1" applyFill="1" applyBorder="1" applyAlignment="1">
      <alignment vertical="center"/>
    </xf>
    <xf numFmtId="0" fontId="0" fillId="5" borderId="5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5" borderId="10" xfId="0" applyFill="1" applyBorder="1" applyAlignment="1">
      <alignment horizontal="left" vertical="center"/>
    </xf>
    <xf numFmtId="0" fontId="0" fillId="5" borderId="14" xfId="0" applyFill="1" applyBorder="1" applyAlignment="1">
      <alignment horizontal="center" vertical="center"/>
    </xf>
    <xf numFmtId="0" fontId="0" fillId="0" borderId="4" xfId="0" applyFill="1" applyBorder="1" applyAlignment="1">
      <alignment vertical="center"/>
    </xf>
    <xf numFmtId="176" fontId="0" fillId="0" borderId="2" xfId="0" applyNumberFormat="1" applyFill="1" applyBorder="1" applyAlignment="1">
      <alignment horizontal="center" vertical="center"/>
    </xf>
    <xf numFmtId="177" fontId="0" fillId="0" borderId="0" xfId="0" applyNumberFormat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2" xfId="0" applyFill="1" applyBorder="1" applyAlignment="1">
      <alignment vertical="center"/>
    </xf>
    <xf numFmtId="0" fontId="0" fillId="0" borderId="0" xfId="0" applyFill="1" applyAlignment="1">
      <alignment horizontal="left" vertical="center"/>
    </xf>
    <xf numFmtId="0" fontId="2" fillId="5" borderId="4" xfId="0" applyFont="1" applyFill="1" applyBorder="1" applyAlignment="1">
      <alignment horizontal="right" vertical="center"/>
    </xf>
    <xf numFmtId="176" fontId="0" fillId="2" borderId="4" xfId="0" applyNumberFormat="1" applyFill="1" applyBorder="1" applyAlignment="1">
      <alignment horizontal="right" vertical="center"/>
    </xf>
    <xf numFmtId="176" fontId="0" fillId="2" borderId="2" xfId="0" applyNumberFormat="1" applyFill="1" applyBorder="1" applyAlignment="1">
      <alignment horizontal="right" vertical="center"/>
    </xf>
    <xf numFmtId="9" fontId="0" fillId="2" borderId="4" xfId="0" applyNumberFormat="1" applyFill="1" applyBorder="1" applyAlignment="1">
      <alignment horizontal="right" vertical="center"/>
    </xf>
    <xf numFmtId="176" fontId="0" fillId="3" borderId="4" xfId="0" applyNumberFormat="1" applyFill="1" applyBorder="1" applyAlignment="1">
      <alignment horizontal="right" vertical="center"/>
    </xf>
    <xf numFmtId="176" fontId="0" fillId="3" borderId="2" xfId="0" applyNumberFormat="1" applyFill="1" applyBorder="1" applyAlignment="1">
      <alignment horizontal="right" vertical="center"/>
    </xf>
    <xf numFmtId="9" fontId="0" fillId="3" borderId="4" xfId="0" applyNumberFormat="1" applyFill="1" applyBorder="1" applyAlignment="1">
      <alignment horizontal="right" vertical="center"/>
    </xf>
    <xf numFmtId="0" fontId="0" fillId="3" borderId="0" xfId="0" applyFill="1" applyAlignment="1">
      <alignment horizontal="center" vertical="center"/>
    </xf>
    <xf numFmtId="176" fontId="0" fillId="4" borderId="4" xfId="0" applyNumberFormat="1" applyFill="1" applyBorder="1" applyAlignment="1">
      <alignment horizontal="right" vertical="center"/>
    </xf>
    <xf numFmtId="176" fontId="0" fillId="4" borderId="2" xfId="0" applyNumberFormat="1" applyFill="1" applyBorder="1" applyAlignment="1">
      <alignment horizontal="right" vertical="center"/>
    </xf>
    <xf numFmtId="9" fontId="0" fillId="4" borderId="4" xfId="0" applyNumberFormat="1" applyFill="1" applyBorder="1" applyAlignment="1">
      <alignment horizontal="right" vertical="center"/>
    </xf>
    <xf numFmtId="0" fontId="0" fillId="0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won soyoung" id="{DF837026-7C6A-494A-8C16-D7DACA13093A}" userId="30824b788559e4f0" providerId="Windows Live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28" dT="2022-05-19T22:02:41.22" personId="{DF837026-7C6A-494A-8C16-D7DACA13093A}" id="{FF1EB6E7-4910-435C-83D8-2D6E837FC469}">
    <text>eclipse period + sunlight period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C3018-7E71-4688-AB39-9D5D3CD43AA0}">
  <dimension ref="B2:H28"/>
  <sheetViews>
    <sheetView workbookViewId="0">
      <selection activeCell="C5" sqref="C5"/>
    </sheetView>
  </sheetViews>
  <sheetFormatPr defaultRowHeight="14.6" x14ac:dyDescent="0.4"/>
  <cols>
    <col min="2" max="2" width="54.69140625" bestFit="1" customWidth="1"/>
    <col min="5" max="5" width="6.3828125" customWidth="1"/>
    <col min="6" max="6" width="9.3046875" customWidth="1"/>
    <col min="7" max="7" width="9.15234375" bestFit="1" customWidth="1"/>
    <col min="8" max="8" width="14.15234375" bestFit="1" customWidth="1"/>
  </cols>
  <sheetData>
    <row r="2" spans="2:8" x14ac:dyDescent="0.4">
      <c r="B2" s="1" t="s">
        <v>0</v>
      </c>
    </row>
    <row r="4" spans="2:8" x14ac:dyDescent="0.4">
      <c r="B4" t="s">
        <v>3</v>
      </c>
      <c r="C4">
        <v>500</v>
      </c>
      <c r="E4" t="s">
        <v>77</v>
      </c>
      <c r="F4" s="37">
        <v>2</v>
      </c>
      <c r="G4" s="37">
        <v>0</v>
      </c>
      <c r="H4">
        <v>3.3342999503020398</v>
      </c>
    </row>
    <row r="5" spans="2:8" x14ac:dyDescent="0.4">
      <c r="B5" t="s">
        <v>78</v>
      </c>
      <c r="C5">
        <f>INDEX(G4:H28,MATCH(F4,G4:G28,0),2)</f>
        <v>-23.528290252111699</v>
      </c>
      <c r="G5" s="37">
        <v>1</v>
      </c>
      <c r="H5">
        <v>-10.271498329457399</v>
      </c>
    </row>
    <row r="6" spans="2:8" x14ac:dyDescent="0.4">
      <c r="B6" t="s">
        <v>1</v>
      </c>
      <c r="C6">
        <v>398600</v>
      </c>
      <c r="G6" s="37">
        <v>2</v>
      </c>
      <c r="H6">
        <v>-23.528290252111699</v>
      </c>
    </row>
    <row r="7" spans="2:8" x14ac:dyDescent="0.4">
      <c r="B7" t="s">
        <v>2</v>
      </c>
      <c r="C7">
        <v>6378.14</v>
      </c>
      <c r="G7" s="37">
        <v>3</v>
      </c>
      <c r="H7">
        <v>-36.118151262630199</v>
      </c>
    </row>
    <row r="8" spans="2:8" x14ac:dyDescent="0.4">
      <c r="B8" t="s">
        <v>4</v>
      </c>
      <c r="C8">
        <f>2*PI()*SQRT(($C$7+$C$4)^3/$C$6)</f>
        <v>5676.9848887954295</v>
      </c>
      <c r="G8" s="37">
        <v>4</v>
      </c>
      <c r="H8">
        <v>-47.400155406867697</v>
      </c>
    </row>
    <row r="9" spans="2:8" x14ac:dyDescent="0.4">
      <c r="G9" s="37">
        <v>5</v>
      </c>
      <c r="H9" s="38">
        <v>-56.011313651595202</v>
      </c>
    </row>
    <row r="10" spans="2:8" x14ac:dyDescent="0.4">
      <c r="B10" t="s">
        <v>5</v>
      </c>
      <c r="C10">
        <f>IF(C5 &lt; ASIN(C7/(C7+C4))*180/PI(), (360-2*ASIN((((1/COS(C5*PI()/180))^2)*(((C7/(C7+C4))^2-(SIN(C5*PI()/180))^2)))^0.5)*180/PI())/360*C8, C8)</f>
        <v>3598.407478611648</v>
      </c>
      <c r="G10" s="37">
        <v>6</v>
      </c>
      <c r="H10" s="38">
        <v>-59.571099866250798</v>
      </c>
    </row>
    <row r="11" spans="2:8" x14ac:dyDescent="0.4">
      <c r="B11" t="s">
        <v>6</v>
      </c>
      <c r="C11">
        <f>C8-C10</f>
        <v>2078.5774101837815</v>
      </c>
      <c r="G11" s="37">
        <v>7</v>
      </c>
      <c r="H11" s="38">
        <v>-56.426129695037702</v>
      </c>
    </row>
    <row r="12" spans="2:8" x14ac:dyDescent="0.4">
      <c r="B12" t="s">
        <v>7</v>
      </c>
      <c r="C12">
        <f>90</f>
        <v>90</v>
      </c>
      <c r="G12" s="37">
        <v>8</v>
      </c>
      <c r="H12">
        <v>-48.062620260921399</v>
      </c>
    </row>
    <row r="13" spans="2:8" x14ac:dyDescent="0.4">
      <c r="G13" s="37">
        <v>9</v>
      </c>
      <c r="H13">
        <v>-36.902155799572</v>
      </c>
    </row>
    <row r="14" spans="2:8" x14ac:dyDescent="0.4">
      <c r="B14" t="s">
        <v>63</v>
      </c>
      <c r="C14">
        <v>0.2</v>
      </c>
      <c r="G14" s="37">
        <v>10</v>
      </c>
      <c r="H14">
        <v>-24.37277069061</v>
      </c>
    </row>
    <row r="15" spans="2:8" x14ac:dyDescent="0.4">
      <c r="B15" t="s">
        <v>64</v>
      </c>
      <c r="C15">
        <v>0.9</v>
      </c>
      <c r="G15" s="37">
        <v>11</v>
      </c>
      <c r="H15">
        <v>-11.147552962117</v>
      </c>
    </row>
    <row r="16" spans="2:8" x14ac:dyDescent="0.4">
      <c r="B16" t="s">
        <v>65</v>
      </c>
      <c r="C16">
        <v>0.4</v>
      </c>
      <c r="G16" s="37">
        <v>12</v>
      </c>
      <c r="H16">
        <v>2.4420052163108199</v>
      </c>
    </row>
    <row r="17" spans="7:8" x14ac:dyDescent="0.4">
      <c r="G17" s="37">
        <v>13</v>
      </c>
      <c r="H17">
        <v>16.205456724665702</v>
      </c>
    </row>
    <row r="18" spans="7:8" x14ac:dyDescent="0.4">
      <c r="G18" s="37">
        <v>14</v>
      </c>
      <c r="H18">
        <v>29.998122792946798</v>
      </c>
    </row>
    <row r="19" spans="7:8" x14ac:dyDescent="0.4">
      <c r="G19" s="37">
        <v>15</v>
      </c>
      <c r="H19">
        <v>43.647692426302797</v>
      </c>
    </row>
    <row r="20" spans="7:8" x14ac:dyDescent="0.4">
      <c r="G20" s="37">
        <v>16</v>
      </c>
      <c r="H20" s="38">
        <v>56.810926741248501</v>
      </c>
    </row>
    <row r="21" spans="7:8" x14ac:dyDescent="0.4">
      <c r="G21" s="37">
        <v>17</v>
      </c>
      <c r="H21" s="38">
        <v>68.422001172795902</v>
      </c>
    </row>
    <row r="22" spans="7:8" x14ac:dyDescent="0.4">
      <c r="G22" s="37">
        <v>18</v>
      </c>
      <c r="H22" s="38">
        <v>74.371379328089901</v>
      </c>
    </row>
    <row r="23" spans="7:8" x14ac:dyDescent="0.4">
      <c r="G23" s="37">
        <v>19</v>
      </c>
      <c r="H23" s="38">
        <v>69.058097270869794</v>
      </c>
    </row>
    <row r="24" spans="7:8" x14ac:dyDescent="0.4">
      <c r="G24" s="37">
        <v>20</v>
      </c>
      <c r="H24" s="38">
        <v>57.633973354615897</v>
      </c>
    </row>
    <row r="25" spans="7:8" x14ac:dyDescent="0.4">
      <c r="G25" s="37">
        <v>21</v>
      </c>
      <c r="H25" s="38">
        <v>44.524976015620197</v>
      </c>
    </row>
    <row r="26" spans="7:8" x14ac:dyDescent="0.4">
      <c r="G26" s="37">
        <v>22</v>
      </c>
      <c r="H26">
        <v>30.893332021598599</v>
      </c>
    </row>
    <row r="27" spans="7:8" x14ac:dyDescent="0.4">
      <c r="G27" s="37">
        <v>23</v>
      </c>
      <c r="H27">
        <v>17.103944718787101</v>
      </c>
    </row>
    <row r="28" spans="7:8" x14ac:dyDescent="0.4">
      <c r="G28" s="37">
        <v>24</v>
      </c>
      <c r="H28">
        <v>3.3342999503020398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42B07-71D3-4ED8-9756-DD557F1EF167}">
  <dimension ref="B2:W50"/>
  <sheetViews>
    <sheetView tabSelected="1" topLeftCell="D1" zoomScale="85" zoomScaleNormal="85" workbookViewId="0">
      <selection activeCell="V27" sqref="V27"/>
    </sheetView>
  </sheetViews>
  <sheetFormatPr defaultColWidth="9.15234375" defaultRowHeight="14.6" x14ac:dyDescent="0.4"/>
  <cols>
    <col min="1" max="1" width="9.15234375" style="1"/>
    <col min="2" max="2" width="10.69140625" style="1" bestFit="1" customWidth="1"/>
    <col min="3" max="3" width="16.3828125" style="1" bestFit="1" customWidth="1"/>
    <col min="4" max="4" width="31" style="1" bestFit="1" customWidth="1"/>
    <col min="5" max="5" width="17" style="1" bestFit="1" customWidth="1"/>
    <col min="6" max="6" width="15.3046875" style="1" bestFit="1" customWidth="1"/>
    <col min="7" max="12" width="10.84375" style="7" bestFit="1" customWidth="1"/>
    <col min="13" max="13" width="10.84375" style="7" customWidth="1"/>
    <col min="14" max="16" width="15.69140625" style="7" customWidth="1"/>
    <col min="17" max="17" width="14.3046875" style="7" bestFit="1" customWidth="1"/>
    <col min="18" max="19" width="13.3828125" style="7" bestFit="1" customWidth="1"/>
    <col min="20" max="20" width="4" style="7" bestFit="1" customWidth="1"/>
    <col min="21" max="21" width="17.15234375" style="7" customWidth="1"/>
    <col min="22" max="22" width="25.69140625" style="7" bestFit="1" customWidth="1"/>
    <col min="23" max="23" width="10.53515625" style="1" bestFit="1" customWidth="1"/>
    <col min="24" max="24" width="24.53515625" style="1" bestFit="1" customWidth="1"/>
    <col min="25" max="25" width="13.15234375" style="1" bestFit="1" customWidth="1"/>
    <col min="26" max="16384" width="9.15234375" style="1"/>
  </cols>
  <sheetData>
    <row r="2" spans="2:23" x14ac:dyDescent="0.4">
      <c r="B2" s="2" t="s">
        <v>10</v>
      </c>
      <c r="C2" s="2" t="s">
        <v>8</v>
      </c>
      <c r="D2" s="2" t="s">
        <v>9</v>
      </c>
      <c r="E2" s="2" t="s">
        <v>39</v>
      </c>
      <c r="F2" s="2" t="s">
        <v>35</v>
      </c>
      <c r="G2" s="54" t="s">
        <v>43</v>
      </c>
      <c r="H2" s="54"/>
      <c r="I2" s="54"/>
      <c r="J2" s="54" t="s">
        <v>56</v>
      </c>
      <c r="K2" s="54"/>
      <c r="L2" s="54"/>
      <c r="M2" s="14"/>
      <c r="N2" s="35" t="s">
        <v>74</v>
      </c>
      <c r="O2" s="25"/>
      <c r="P2" s="19"/>
      <c r="Q2" s="25" t="s">
        <v>62</v>
      </c>
      <c r="R2" s="19"/>
      <c r="S2" s="40"/>
      <c r="T2" s="26"/>
      <c r="U2" s="41"/>
      <c r="V2" s="4" t="s">
        <v>58</v>
      </c>
      <c r="W2" s="7"/>
    </row>
    <row r="3" spans="2:23" x14ac:dyDescent="0.4">
      <c r="B3" s="2"/>
      <c r="C3" s="2"/>
      <c r="D3" s="4"/>
      <c r="E3" s="4"/>
      <c r="F3" s="2"/>
      <c r="G3" s="4" t="s">
        <v>60</v>
      </c>
      <c r="H3" s="4" t="s">
        <v>37</v>
      </c>
      <c r="I3" s="4" t="s">
        <v>38</v>
      </c>
      <c r="J3" s="4" t="s">
        <v>36</v>
      </c>
      <c r="K3" s="4" t="s">
        <v>37</v>
      </c>
      <c r="L3" s="4" t="s">
        <v>38</v>
      </c>
      <c r="M3" s="14" t="s">
        <v>39</v>
      </c>
      <c r="N3" s="4" t="s">
        <v>53</v>
      </c>
      <c r="O3" s="4" t="s">
        <v>72</v>
      </c>
      <c r="P3" s="4" t="s">
        <v>73</v>
      </c>
      <c r="Q3" s="4" t="s">
        <v>53</v>
      </c>
      <c r="R3" s="4" t="s">
        <v>72</v>
      </c>
      <c r="S3" s="4" t="s">
        <v>73</v>
      </c>
      <c r="T3" s="4"/>
      <c r="U3" s="1"/>
      <c r="V3" s="21" t="s">
        <v>54</v>
      </c>
      <c r="W3" s="1">
        <v>5676.9848887954295</v>
      </c>
    </row>
    <row r="4" spans="2:23" x14ac:dyDescent="0.4">
      <c r="B4" s="2"/>
      <c r="C4" s="2"/>
      <c r="D4" s="4"/>
      <c r="E4" s="4"/>
      <c r="F4" s="2"/>
      <c r="G4" s="11"/>
      <c r="H4" s="11"/>
      <c r="I4" s="11"/>
      <c r="J4" s="11"/>
      <c r="K4" s="11"/>
      <c r="L4" s="11"/>
      <c r="M4" s="36" t="s">
        <v>75</v>
      </c>
      <c r="N4" s="11">
        <f>W5</f>
        <v>3598.407478611648</v>
      </c>
      <c r="O4" s="11">
        <f>W4</f>
        <v>900</v>
      </c>
      <c r="P4" s="11">
        <f>W4</f>
        <v>900</v>
      </c>
      <c r="Q4" s="11"/>
      <c r="R4" s="11"/>
      <c r="S4" s="11"/>
      <c r="T4" s="4"/>
      <c r="U4" s="1"/>
      <c r="V4" s="21" t="s">
        <v>55</v>
      </c>
      <c r="W4" s="1">
        <f>15*60</f>
        <v>900</v>
      </c>
    </row>
    <row r="5" spans="2:23" x14ac:dyDescent="0.4">
      <c r="B5" s="4" t="s">
        <v>12</v>
      </c>
      <c r="C5" s="4"/>
      <c r="D5" s="4"/>
      <c r="E5" s="4"/>
      <c r="F5" s="3">
        <v>3.3</v>
      </c>
      <c r="G5" s="44"/>
      <c r="H5" s="44">
        <f>K5/F5</f>
        <v>6.0606060606060615E-2</v>
      </c>
      <c r="I5" s="44"/>
      <c r="J5" s="44"/>
      <c r="K5" s="44">
        <v>0.2</v>
      </c>
      <c r="L5" s="44"/>
      <c r="M5" s="45"/>
      <c r="N5" s="46">
        <v>0</v>
      </c>
      <c r="O5" s="46">
        <v>1</v>
      </c>
      <c r="P5" s="46">
        <v>0</v>
      </c>
      <c r="Q5" s="44">
        <f t="shared" ref="Q5:Q24" si="0">N5*K5</f>
        <v>0</v>
      </c>
      <c r="R5" s="44">
        <f>O5*K5</f>
        <v>0.2</v>
      </c>
      <c r="S5" s="44">
        <f>P5*K5</f>
        <v>0</v>
      </c>
      <c r="T5" s="4"/>
      <c r="U5" s="1"/>
      <c r="V5" s="21" t="s">
        <v>79</v>
      </c>
      <c r="W5" s="1">
        <f>parameter!C10</f>
        <v>3598.407478611648</v>
      </c>
    </row>
    <row r="6" spans="2:23" x14ac:dyDescent="0.4">
      <c r="B6" s="4" t="s">
        <v>11</v>
      </c>
      <c r="C6" s="4"/>
      <c r="D6" s="4"/>
      <c r="E6" s="4"/>
      <c r="F6" s="5">
        <v>5</v>
      </c>
      <c r="G6" s="47"/>
      <c r="H6" s="47">
        <f>K6/F6</f>
        <v>0.04</v>
      </c>
      <c r="I6" s="47">
        <f>L6/F6</f>
        <v>0.4</v>
      </c>
      <c r="J6" s="47"/>
      <c r="K6" s="47">
        <v>0.2</v>
      </c>
      <c r="L6" s="47">
        <v>2</v>
      </c>
      <c r="M6" s="48"/>
      <c r="N6" s="49">
        <v>1</v>
      </c>
      <c r="O6" s="49">
        <v>0</v>
      </c>
      <c r="P6" s="49">
        <v>0</v>
      </c>
      <c r="Q6" s="47">
        <f t="shared" si="0"/>
        <v>0.2</v>
      </c>
      <c r="R6" s="47">
        <f>O6*K6</f>
        <v>0</v>
      </c>
      <c r="S6" s="47">
        <f>P6*K6</f>
        <v>0</v>
      </c>
      <c r="T6" s="4"/>
      <c r="U6" s="1"/>
      <c r="V6" s="21" t="s">
        <v>80</v>
      </c>
      <c r="W6" s="1">
        <f>parameter!C11</f>
        <v>2078.5774101837815</v>
      </c>
    </row>
    <row r="7" spans="2:23" x14ac:dyDescent="0.4">
      <c r="B7" s="4" t="s">
        <v>13</v>
      </c>
      <c r="C7" s="4" t="s">
        <v>18</v>
      </c>
      <c r="D7" s="4" t="s">
        <v>29</v>
      </c>
      <c r="E7" s="4"/>
      <c r="F7" s="3">
        <v>3.3</v>
      </c>
      <c r="G7" s="44">
        <v>0.115</v>
      </c>
      <c r="H7" s="44">
        <v>0.24199999999999999</v>
      </c>
      <c r="I7" s="44">
        <v>0.39400000000000002</v>
      </c>
      <c r="J7" s="44">
        <f>F7*G7</f>
        <v>0.3795</v>
      </c>
      <c r="K7" s="44">
        <f>H7*F7</f>
        <v>0.79859999999999998</v>
      </c>
      <c r="L7" s="44">
        <f>I7*F7</f>
        <v>1.3002</v>
      </c>
      <c r="M7" s="45"/>
      <c r="N7" s="46">
        <v>0</v>
      </c>
      <c r="O7" s="46">
        <v>1</v>
      </c>
      <c r="P7" s="46">
        <v>0</v>
      </c>
      <c r="Q7" s="44">
        <f t="shared" si="0"/>
        <v>0</v>
      </c>
      <c r="R7" s="44">
        <f>O7*L7</f>
        <v>1.3002</v>
      </c>
      <c r="S7" s="44">
        <f>P7*L7</f>
        <v>0</v>
      </c>
      <c r="T7" s="4"/>
      <c r="U7" s="1"/>
      <c r="V7" s="21"/>
    </row>
    <row r="8" spans="2:23" x14ac:dyDescent="0.4">
      <c r="B8" s="8" t="s">
        <v>14</v>
      </c>
      <c r="C8" s="8" t="s">
        <v>26</v>
      </c>
      <c r="D8" s="4" t="s">
        <v>45</v>
      </c>
      <c r="E8" s="4"/>
      <c r="F8" s="3">
        <v>3.3</v>
      </c>
      <c r="G8" s="44"/>
      <c r="H8" s="44">
        <f>0.12/F8</f>
        <v>3.6363636363636362E-2</v>
      </c>
      <c r="I8" s="44">
        <f>0.2/F8</f>
        <v>6.0606060606060615E-2</v>
      </c>
      <c r="J8" s="44"/>
      <c r="K8" s="44">
        <f t="shared" ref="K8:K16" si="1">H8*F8</f>
        <v>0.11999999999999998</v>
      </c>
      <c r="L8" s="44">
        <f>I8*F8</f>
        <v>0.2</v>
      </c>
      <c r="M8" s="45"/>
      <c r="N8" s="46">
        <f>1</f>
        <v>1</v>
      </c>
      <c r="O8" s="46">
        <v>1</v>
      </c>
      <c r="P8" s="46">
        <v>1</v>
      </c>
      <c r="Q8" s="44">
        <f t="shared" si="0"/>
        <v>0.11999999999999998</v>
      </c>
      <c r="R8" s="44">
        <f>O8*$L$8+$K$8*(1-O8)</f>
        <v>0.2</v>
      </c>
      <c r="S8" s="44">
        <f>P8*$L$8+$K$8*(1-P8)</f>
        <v>0.2</v>
      </c>
      <c r="T8" s="4"/>
      <c r="U8" s="1"/>
      <c r="V8" s="21" t="s">
        <v>81</v>
      </c>
      <c r="W8" s="1">
        <v>0.3</v>
      </c>
    </row>
    <row r="9" spans="2:23" x14ac:dyDescent="0.4">
      <c r="B9" s="9"/>
      <c r="C9" s="9"/>
      <c r="D9" s="4" t="s">
        <v>46</v>
      </c>
      <c r="E9" s="4"/>
      <c r="F9" s="3">
        <v>3.3</v>
      </c>
      <c r="G9" s="44"/>
      <c r="H9" s="44">
        <f>0.2/F9</f>
        <v>6.0606060606060615E-2</v>
      </c>
      <c r="I9" s="44">
        <f>0.4/F9</f>
        <v>0.12121212121212123</v>
      </c>
      <c r="J9" s="44"/>
      <c r="K9" s="44">
        <f t="shared" si="1"/>
        <v>0.2</v>
      </c>
      <c r="L9" s="44">
        <f>I9*F9</f>
        <v>0.4</v>
      </c>
      <c r="M9" s="45"/>
      <c r="N9" s="46">
        <f>1</f>
        <v>1</v>
      </c>
      <c r="O9" s="46">
        <v>1</v>
      </c>
      <c r="P9" s="46">
        <v>1</v>
      </c>
      <c r="Q9" s="44">
        <f t="shared" si="0"/>
        <v>0.2</v>
      </c>
      <c r="R9" s="44">
        <f>O9*$L$9+$K$9*(1-O9)</f>
        <v>0.4</v>
      </c>
      <c r="S9" s="44">
        <f>P9*$L$9+$K$9*(1-P9)</f>
        <v>0.4</v>
      </c>
      <c r="T9" s="4"/>
      <c r="U9" s="1"/>
      <c r="V9" s="1" t="s">
        <v>82</v>
      </c>
      <c r="W9" s="1">
        <v>0.6</v>
      </c>
    </row>
    <row r="10" spans="2:23" x14ac:dyDescent="0.4">
      <c r="B10" s="9"/>
      <c r="C10" s="9"/>
      <c r="D10" s="4" t="s">
        <v>50</v>
      </c>
      <c r="E10" s="4"/>
      <c r="F10" s="5">
        <v>5</v>
      </c>
      <c r="G10" s="47"/>
      <c r="H10" s="47">
        <f>0.07*5/5</f>
        <v>7.0000000000000007E-2</v>
      </c>
      <c r="I10" s="47">
        <f>0.167*5/5</f>
        <v>0.16700000000000001</v>
      </c>
      <c r="J10" s="47"/>
      <c r="K10" s="47">
        <f>H10*F10</f>
        <v>0.35000000000000003</v>
      </c>
      <c r="L10" s="47">
        <f>I10*F10</f>
        <v>0.83500000000000008</v>
      </c>
      <c r="M10" s="48"/>
      <c r="N10" s="49">
        <f>1</f>
        <v>1</v>
      </c>
      <c r="O10" s="49">
        <v>1</v>
      </c>
      <c r="P10" s="49">
        <v>1</v>
      </c>
      <c r="Q10" s="47">
        <f t="shared" si="0"/>
        <v>0.35000000000000003</v>
      </c>
      <c r="R10" s="47">
        <f>O10*$L$10+$K$10*(1-O10)</f>
        <v>0.83500000000000008</v>
      </c>
      <c r="S10" s="47">
        <f>P10*$L$10+$K$10*(1-P10)</f>
        <v>0.83500000000000008</v>
      </c>
      <c r="T10" s="4"/>
      <c r="U10" s="1"/>
      <c r="V10" s="1" t="s">
        <v>83</v>
      </c>
      <c r="W10" s="1">
        <v>0.8</v>
      </c>
    </row>
    <row r="11" spans="2:23" x14ac:dyDescent="0.4">
      <c r="B11" s="9"/>
      <c r="C11" s="9"/>
      <c r="D11" s="4" t="s">
        <v>51</v>
      </c>
      <c r="E11" s="4"/>
      <c r="F11" s="5">
        <v>5</v>
      </c>
      <c r="G11" s="47"/>
      <c r="H11" s="47">
        <f>0.064/F11</f>
        <v>1.2800000000000001E-2</v>
      </c>
      <c r="I11" s="47"/>
      <c r="J11" s="47"/>
      <c r="K11" s="47">
        <f t="shared" si="1"/>
        <v>6.4000000000000001E-2</v>
      </c>
      <c r="L11" s="47"/>
      <c r="M11" s="48"/>
      <c r="N11" s="49">
        <f>1</f>
        <v>1</v>
      </c>
      <c r="O11" s="49">
        <v>1</v>
      </c>
      <c r="P11" s="49">
        <v>1</v>
      </c>
      <c r="Q11" s="47">
        <f t="shared" si="0"/>
        <v>6.4000000000000001E-2</v>
      </c>
      <c r="R11" s="47">
        <f>O11*$L$11+$K$11*(1-O11)</f>
        <v>0</v>
      </c>
      <c r="S11" s="47">
        <f>P11*$L$11+$K$11*(1-P11)</f>
        <v>0</v>
      </c>
      <c r="T11" s="4"/>
      <c r="U11" s="1"/>
      <c r="V11" s="1" t="s">
        <v>84</v>
      </c>
      <c r="W11" s="1">
        <v>0.8</v>
      </c>
    </row>
    <row r="12" spans="2:23" x14ac:dyDescent="0.4">
      <c r="B12" s="9"/>
      <c r="C12" s="9"/>
      <c r="D12" s="4" t="s">
        <v>47</v>
      </c>
      <c r="E12" s="4"/>
      <c r="F12" s="3">
        <v>3.3</v>
      </c>
      <c r="G12" s="44"/>
      <c r="H12" s="44">
        <f>0.2/F12</f>
        <v>6.0606060606060615E-2</v>
      </c>
      <c r="I12" s="44"/>
      <c r="J12" s="44"/>
      <c r="K12" s="44">
        <f t="shared" si="1"/>
        <v>0.2</v>
      </c>
      <c r="L12" s="44"/>
      <c r="M12" s="45"/>
      <c r="N12" s="46">
        <f>1</f>
        <v>1</v>
      </c>
      <c r="O12" s="46">
        <v>1</v>
      </c>
      <c r="P12" s="46">
        <v>1</v>
      </c>
      <c r="Q12" s="44">
        <f t="shared" si="0"/>
        <v>0.2</v>
      </c>
      <c r="R12" s="44">
        <f>O12*$L$12+$K$12*(1-O12)</f>
        <v>0</v>
      </c>
      <c r="S12" s="44">
        <f>P12*$L$12+$K$12*(1-P12)</f>
        <v>0</v>
      </c>
      <c r="T12" s="4"/>
      <c r="U12" s="1"/>
      <c r="V12" s="1"/>
    </row>
    <row r="13" spans="2:23" x14ac:dyDescent="0.4">
      <c r="B13" s="9"/>
      <c r="C13" s="9"/>
      <c r="D13" s="4" t="s">
        <v>48</v>
      </c>
      <c r="E13" s="4"/>
      <c r="F13" s="3">
        <v>3.3</v>
      </c>
      <c r="G13" s="44"/>
      <c r="H13" s="44">
        <f>0.035/F13</f>
        <v>1.0606060606060608E-2</v>
      </c>
      <c r="I13" s="44"/>
      <c r="J13" s="44"/>
      <c r="K13" s="44">
        <f t="shared" si="1"/>
        <v>3.5000000000000003E-2</v>
      </c>
      <c r="L13" s="44"/>
      <c r="M13" s="45"/>
      <c r="N13" s="46">
        <f>1</f>
        <v>1</v>
      </c>
      <c r="O13" s="46">
        <v>1</v>
      </c>
      <c r="P13" s="46">
        <v>1</v>
      </c>
      <c r="Q13" s="44">
        <f t="shared" si="0"/>
        <v>3.5000000000000003E-2</v>
      </c>
      <c r="R13" s="44">
        <f>O13*$L$13+$K$13*(1-O13)</f>
        <v>0</v>
      </c>
      <c r="S13" s="44">
        <f>P13*$L$13+$K$13*(1-P13)</f>
        <v>0</v>
      </c>
      <c r="T13" s="4"/>
      <c r="U13" s="1"/>
      <c r="V13" s="1"/>
    </row>
    <row r="14" spans="2:23" x14ac:dyDescent="0.4">
      <c r="B14" s="9"/>
      <c r="C14" s="10"/>
      <c r="D14" s="4" t="s">
        <v>49</v>
      </c>
      <c r="E14" s="4"/>
      <c r="F14" s="6">
        <v>8.26</v>
      </c>
      <c r="G14" s="51">
        <f>0.065*3/F14</f>
        <v>2.3607748184019371E-2</v>
      </c>
      <c r="H14" s="51">
        <f>0.19*3/F14</f>
        <v>6.9007263922518172E-2</v>
      </c>
      <c r="I14" s="51">
        <f>2.3*3/F14</f>
        <v>0.83535108958837767</v>
      </c>
      <c r="J14" s="51">
        <f>F14*G14</f>
        <v>0.19500000000000001</v>
      </c>
      <c r="K14" s="51">
        <f t="shared" si="1"/>
        <v>0.57000000000000006</v>
      </c>
      <c r="L14" s="51">
        <f>I14*F14</f>
        <v>6.8999999999999995</v>
      </c>
      <c r="M14" s="52"/>
      <c r="N14" s="53">
        <f>1</f>
        <v>1</v>
      </c>
      <c r="O14" s="53">
        <v>1</v>
      </c>
      <c r="P14" s="53">
        <v>1</v>
      </c>
      <c r="Q14" s="51">
        <f t="shared" si="0"/>
        <v>0.57000000000000006</v>
      </c>
      <c r="R14" s="51">
        <f>O14*$L$14+$K$14*(1-O14)</f>
        <v>6.8999999999999995</v>
      </c>
      <c r="S14" s="51">
        <f>P14*$L$14+$K$14*(1-P14)</f>
        <v>6.8999999999999995</v>
      </c>
      <c r="T14" s="4"/>
      <c r="U14" s="1"/>
      <c r="V14" s="21" t="s">
        <v>63</v>
      </c>
      <c r="W14" s="1">
        <v>0.2</v>
      </c>
    </row>
    <row r="15" spans="2:23" x14ac:dyDescent="0.4">
      <c r="B15" s="9"/>
      <c r="C15" s="2" t="s">
        <v>27</v>
      </c>
      <c r="D15" s="4" t="s">
        <v>52</v>
      </c>
      <c r="E15" s="4"/>
      <c r="F15" s="3">
        <v>3.3</v>
      </c>
      <c r="G15" s="44"/>
      <c r="H15" s="44">
        <f>1.3/F15</f>
        <v>0.39393939393939398</v>
      </c>
      <c r="I15" s="44"/>
      <c r="J15" s="44"/>
      <c r="K15" s="44">
        <f t="shared" si="1"/>
        <v>1.3</v>
      </c>
      <c r="L15" s="44"/>
      <c r="M15" s="45"/>
      <c r="N15" s="46">
        <f>1</f>
        <v>1</v>
      </c>
      <c r="O15" s="46">
        <v>1</v>
      </c>
      <c r="P15" s="46">
        <v>1</v>
      </c>
      <c r="Q15" s="44">
        <f t="shared" si="0"/>
        <v>1.3</v>
      </c>
      <c r="R15" s="44">
        <f>O15*K15</f>
        <v>1.3</v>
      </c>
      <c r="S15" s="44">
        <f>P15*K15</f>
        <v>1.3</v>
      </c>
      <c r="T15" s="4"/>
      <c r="U15" s="1"/>
      <c r="V15" s="21" t="s">
        <v>64</v>
      </c>
      <c r="W15" s="1">
        <v>0.9</v>
      </c>
    </row>
    <row r="16" spans="2:23" x14ac:dyDescent="0.4">
      <c r="B16" s="10"/>
      <c r="C16" s="2" t="s">
        <v>28</v>
      </c>
      <c r="D16" s="4" t="s">
        <v>30</v>
      </c>
      <c r="E16" s="4"/>
      <c r="F16" s="3">
        <v>3.3</v>
      </c>
      <c r="G16" s="44"/>
      <c r="H16" s="44">
        <v>1.2E-2</v>
      </c>
      <c r="I16" s="44"/>
      <c r="J16" s="44"/>
      <c r="K16" s="44">
        <f t="shared" si="1"/>
        <v>3.9599999999999996E-2</v>
      </c>
      <c r="L16" s="44"/>
      <c r="M16" s="45"/>
      <c r="N16" s="46">
        <f>1</f>
        <v>1</v>
      </c>
      <c r="O16" s="46">
        <v>1</v>
      </c>
      <c r="P16" s="46">
        <v>1</v>
      </c>
      <c r="Q16" s="44">
        <f t="shared" si="0"/>
        <v>3.9599999999999996E-2</v>
      </c>
      <c r="R16" s="44">
        <f>O16*K16</f>
        <v>3.9599999999999996E-2</v>
      </c>
      <c r="S16" s="44">
        <f>P16*K16</f>
        <v>3.9599999999999996E-2</v>
      </c>
      <c r="T16" s="4"/>
      <c r="U16" s="1"/>
      <c r="V16" s="21" t="s">
        <v>65</v>
      </c>
      <c r="W16" s="1">
        <v>0.4</v>
      </c>
    </row>
    <row r="17" spans="2:22" x14ac:dyDescent="0.4">
      <c r="B17" s="8" t="s">
        <v>17</v>
      </c>
      <c r="C17" s="2" t="s">
        <v>19</v>
      </c>
      <c r="D17" s="4" t="s">
        <v>31</v>
      </c>
      <c r="E17" s="4"/>
      <c r="F17" s="6"/>
      <c r="G17" s="51"/>
      <c r="H17" s="51"/>
      <c r="I17" s="51"/>
      <c r="J17" s="51"/>
      <c r="K17" s="51">
        <v>0.1</v>
      </c>
      <c r="L17" s="51"/>
      <c r="M17" s="52"/>
      <c r="N17" s="53">
        <f>1</f>
        <v>1</v>
      </c>
      <c r="O17" s="53">
        <v>1</v>
      </c>
      <c r="P17" s="53">
        <v>1</v>
      </c>
      <c r="Q17" s="51">
        <f t="shared" si="0"/>
        <v>0.1</v>
      </c>
      <c r="R17" s="51">
        <f>O17*K17</f>
        <v>0.1</v>
      </c>
      <c r="S17" s="51">
        <f>P17*K17</f>
        <v>0.1</v>
      </c>
      <c r="T17" s="4"/>
      <c r="U17" s="1"/>
      <c r="V17" s="1"/>
    </row>
    <row r="18" spans="2:22" x14ac:dyDescent="0.4">
      <c r="B18" s="9"/>
      <c r="C18" s="2" t="s">
        <v>20</v>
      </c>
      <c r="D18" s="4" t="s">
        <v>32</v>
      </c>
      <c r="E18" s="4"/>
      <c r="F18" s="6"/>
      <c r="G18" s="51"/>
      <c r="H18" s="51"/>
      <c r="I18" s="51"/>
      <c r="J18" s="51"/>
      <c r="K18" s="51">
        <v>0.2</v>
      </c>
      <c r="L18" s="51"/>
      <c r="M18" s="52"/>
      <c r="N18" s="53">
        <f>1</f>
        <v>1</v>
      </c>
      <c r="O18" s="53">
        <v>1</v>
      </c>
      <c r="P18" s="53">
        <v>1</v>
      </c>
      <c r="Q18" s="51">
        <f t="shared" si="0"/>
        <v>0.2</v>
      </c>
      <c r="R18" s="51">
        <f>O18*K18</f>
        <v>0.2</v>
      </c>
      <c r="S18" s="51">
        <f>P18*K18</f>
        <v>0.2</v>
      </c>
      <c r="T18" s="4"/>
      <c r="U18" s="1"/>
      <c r="V18" s="1"/>
    </row>
    <row r="19" spans="2:22" x14ac:dyDescent="0.4">
      <c r="B19" s="10"/>
      <c r="C19" s="2" t="s">
        <v>21</v>
      </c>
      <c r="D19" s="4" t="s">
        <v>59</v>
      </c>
      <c r="E19" s="4"/>
      <c r="F19" s="3">
        <v>3.3</v>
      </c>
      <c r="G19" s="44"/>
      <c r="H19" s="44">
        <v>0</v>
      </c>
      <c r="I19" s="44"/>
      <c r="J19" s="44"/>
      <c r="K19" s="44">
        <f>H19*F19</f>
        <v>0</v>
      </c>
      <c r="L19" s="44"/>
      <c r="M19" s="45"/>
      <c r="N19" s="46">
        <f>1</f>
        <v>1</v>
      </c>
      <c r="O19" s="46">
        <v>1</v>
      </c>
      <c r="P19" s="46">
        <v>1</v>
      </c>
      <c r="Q19" s="44">
        <f t="shared" si="0"/>
        <v>0</v>
      </c>
      <c r="R19" s="44">
        <f>O19*K19</f>
        <v>0</v>
      </c>
      <c r="S19" s="44">
        <f>P19*K19</f>
        <v>0</v>
      </c>
      <c r="T19" s="4"/>
      <c r="U19" s="1"/>
      <c r="V19" s="1"/>
    </row>
    <row r="20" spans="2:22" x14ac:dyDescent="0.4">
      <c r="B20" s="2" t="s">
        <v>15</v>
      </c>
      <c r="C20" s="2" t="s">
        <v>22</v>
      </c>
      <c r="D20" s="4" t="s">
        <v>33</v>
      </c>
      <c r="E20" s="4"/>
      <c r="F20" s="3">
        <v>3.3</v>
      </c>
      <c r="G20" s="44"/>
      <c r="H20" s="44">
        <f>0.4/F20</f>
        <v>0.12121212121212123</v>
      </c>
      <c r="I20" s="44">
        <f>1/F20</f>
        <v>0.30303030303030304</v>
      </c>
      <c r="J20" s="44"/>
      <c r="K20" s="44">
        <f>H20*F20</f>
        <v>0.4</v>
      </c>
      <c r="L20" s="44">
        <f>I20*F20</f>
        <v>1</v>
      </c>
      <c r="M20" s="45"/>
      <c r="N20" s="46">
        <f>1</f>
        <v>1</v>
      </c>
      <c r="O20" s="46">
        <v>1</v>
      </c>
      <c r="P20" s="46">
        <v>1</v>
      </c>
      <c r="Q20" s="44">
        <f t="shared" si="0"/>
        <v>0.4</v>
      </c>
      <c r="R20" s="44">
        <f>O20*L20</f>
        <v>1</v>
      </c>
      <c r="S20" s="44">
        <f>P20*L20</f>
        <v>1</v>
      </c>
      <c r="T20" s="4"/>
      <c r="U20" s="1"/>
      <c r="V20" s="1"/>
    </row>
    <row r="21" spans="2:22" x14ac:dyDescent="0.4">
      <c r="B21" s="8" t="s">
        <v>16</v>
      </c>
      <c r="C21" s="2" t="s">
        <v>23</v>
      </c>
      <c r="D21" s="4" t="s">
        <v>42</v>
      </c>
      <c r="E21" s="4"/>
      <c r="F21" s="5">
        <v>5</v>
      </c>
      <c r="G21" s="47"/>
      <c r="H21" s="47">
        <f>0.04/F21</f>
        <v>8.0000000000000002E-3</v>
      </c>
      <c r="I21" s="47">
        <f>2/F21</f>
        <v>0.4</v>
      </c>
      <c r="J21" s="47"/>
      <c r="K21" s="47">
        <f>H21*F21</f>
        <v>0.04</v>
      </c>
      <c r="L21" s="47">
        <f>I21*F21</f>
        <v>2</v>
      </c>
      <c r="M21" s="48"/>
      <c r="N21" s="49">
        <f>1</f>
        <v>1</v>
      </c>
      <c r="O21" s="49">
        <v>1</v>
      </c>
      <c r="P21" s="49">
        <v>0</v>
      </c>
      <c r="Q21" s="47">
        <f t="shared" si="0"/>
        <v>0.04</v>
      </c>
      <c r="R21" s="47">
        <f>O21*K21</f>
        <v>0.04</v>
      </c>
      <c r="S21" s="47">
        <f>P21*L21</f>
        <v>0</v>
      </c>
      <c r="T21" s="4"/>
      <c r="U21" s="1"/>
      <c r="V21" s="1"/>
    </row>
    <row r="22" spans="2:22" x14ac:dyDescent="0.4">
      <c r="B22" s="9"/>
      <c r="C22" s="8" t="s">
        <v>25</v>
      </c>
      <c r="D22" s="12" t="s">
        <v>34</v>
      </c>
      <c r="E22" s="4" t="s">
        <v>40</v>
      </c>
      <c r="F22" s="3">
        <v>3.3</v>
      </c>
      <c r="G22" s="44">
        <v>4.4999999999999998E-2</v>
      </c>
      <c r="H22" s="44">
        <v>5.5E-2</v>
      </c>
      <c r="I22" s="44">
        <v>0.12</v>
      </c>
      <c r="J22" s="44">
        <f>F22*G22</f>
        <v>0.14849999999999999</v>
      </c>
      <c r="K22" s="44">
        <f>H22*F22</f>
        <v>0.18149999999999999</v>
      </c>
      <c r="L22" s="44">
        <f>I22*F22</f>
        <v>0.39599999999999996</v>
      </c>
      <c r="M22" s="45"/>
      <c r="N22" s="46">
        <f>900/W6</f>
        <v>0.43298844468843944</v>
      </c>
      <c r="O22" s="46">
        <v>0</v>
      </c>
      <c r="P22" s="46">
        <v>0</v>
      </c>
      <c r="Q22" s="44">
        <f t="shared" si="0"/>
        <v>7.8587402710951756E-2</v>
      </c>
      <c r="R22" s="44">
        <f>O22*L22</f>
        <v>0</v>
      </c>
      <c r="S22" s="44">
        <f>P22*L22</f>
        <v>0</v>
      </c>
      <c r="T22" s="4"/>
      <c r="U22" s="1"/>
      <c r="V22" s="1"/>
    </row>
    <row r="23" spans="2:22" x14ac:dyDescent="0.4">
      <c r="B23" s="9"/>
      <c r="C23" s="10"/>
      <c r="D23" s="13"/>
      <c r="E23" s="4" t="s">
        <v>41</v>
      </c>
      <c r="F23" s="3">
        <v>3.3</v>
      </c>
      <c r="G23" s="44">
        <v>0.6</v>
      </c>
      <c r="H23" s="44"/>
      <c r="I23" s="44">
        <v>1</v>
      </c>
      <c r="J23" s="44">
        <f>F23*G23</f>
        <v>1.9799999999999998</v>
      </c>
      <c r="K23" s="44"/>
      <c r="L23" s="44">
        <f>I23*F23</f>
        <v>3.3</v>
      </c>
      <c r="M23" s="45"/>
      <c r="N23" s="46">
        <v>0</v>
      </c>
      <c r="O23" s="46">
        <v>1</v>
      </c>
      <c r="P23" s="46">
        <v>0</v>
      </c>
      <c r="Q23" s="44">
        <f t="shared" si="0"/>
        <v>0</v>
      </c>
      <c r="R23" s="44">
        <f>O23*L23</f>
        <v>3.3</v>
      </c>
      <c r="S23" s="44">
        <f>P23*L23</f>
        <v>0</v>
      </c>
      <c r="T23" s="4"/>
      <c r="U23" s="1"/>
      <c r="V23" s="1"/>
    </row>
    <row r="24" spans="2:22" ht="15" customHeight="1" x14ac:dyDescent="0.4">
      <c r="B24" s="9"/>
      <c r="C24" s="8" t="s">
        <v>24</v>
      </c>
      <c r="D24" s="12" t="s">
        <v>76</v>
      </c>
      <c r="E24" s="4" t="s">
        <v>41</v>
      </c>
      <c r="F24" s="5">
        <v>5</v>
      </c>
      <c r="G24" s="50">
        <f>0.7/5</f>
        <v>0.13999999999999999</v>
      </c>
      <c r="H24" s="47">
        <f>3.1/5</f>
        <v>0.62</v>
      </c>
      <c r="I24" s="47">
        <f>4.3/5</f>
        <v>0.86</v>
      </c>
      <c r="J24" s="47">
        <f>G24*F24</f>
        <v>0.7</v>
      </c>
      <c r="K24" s="47">
        <f>H24*F24</f>
        <v>3.1</v>
      </c>
      <c r="L24" s="47">
        <f>I24*F24</f>
        <v>4.3</v>
      </c>
      <c r="M24" s="48"/>
      <c r="N24" s="49">
        <v>0</v>
      </c>
      <c r="O24" s="49">
        <v>0</v>
      </c>
      <c r="P24" s="49">
        <v>1</v>
      </c>
      <c r="Q24" s="47">
        <f t="shared" si="0"/>
        <v>0</v>
      </c>
      <c r="R24" s="47">
        <f>O24*K24</f>
        <v>0</v>
      </c>
      <c r="S24" s="47">
        <f>P24*K24</f>
        <v>3.1</v>
      </c>
      <c r="T24" s="4"/>
      <c r="U24" s="1"/>
      <c r="V24" s="1"/>
    </row>
    <row r="25" spans="2:22" x14ac:dyDescent="0.4">
      <c r="B25" s="15"/>
      <c r="C25" s="15"/>
      <c r="D25" s="15"/>
      <c r="E25" s="15"/>
      <c r="F25" s="15"/>
      <c r="G25" s="16"/>
      <c r="H25" s="16"/>
      <c r="I25" s="16"/>
      <c r="J25" s="16"/>
      <c r="K25" s="16"/>
      <c r="L25" s="1"/>
      <c r="M25" s="27"/>
      <c r="N25" s="55" t="s">
        <v>61</v>
      </c>
      <c r="O25" s="56"/>
      <c r="P25" s="57"/>
      <c r="Q25" s="22">
        <f>SUM(Q5:Q24)/W15</f>
        <v>4.330208225234391</v>
      </c>
      <c r="R25" s="22">
        <f>SUM(R5:R24)/W15</f>
        <v>17.571999999999999</v>
      </c>
      <c r="S25" s="22">
        <f>SUM(S5:S24)/W15</f>
        <v>15.638444444444442</v>
      </c>
      <c r="T25" s="23" t="s">
        <v>66</v>
      </c>
      <c r="U25" s="1" t="s">
        <v>96</v>
      </c>
      <c r="V25" s="1"/>
    </row>
    <row r="26" spans="2:22" x14ac:dyDescent="0.4">
      <c r="B26" s="17"/>
      <c r="C26" s="17"/>
      <c r="D26" s="17"/>
      <c r="E26" s="17"/>
      <c r="F26" s="17"/>
      <c r="G26" s="18"/>
      <c r="H26" s="18"/>
      <c r="I26" s="18"/>
      <c r="J26" s="39"/>
      <c r="K26" s="39"/>
      <c r="L26" s="1"/>
      <c r="M26" s="20"/>
      <c r="N26" s="55"/>
      <c r="O26" s="56"/>
      <c r="P26" s="57"/>
      <c r="Q26" s="43"/>
      <c r="R26" s="23"/>
      <c r="S26" s="23"/>
      <c r="T26" s="23"/>
      <c r="U26" s="17"/>
      <c r="V26" s="1"/>
    </row>
    <row r="27" spans="2:22" x14ac:dyDescent="0.4">
      <c r="B27" s="17"/>
      <c r="C27" s="17"/>
      <c r="D27" s="17"/>
      <c r="E27" s="17"/>
      <c r="F27" s="17"/>
      <c r="G27" s="18"/>
      <c r="H27" s="18"/>
      <c r="I27" s="18"/>
      <c r="J27" s="18"/>
      <c r="K27" s="18"/>
      <c r="L27" s="1"/>
      <c r="M27" s="20"/>
      <c r="N27" s="55" t="s">
        <v>86</v>
      </c>
      <c r="O27" s="56"/>
      <c r="P27" s="57"/>
      <c r="Q27" s="43">
        <f>19.2*W5/3600*W15</f>
        <v>17.27235589733591</v>
      </c>
      <c r="R27" s="23"/>
      <c r="S27" s="23"/>
      <c r="T27" s="23" t="s">
        <v>57</v>
      </c>
      <c r="U27" s="21"/>
      <c r="V27" s="1"/>
    </row>
    <row r="28" spans="2:22" x14ac:dyDescent="0.4">
      <c r="L28" s="1"/>
      <c r="M28" s="20"/>
      <c r="N28" s="55" t="s">
        <v>87</v>
      </c>
      <c r="O28" s="56"/>
      <c r="P28" s="57"/>
      <c r="Q28" s="24">
        <f>Q25*W3/W15/3600</f>
        <v>7.5871995864176887</v>
      </c>
      <c r="R28" s="24">
        <f>R25*O4/3600/$W$15+$Q$25*($W$6-O4)/3600/$W$15</f>
        <v>6.456260986312734</v>
      </c>
      <c r="S28" s="24">
        <f>S25*P4/3600/$W$15+$Q$25*($W$6-P4)/3600/$W$15</f>
        <v>5.9191622208806347</v>
      </c>
      <c r="T28" s="23" t="s">
        <v>57</v>
      </c>
      <c r="U28" s="21"/>
      <c r="V28" s="1"/>
    </row>
    <row r="29" spans="2:22" x14ac:dyDescent="0.4">
      <c r="L29" s="1"/>
      <c r="M29" s="20"/>
      <c r="N29" s="55" t="s">
        <v>93</v>
      </c>
      <c r="O29" s="56"/>
      <c r="P29" s="57"/>
      <c r="Q29" s="24">
        <f>Q27-Q28</f>
        <v>9.6851563109182202</v>
      </c>
      <c r="R29" s="24"/>
      <c r="S29" s="24"/>
      <c r="T29" s="23" t="s">
        <v>57</v>
      </c>
      <c r="V29" s="1"/>
    </row>
    <row r="30" spans="2:22" x14ac:dyDescent="0.4">
      <c r="L30" s="1"/>
      <c r="M30" s="20"/>
      <c r="N30" s="55" t="s">
        <v>88</v>
      </c>
      <c r="O30" s="56"/>
      <c r="P30" s="57"/>
      <c r="Q30" s="24">
        <f>Q29/40*100</f>
        <v>24.212890777295552</v>
      </c>
      <c r="R30" s="24"/>
      <c r="S30" s="24"/>
      <c r="T30" s="23" t="s">
        <v>94</v>
      </c>
      <c r="V30" s="1"/>
    </row>
    <row r="31" spans="2:22" x14ac:dyDescent="0.4">
      <c r="L31" s="1"/>
      <c r="M31" s="20"/>
      <c r="N31" s="55" t="s">
        <v>85</v>
      </c>
      <c r="O31" s="56"/>
      <c r="P31" s="57"/>
      <c r="Q31" s="24">
        <f>100/Q30</f>
        <v>4.1300314332467103</v>
      </c>
      <c r="R31" s="24"/>
      <c r="S31" s="24"/>
      <c r="T31" s="23" t="s">
        <v>95</v>
      </c>
      <c r="V31" s="1"/>
    </row>
    <row r="32" spans="2:22" x14ac:dyDescent="0.4">
      <c r="L32" s="1"/>
      <c r="M32" s="20"/>
      <c r="N32" s="55" t="s">
        <v>89</v>
      </c>
      <c r="O32" s="56"/>
      <c r="P32" s="57"/>
      <c r="Q32" s="24">
        <f>IF(Q30*6&gt;100, 100, Q30*6)</f>
        <v>100</v>
      </c>
      <c r="R32" s="24"/>
      <c r="S32" s="24"/>
      <c r="T32" s="23" t="s">
        <v>94</v>
      </c>
      <c r="V32" s="1"/>
    </row>
    <row r="33" spans="12:22" x14ac:dyDescent="0.4">
      <c r="L33" s="1"/>
      <c r="M33" s="20"/>
      <c r="N33" s="55" t="s">
        <v>92</v>
      </c>
      <c r="O33" s="56"/>
      <c r="P33" s="57"/>
      <c r="Q33" s="24"/>
      <c r="R33" s="24">
        <f>40*$Q$32/100-R28</f>
        <v>33.543739013687265</v>
      </c>
      <c r="S33" s="24">
        <f>40*$Q$32/100-S28</f>
        <v>34.080837779119364</v>
      </c>
      <c r="T33" s="23" t="s">
        <v>57</v>
      </c>
      <c r="V33" s="1"/>
    </row>
    <row r="34" spans="12:22" x14ac:dyDescent="0.4">
      <c r="L34" s="1"/>
      <c r="M34" s="20"/>
      <c r="N34" s="55" t="s">
        <v>90</v>
      </c>
      <c r="O34" s="56"/>
      <c r="P34" s="57"/>
      <c r="Q34" s="24"/>
      <c r="R34" s="24">
        <f>R33/40*100</f>
        <v>83.859347534218159</v>
      </c>
      <c r="S34" s="24">
        <f>S33/40*100</f>
        <v>85.202094447798402</v>
      </c>
      <c r="T34" s="23" t="s">
        <v>94</v>
      </c>
      <c r="U34" s="42" t="s">
        <v>91</v>
      </c>
      <c r="V34" s="1"/>
    </row>
    <row r="35" spans="12:22" x14ac:dyDescent="0.4">
      <c r="L35" s="1"/>
      <c r="M35" s="20"/>
      <c r="N35" s="55" t="s">
        <v>97</v>
      </c>
      <c r="O35" s="56"/>
      <c r="P35" s="57"/>
      <c r="Q35" s="24"/>
      <c r="R35" s="24">
        <f>R33/40*100 - 40</f>
        <v>43.859347534218159</v>
      </c>
      <c r="S35" s="24">
        <f>S33/40*100 - 40</f>
        <v>45.202094447798402</v>
      </c>
      <c r="T35" s="23" t="s">
        <v>94</v>
      </c>
      <c r="U35" s="42" t="s">
        <v>91</v>
      </c>
      <c r="V35" s="1"/>
    </row>
    <row r="36" spans="12:22" x14ac:dyDescent="0.4">
      <c r="N36" s="33" t="s">
        <v>67</v>
      </c>
      <c r="O36" s="29"/>
      <c r="P36" s="28" t="s">
        <v>68</v>
      </c>
      <c r="Q36" s="22">
        <f>(Q5+Q8+Q9+Q7+Q12+Q13+Q15+Q16+Q19+Q20+Q22+Q23)/3.3</f>
        <v>0.71914769779119758</v>
      </c>
      <c r="R36" s="22">
        <f>(R5+R8+R9+R7+R12+R13+R15+R16+R19+R20+R22+R23)/3.3</f>
        <v>2.3453939393939396</v>
      </c>
      <c r="S36" s="22">
        <f t="shared" ref="S36" si="2">(S5+S8+S9+S7+S12+S13+S15+S16+S19+S20+S22+S23)/3.3</f>
        <v>0.89078787878787902</v>
      </c>
      <c r="T36" s="23"/>
      <c r="U36" s="21" t="s">
        <v>70</v>
      </c>
    </row>
    <row r="37" spans="12:22" x14ac:dyDescent="0.4">
      <c r="N37" s="31"/>
      <c r="O37" s="30"/>
      <c r="P37" s="28" t="s">
        <v>69</v>
      </c>
      <c r="Q37" s="22">
        <f>(Q6+Q10+Q11+Q21+Q24)/5</f>
        <v>0.13080000000000003</v>
      </c>
      <c r="R37" s="22">
        <f>(R6+R10+R11+R21+R24)/5</f>
        <v>0.17500000000000002</v>
      </c>
      <c r="S37" s="22">
        <f>(S6+S10+S11+S21+S24)/5</f>
        <v>0.78700000000000003</v>
      </c>
      <c r="T37" s="23"/>
      <c r="U37" s="21" t="s">
        <v>70</v>
      </c>
    </row>
    <row r="38" spans="12:22" x14ac:dyDescent="0.4">
      <c r="N38" s="32"/>
      <c r="O38" s="34"/>
      <c r="P38" s="28" t="s">
        <v>44</v>
      </c>
      <c r="Q38" s="22">
        <f>(Q14+Q18+Q17)/8.26</f>
        <v>0.10532687651331719</v>
      </c>
      <c r="R38" s="22">
        <f t="shared" ref="R38:S38" si="3">(R14+R18+R17)/8.26</f>
        <v>0.87167070217917664</v>
      </c>
      <c r="S38" s="22">
        <f t="shared" si="3"/>
        <v>0.87167070217917664</v>
      </c>
      <c r="T38" s="23"/>
      <c r="U38" s="21" t="s">
        <v>71</v>
      </c>
    </row>
    <row r="41" spans="12:22" x14ac:dyDescent="0.4">
      <c r="N41" s="27"/>
      <c r="O41" s="27"/>
      <c r="P41" s="27"/>
      <c r="Q41" s="27"/>
    </row>
    <row r="42" spans="12:22" x14ac:dyDescent="0.4">
      <c r="N42" s="27"/>
      <c r="O42" s="27"/>
      <c r="P42" s="27"/>
      <c r="Q42" s="27"/>
    </row>
    <row r="43" spans="12:22" x14ac:dyDescent="0.4">
      <c r="N43" s="27"/>
      <c r="O43" s="27"/>
      <c r="P43" s="27"/>
      <c r="Q43" s="27"/>
    </row>
    <row r="44" spans="12:22" x14ac:dyDescent="0.4">
      <c r="N44" s="27"/>
      <c r="O44" s="27"/>
      <c r="P44" s="27"/>
      <c r="Q44" s="27"/>
    </row>
    <row r="45" spans="12:22" x14ac:dyDescent="0.4">
      <c r="N45" s="27"/>
      <c r="O45" s="27"/>
      <c r="P45" s="27"/>
      <c r="Q45" s="27"/>
    </row>
    <row r="46" spans="12:22" x14ac:dyDescent="0.4">
      <c r="N46" s="27"/>
      <c r="O46" s="27"/>
      <c r="P46" s="27"/>
      <c r="Q46" s="27"/>
    </row>
    <row r="47" spans="12:22" x14ac:dyDescent="0.4">
      <c r="N47" s="27"/>
      <c r="O47" s="27"/>
      <c r="P47" s="27"/>
      <c r="Q47" s="27"/>
    </row>
    <row r="48" spans="12:22" x14ac:dyDescent="0.4">
      <c r="N48" s="27"/>
      <c r="O48" s="27"/>
      <c r="P48" s="27"/>
      <c r="Q48" s="27"/>
    </row>
    <row r="49" spans="14:17" x14ac:dyDescent="0.4">
      <c r="N49" s="27"/>
      <c r="O49" s="27"/>
      <c r="P49" s="27"/>
      <c r="Q49" s="27"/>
    </row>
    <row r="50" spans="14:17" x14ac:dyDescent="0.4">
      <c r="N50" s="27"/>
      <c r="O50" s="27"/>
      <c r="P50" s="27"/>
      <c r="Q50" s="27"/>
    </row>
  </sheetData>
  <mergeCells count="13">
    <mergeCell ref="N33:P33"/>
    <mergeCell ref="N35:P35"/>
    <mergeCell ref="N28:P28"/>
    <mergeCell ref="N29:P29"/>
    <mergeCell ref="N30:P30"/>
    <mergeCell ref="N31:P31"/>
    <mergeCell ref="N32:P32"/>
    <mergeCell ref="N34:P34"/>
    <mergeCell ref="G2:I2"/>
    <mergeCell ref="J2:L2"/>
    <mergeCell ref="N25:P25"/>
    <mergeCell ref="N26:P26"/>
    <mergeCell ref="N27:P27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parameter</vt:lpstr>
      <vt:lpstr>Power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 SO YOUNG</dc:creator>
  <cp:lastModifiedBy>DAN</cp:lastModifiedBy>
  <dcterms:created xsi:type="dcterms:W3CDTF">2022-05-05T15:04:23Z</dcterms:created>
  <dcterms:modified xsi:type="dcterms:W3CDTF">2022-05-20T03:54:17Z</dcterms:modified>
</cp:coreProperties>
</file>