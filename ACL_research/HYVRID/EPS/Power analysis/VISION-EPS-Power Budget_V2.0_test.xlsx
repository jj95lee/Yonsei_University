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824b788559e4f0/ACL/03.VISION/03. 시스템/01. EPS/01. VISION EPS Budget/"/>
    </mc:Choice>
  </mc:AlternateContent>
  <xr:revisionPtr revIDLastSave="1" documentId="13_ncr:1_{51A57194-8DB1-400F-8240-F54841345CD1}" xr6:coauthVersionLast="47" xr6:coauthVersionMax="47" xr10:uidLastSave="{E8548133-4C84-46DE-8C83-C9C59770A369}"/>
  <bookViews>
    <workbookView xWindow="11775" yWindow="915" windowWidth="21600" windowHeight="11385" firstSheet="2" activeTab="2" xr2:uid="{CAC8BA5F-DF6E-42FA-9584-848A95E6947D}"/>
  </bookViews>
  <sheets>
    <sheet name="Revision" sheetId="7" r:id="rId1"/>
    <sheet name="LEOP (Detumbling)" sheetId="12" r:id="rId2"/>
    <sheet name="NOP (FSO &amp; RF ISL)" sheetId="14" r:id="rId3"/>
    <sheet name="NOP (FSO &amp; RF ISL &amp; UDL)" sheetId="1" r:id="rId4"/>
    <sheet name="NOP (Stand-by)" sheetId="9" r:id="rId5"/>
    <sheet name="NOP (RF ISL &amp; Maneuver)" sheetId="10" r:id="rId6"/>
    <sheet name="NOP (RF UDL)" sheetId="11" r:id="rId7"/>
    <sheet name="Emergency (Charging)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2" i="13" l="1"/>
  <c r="O46" i="13"/>
  <c r="O46" i="11"/>
  <c r="O46" i="10"/>
  <c r="O46" i="9"/>
  <c r="O46" i="1"/>
  <c r="O46" i="14"/>
  <c r="O46" i="12"/>
  <c r="J15" i="11"/>
  <c r="I15" i="11"/>
  <c r="J14" i="11"/>
  <c r="I14" i="11"/>
  <c r="I13" i="11"/>
  <c r="J12" i="11"/>
  <c r="I12" i="11"/>
  <c r="J11" i="11"/>
  <c r="I11" i="11"/>
  <c r="J10" i="11"/>
  <c r="I10" i="11"/>
  <c r="J15" i="10"/>
  <c r="I15" i="10"/>
  <c r="J14" i="10"/>
  <c r="I14" i="10"/>
  <c r="I13" i="10"/>
  <c r="J12" i="10"/>
  <c r="I12" i="10"/>
  <c r="J11" i="10"/>
  <c r="I11" i="10"/>
  <c r="J10" i="10"/>
  <c r="I10" i="10"/>
  <c r="J15" i="9"/>
  <c r="I15" i="9"/>
  <c r="J14" i="9"/>
  <c r="I14" i="9"/>
  <c r="I13" i="9"/>
  <c r="J12" i="9"/>
  <c r="I12" i="9"/>
  <c r="J11" i="9"/>
  <c r="I11" i="9"/>
  <c r="J10" i="9"/>
  <c r="I10" i="9"/>
  <c r="J15" i="1"/>
  <c r="I15" i="1"/>
  <c r="J14" i="1"/>
  <c r="I14" i="1"/>
  <c r="I13" i="1"/>
  <c r="J12" i="1"/>
  <c r="I12" i="1"/>
  <c r="J11" i="1"/>
  <c r="I11" i="1"/>
  <c r="J10" i="1"/>
  <c r="I10" i="1"/>
  <c r="J15" i="14"/>
  <c r="I15" i="14"/>
  <c r="J14" i="14"/>
  <c r="I14" i="14"/>
  <c r="I13" i="14"/>
  <c r="J12" i="14"/>
  <c r="I12" i="14"/>
  <c r="J11" i="14"/>
  <c r="I11" i="14"/>
  <c r="J10" i="14"/>
  <c r="I10" i="14"/>
  <c r="J14" i="12"/>
  <c r="J15" i="12"/>
  <c r="J12" i="12"/>
  <c r="J11" i="12"/>
  <c r="J10" i="12"/>
  <c r="I15" i="12"/>
  <c r="I14" i="12"/>
  <c r="I13" i="12"/>
  <c r="I12" i="12"/>
  <c r="I11" i="12"/>
  <c r="I10" i="12"/>
  <c r="D51" i="13"/>
  <c r="D46" i="13"/>
  <c r="D51" i="11"/>
  <c r="D46" i="11"/>
  <c r="D51" i="10"/>
  <c r="D46" i="10"/>
  <c r="D51" i="9"/>
  <c r="D46" i="9"/>
  <c r="D51" i="1"/>
  <c r="D46" i="1"/>
  <c r="D51" i="14"/>
  <c r="D46" i="12"/>
  <c r="D47" i="13" l="1"/>
  <c r="D47" i="11"/>
  <c r="D47" i="10"/>
  <c r="D47" i="9"/>
  <c r="D47" i="1"/>
  <c r="D46" i="14"/>
  <c r="D47" i="14" s="1"/>
  <c r="O49" i="12"/>
  <c r="O43" i="14"/>
  <c r="L41" i="14"/>
  <c r="K41" i="14"/>
  <c r="O41" i="14" s="1"/>
  <c r="M40" i="14"/>
  <c r="K40" i="14"/>
  <c r="J40" i="14"/>
  <c r="L40" i="14" s="1"/>
  <c r="O47" i="14" s="1"/>
  <c r="I40" i="14"/>
  <c r="J39" i="14"/>
  <c r="L39" i="14" s="1"/>
  <c r="I39" i="14"/>
  <c r="K39" i="14" s="1"/>
  <c r="O39" i="14" s="1"/>
  <c r="L38" i="14"/>
  <c r="J38" i="14"/>
  <c r="I38" i="14"/>
  <c r="K38" i="14" s="1"/>
  <c r="O38" i="14" s="1"/>
  <c r="J37" i="14"/>
  <c r="L37" i="14" s="1"/>
  <c r="I37" i="14"/>
  <c r="K37" i="14" s="1"/>
  <c r="O37" i="14" s="1"/>
  <c r="J36" i="14"/>
  <c r="L36" i="14" s="1"/>
  <c r="I36" i="14"/>
  <c r="K36" i="14" s="1"/>
  <c r="L35" i="14"/>
  <c r="K35" i="14"/>
  <c r="O35" i="14" s="1"/>
  <c r="L34" i="14"/>
  <c r="K34" i="14"/>
  <c r="O34" i="14" s="1"/>
  <c r="L33" i="14"/>
  <c r="K33" i="14"/>
  <c r="O33" i="14" s="1"/>
  <c r="L32" i="14"/>
  <c r="O32" i="14" s="1"/>
  <c r="K32" i="14"/>
  <c r="L31" i="14"/>
  <c r="K31" i="14"/>
  <c r="O31" i="14" s="1"/>
  <c r="L30" i="14"/>
  <c r="K30" i="14"/>
  <c r="O30" i="14" s="1"/>
  <c r="O29" i="14"/>
  <c r="L29" i="14"/>
  <c r="K29" i="14"/>
  <c r="L28" i="14"/>
  <c r="K28" i="14"/>
  <c r="O28" i="14" s="1"/>
  <c r="L27" i="14"/>
  <c r="O45" i="14" s="1"/>
  <c r="K27" i="14"/>
  <c r="O27" i="14" s="1"/>
  <c r="L26" i="14"/>
  <c r="K26" i="14"/>
  <c r="O26" i="14" s="1"/>
  <c r="L25" i="14"/>
  <c r="K25" i="14"/>
  <c r="O25" i="14" s="1"/>
  <c r="L24" i="14"/>
  <c r="O24" i="14" s="1"/>
  <c r="K24" i="14"/>
  <c r="L23" i="14"/>
  <c r="K23" i="14"/>
  <c r="O23" i="14" s="1"/>
  <c r="L22" i="14"/>
  <c r="K22" i="14"/>
  <c r="O22" i="14" s="1"/>
  <c r="O21" i="14"/>
  <c r="L21" i="14"/>
  <c r="K21" i="14"/>
  <c r="L20" i="14"/>
  <c r="K20" i="14"/>
  <c r="O20" i="14" s="1"/>
  <c r="L19" i="14"/>
  <c r="K19" i="14"/>
  <c r="O19" i="14" s="1"/>
  <c r="L18" i="14"/>
  <c r="K18" i="14"/>
  <c r="O18" i="14" s="1"/>
  <c r="L17" i="14"/>
  <c r="K17" i="14"/>
  <c r="O17" i="14" s="1"/>
  <c r="L16" i="14"/>
  <c r="O16" i="14" s="1"/>
  <c r="K16" i="14"/>
  <c r="L15" i="14"/>
  <c r="K15" i="14"/>
  <c r="L14" i="14"/>
  <c r="K14" i="14"/>
  <c r="O14" i="14" s="1"/>
  <c r="L13" i="14"/>
  <c r="K13" i="14"/>
  <c r="O13" i="14" s="1"/>
  <c r="L12" i="14"/>
  <c r="K12" i="14"/>
  <c r="L11" i="14"/>
  <c r="K11" i="14"/>
  <c r="L10" i="14"/>
  <c r="K10" i="14"/>
  <c r="L9" i="14"/>
  <c r="K9" i="14"/>
  <c r="O9" i="14" s="1"/>
  <c r="L8" i="14"/>
  <c r="O8" i="14" s="1"/>
  <c r="K8" i="14"/>
  <c r="L7" i="14"/>
  <c r="K7" i="14"/>
  <c r="O7" i="14" s="1"/>
  <c r="L6" i="14"/>
  <c r="K6" i="14"/>
  <c r="O6" i="14" s="1"/>
  <c r="L5" i="14"/>
  <c r="K5" i="14"/>
  <c r="O5" i="14" s="1"/>
  <c r="O47" i="13"/>
  <c r="J39" i="13"/>
  <c r="I39" i="13"/>
  <c r="J38" i="13"/>
  <c r="I38" i="13"/>
  <c r="J37" i="13"/>
  <c r="L37" i="13" s="1"/>
  <c r="I37" i="13"/>
  <c r="J36" i="13"/>
  <c r="I36" i="13"/>
  <c r="K36" i="13" s="1"/>
  <c r="O36" i="13" s="1"/>
  <c r="J39" i="11"/>
  <c r="I39" i="11"/>
  <c r="J38" i="11"/>
  <c r="I38" i="11"/>
  <c r="J37" i="11"/>
  <c r="I37" i="11"/>
  <c r="J36" i="11"/>
  <c r="I36" i="11"/>
  <c r="J39" i="10"/>
  <c r="I39" i="10"/>
  <c r="J38" i="10"/>
  <c r="I38" i="10"/>
  <c r="J37" i="10"/>
  <c r="I37" i="10"/>
  <c r="J36" i="10"/>
  <c r="I36" i="10"/>
  <c r="J39" i="9"/>
  <c r="I39" i="9"/>
  <c r="J38" i="9"/>
  <c r="I38" i="9"/>
  <c r="J37" i="9"/>
  <c r="I37" i="9"/>
  <c r="J36" i="9"/>
  <c r="I36" i="9"/>
  <c r="J39" i="1"/>
  <c r="I39" i="1"/>
  <c r="J38" i="1"/>
  <c r="I38" i="1"/>
  <c r="J37" i="1"/>
  <c r="I37" i="1"/>
  <c r="J36" i="1"/>
  <c r="I36" i="1"/>
  <c r="J39" i="12"/>
  <c r="I39" i="12"/>
  <c r="J38" i="12"/>
  <c r="I38" i="12"/>
  <c r="J37" i="12"/>
  <c r="I37" i="12"/>
  <c r="J36" i="12"/>
  <c r="L36" i="12" s="1"/>
  <c r="I36" i="12"/>
  <c r="K37" i="12"/>
  <c r="L39" i="12"/>
  <c r="L37" i="12"/>
  <c r="L38" i="12"/>
  <c r="K36" i="12"/>
  <c r="K38" i="12"/>
  <c r="K39" i="12"/>
  <c r="L41" i="13"/>
  <c r="K41" i="13"/>
  <c r="O41" i="13" s="1"/>
  <c r="M40" i="13"/>
  <c r="L40" i="13"/>
  <c r="K40" i="13"/>
  <c r="O40" i="13" s="1"/>
  <c r="J40" i="13"/>
  <c r="I40" i="13"/>
  <c r="L39" i="13"/>
  <c r="K39" i="13"/>
  <c r="O39" i="13" s="1"/>
  <c r="L38" i="13"/>
  <c r="K38" i="13"/>
  <c r="K37" i="13"/>
  <c r="L36" i="13"/>
  <c r="L35" i="13"/>
  <c r="K35" i="13"/>
  <c r="O35" i="13" s="1"/>
  <c r="L34" i="13"/>
  <c r="K34" i="13"/>
  <c r="O34" i="13" s="1"/>
  <c r="L33" i="13"/>
  <c r="K33" i="13"/>
  <c r="O33" i="13" s="1"/>
  <c r="O32" i="13"/>
  <c r="L32" i="13"/>
  <c r="K32" i="13"/>
  <c r="L31" i="13"/>
  <c r="K31" i="13"/>
  <c r="O31" i="13" s="1"/>
  <c r="L30" i="13"/>
  <c r="K30" i="13"/>
  <c r="L29" i="13"/>
  <c r="K29" i="13"/>
  <c r="O29" i="13" s="1"/>
  <c r="L28" i="13"/>
  <c r="K28" i="13"/>
  <c r="L27" i="13"/>
  <c r="K27" i="13"/>
  <c r="O27" i="13" s="1"/>
  <c r="L26" i="13"/>
  <c r="O45" i="13" s="1"/>
  <c r="K26" i="13"/>
  <c r="O26" i="13" s="1"/>
  <c r="L25" i="13"/>
  <c r="K25" i="13"/>
  <c r="L24" i="13"/>
  <c r="K24" i="13"/>
  <c r="O24" i="13" s="1"/>
  <c r="L23" i="13"/>
  <c r="K23" i="13"/>
  <c r="L22" i="13"/>
  <c r="O22" i="13"/>
  <c r="L21" i="13"/>
  <c r="K21" i="13"/>
  <c r="O21" i="13" s="1"/>
  <c r="L20" i="13"/>
  <c r="K20" i="13"/>
  <c r="O20" i="13" s="1"/>
  <c r="O19" i="13"/>
  <c r="L19" i="13"/>
  <c r="K19" i="13"/>
  <c r="L18" i="13"/>
  <c r="K18" i="13"/>
  <c r="L17" i="13"/>
  <c r="K17" i="13"/>
  <c r="O17" i="13" s="1"/>
  <c r="L16" i="13"/>
  <c r="O16" i="13" s="1"/>
  <c r="K16" i="13"/>
  <c r="L15" i="13"/>
  <c r="K15" i="13"/>
  <c r="O15" i="13" s="1"/>
  <c r="L14" i="13"/>
  <c r="K14" i="13"/>
  <c r="O14" i="13" s="1"/>
  <c r="L13" i="13"/>
  <c r="K13" i="13"/>
  <c r="O13" i="13" s="1"/>
  <c r="L12" i="13"/>
  <c r="K12" i="13"/>
  <c r="L11" i="13"/>
  <c r="K11" i="13"/>
  <c r="O11" i="13" s="1"/>
  <c r="L10" i="13"/>
  <c r="K10" i="13"/>
  <c r="O10" i="13" s="1"/>
  <c r="L9" i="13"/>
  <c r="K9" i="13"/>
  <c r="O9" i="13" s="1"/>
  <c r="L8" i="13"/>
  <c r="K8" i="13"/>
  <c r="O8" i="13" s="1"/>
  <c r="L7" i="13"/>
  <c r="O43" i="13" s="1"/>
  <c r="K7" i="13"/>
  <c r="O7" i="13" s="1"/>
  <c r="L6" i="13"/>
  <c r="O44" i="13" s="1"/>
  <c r="K6" i="13"/>
  <c r="O6" i="13" s="1"/>
  <c r="L5" i="13"/>
  <c r="K5" i="13"/>
  <c r="O12" i="14" l="1"/>
  <c r="O28" i="13"/>
  <c r="O18" i="13"/>
  <c r="O25" i="13"/>
  <c r="O5" i="13"/>
  <c r="O42" i="13" s="1"/>
  <c r="O12" i="13"/>
  <c r="O23" i="13"/>
  <c r="O30" i="13"/>
  <c r="O15" i="14"/>
  <c r="O11" i="14"/>
  <c r="O10" i="14"/>
  <c r="O49" i="13"/>
  <c r="O40" i="14"/>
  <c r="O44" i="14"/>
  <c r="O36" i="14"/>
  <c r="O42" i="14" s="1"/>
  <c r="O37" i="13"/>
  <c r="O38" i="13"/>
  <c r="O48" i="13"/>
  <c r="D51" i="12"/>
  <c r="L41" i="12"/>
  <c r="K41" i="12"/>
  <c r="O41" i="12" s="1"/>
  <c r="M40" i="12"/>
  <c r="K40" i="12"/>
  <c r="J40" i="12"/>
  <c r="L40" i="12" s="1"/>
  <c r="I40" i="12"/>
  <c r="O39" i="12"/>
  <c r="O38" i="12"/>
  <c r="O37" i="12"/>
  <c r="L35" i="12"/>
  <c r="K35" i="12"/>
  <c r="O35" i="12" s="1"/>
  <c r="L34" i="12"/>
  <c r="K34" i="12"/>
  <c r="L33" i="12"/>
  <c r="K33" i="12"/>
  <c r="O33" i="12" s="1"/>
  <c r="L32" i="12"/>
  <c r="K32" i="12"/>
  <c r="O32" i="12" s="1"/>
  <c r="L31" i="12"/>
  <c r="K31" i="12"/>
  <c r="O31" i="12" s="1"/>
  <c r="L30" i="12"/>
  <c r="K30" i="12"/>
  <c r="L29" i="12"/>
  <c r="K29" i="12"/>
  <c r="O29" i="12" s="1"/>
  <c r="L28" i="12"/>
  <c r="K28" i="12"/>
  <c r="O28" i="12" s="1"/>
  <c r="L27" i="12"/>
  <c r="K27" i="12"/>
  <c r="L26" i="12"/>
  <c r="K26" i="12"/>
  <c r="O26" i="12" s="1"/>
  <c r="L25" i="12"/>
  <c r="K25" i="12"/>
  <c r="O25" i="12" s="1"/>
  <c r="L24" i="12"/>
  <c r="K24" i="12"/>
  <c r="O24" i="12" s="1"/>
  <c r="L23" i="12"/>
  <c r="K23" i="12"/>
  <c r="O23" i="12" s="1"/>
  <c r="L22" i="12"/>
  <c r="K22" i="12"/>
  <c r="O22" i="12" s="1"/>
  <c r="L21" i="12"/>
  <c r="K21" i="12"/>
  <c r="O21" i="12" s="1"/>
  <c r="L20" i="12"/>
  <c r="K20" i="12"/>
  <c r="L19" i="12"/>
  <c r="K19" i="12"/>
  <c r="O19" i="12" s="1"/>
  <c r="L18" i="12"/>
  <c r="K18" i="12"/>
  <c r="O18" i="12" s="1"/>
  <c r="L17" i="12"/>
  <c r="K17" i="12"/>
  <c r="O17" i="12" s="1"/>
  <c r="O16" i="12"/>
  <c r="L16" i="12"/>
  <c r="K16" i="12"/>
  <c r="L15" i="12"/>
  <c r="K15" i="12"/>
  <c r="O15" i="12" s="1"/>
  <c r="L14" i="12"/>
  <c r="K14" i="12"/>
  <c r="L13" i="12"/>
  <c r="K13" i="12"/>
  <c r="L12" i="12"/>
  <c r="K12" i="12"/>
  <c r="O12" i="12" s="1"/>
  <c r="L11" i="12"/>
  <c r="K11" i="12"/>
  <c r="O11" i="12" s="1"/>
  <c r="L10" i="12"/>
  <c r="K10" i="12"/>
  <c r="L9" i="12"/>
  <c r="K9" i="12"/>
  <c r="L8" i="12"/>
  <c r="K8" i="12"/>
  <c r="O8" i="12" s="1"/>
  <c r="L7" i="12"/>
  <c r="O43" i="12" s="1"/>
  <c r="K7" i="12"/>
  <c r="O7" i="12" s="1"/>
  <c r="L6" i="12"/>
  <c r="O44" i="12" s="1"/>
  <c r="K6" i="12"/>
  <c r="O6" i="12" s="1"/>
  <c r="L5" i="12"/>
  <c r="K5" i="12"/>
  <c r="O5" i="12" s="1"/>
  <c r="M40" i="11"/>
  <c r="L41" i="11"/>
  <c r="K41" i="11"/>
  <c r="O41" i="11" s="1"/>
  <c r="J40" i="11"/>
  <c r="L40" i="11" s="1"/>
  <c r="I40" i="11"/>
  <c r="K40" i="11" s="1"/>
  <c r="L39" i="11"/>
  <c r="K39" i="11"/>
  <c r="L38" i="11"/>
  <c r="K38" i="11"/>
  <c r="O38" i="11" s="1"/>
  <c r="L37" i="11"/>
  <c r="K37" i="11"/>
  <c r="O37" i="11" s="1"/>
  <c r="L36" i="11"/>
  <c r="K36" i="11"/>
  <c r="L35" i="11"/>
  <c r="K35" i="11"/>
  <c r="O35" i="11" s="1"/>
  <c r="L34" i="11"/>
  <c r="K34" i="11"/>
  <c r="O34" i="11" s="1"/>
  <c r="L33" i="11"/>
  <c r="K33" i="11"/>
  <c r="L32" i="11"/>
  <c r="K32" i="11"/>
  <c r="L31" i="11"/>
  <c r="K31" i="11"/>
  <c r="O31" i="11" s="1"/>
  <c r="L30" i="11"/>
  <c r="K30" i="11"/>
  <c r="O30" i="11" s="1"/>
  <c r="L29" i="11"/>
  <c r="K29" i="11"/>
  <c r="L28" i="11"/>
  <c r="K28" i="11"/>
  <c r="L27" i="11"/>
  <c r="K27" i="11"/>
  <c r="L26" i="11"/>
  <c r="K26" i="11"/>
  <c r="O26" i="11" s="1"/>
  <c r="L25" i="11"/>
  <c r="O25" i="11" s="1"/>
  <c r="K25" i="11"/>
  <c r="L24" i="11"/>
  <c r="K24" i="11"/>
  <c r="L23" i="11"/>
  <c r="K23" i="11"/>
  <c r="L22" i="11"/>
  <c r="K22" i="11"/>
  <c r="O22" i="11" s="1"/>
  <c r="L21" i="11"/>
  <c r="K21" i="11"/>
  <c r="O21" i="11" s="1"/>
  <c r="L20" i="11"/>
  <c r="K20" i="11"/>
  <c r="O20" i="11" s="1"/>
  <c r="L19" i="11"/>
  <c r="K19" i="11"/>
  <c r="O19" i="11" s="1"/>
  <c r="L18" i="11"/>
  <c r="K18" i="11"/>
  <c r="O18" i="11" s="1"/>
  <c r="L17" i="11"/>
  <c r="K17" i="11"/>
  <c r="L16" i="11"/>
  <c r="K16" i="11"/>
  <c r="O16" i="11" s="1"/>
  <c r="L15" i="11"/>
  <c r="K15" i="11"/>
  <c r="O15" i="11" s="1"/>
  <c r="L14" i="11"/>
  <c r="K14" i="11"/>
  <c r="L13" i="11"/>
  <c r="K13" i="11"/>
  <c r="O13" i="11" s="1"/>
  <c r="L12" i="11"/>
  <c r="K12" i="11"/>
  <c r="L11" i="11"/>
  <c r="K11" i="11"/>
  <c r="O11" i="11" s="1"/>
  <c r="L10" i="11"/>
  <c r="K10" i="11"/>
  <c r="L9" i="11"/>
  <c r="K9" i="11"/>
  <c r="L8" i="11"/>
  <c r="K8" i="11"/>
  <c r="L7" i="11"/>
  <c r="O43" i="11" s="1"/>
  <c r="K7" i="11"/>
  <c r="O7" i="11" s="1"/>
  <c r="O6" i="11"/>
  <c r="L6" i="11"/>
  <c r="K6" i="11"/>
  <c r="L5" i="11"/>
  <c r="K5" i="11"/>
  <c r="O5" i="11" s="1"/>
  <c r="L41" i="10"/>
  <c r="K41" i="10"/>
  <c r="O41" i="10" s="1"/>
  <c r="M40" i="10"/>
  <c r="K40" i="10"/>
  <c r="J40" i="10"/>
  <c r="L40" i="10" s="1"/>
  <c r="I40" i="10"/>
  <c r="L39" i="10"/>
  <c r="K39" i="10"/>
  <c r="L38" i="10"/>
  <c r="K38" i="10"/>
  <c r="L37" i="10"/>
  <c r="K37" i="10"/>
  <c r="O37" i="10" s="1"/>
  <c r="L36" i="10"/>
  <c r="K36" i="10"/>
  <c r="L35" i="10"/>
  <c r="K35" i="10"/>
  <c r="O35" i="10" s="1"/>
  <c r="L34" i="10"/>
  <c r="K34" i="10"/>
  <c r="O34" i="10" s="1"/>
  <c r="L33" i="10"/>
  <c r="K33" i="10"/>
  <c r="O33" i="10" s="1"/>
  <c r="O32" i="10"/>
  <c r="L32" i="10"/>
  <c r="K32" i="10"/>
  <c r="L31" i="10"/>
  <c r="K31" i="10"/>
  <c r="L30" i="10"/>
  <c r="K30" i="10"/>
  <c r="O30" i="10" s="1"/>
  <c r="O29" i="10"/>
  <c r="L29" i="10"/>
  <c r="K29" i="10"/>
  <c r="L28" i="10"/>
  <c r="K28" i="10"/>
  <c r="O28" i="10" s="1"/>
  <c r="L27" i="10"/>
  <c r="K27" i="10"/>
  <c r="O27" i="10" s="1"/>
  <c r="L26" i="10"/>
  <c r="O45" i="10" s="1"/>
  <c r="K26" i="10"/>
  <c r="O26" i="10" s="1"/>
  <c r="L25" i="10"/>
  <c r="K25" i="10"/>
  <c r="L24" i="10"/>
  <c r="K24" i="10"/>
  <c r="O24" i="10" s="1"/>
  <c r="L23" i="10"/>
  <c r="K23" i="10"/>
  <c r="O23" i="10" s="1"/>
  <c r="L22" i="10"/>
  <c r="K22" i="10"/>
  <c r="L21" i="10"/>
  <c r="K21" i="10"/>
  <c r="O21" i="10" s="1"/>
  <c r="L20" i="10"/>
  <c r="K20" i="10"/>
  <c r="O20" i="10" s="1"/>
  <c r="L19" i="10"/>
  <c r="K19" i="10"/>
  <c r="O19" i="10" s="1"/>
  <c r="L18" i="10"/>
  <c r="K18" i="10"/>
  <c r="O18" i="10" s="1"/>
  <c r="L17" i="10"/>
  <c r="K17" i="10"/>
  <c r="O17" i="10" s="1"/>
  <c r="L16" i="10"/>
  <c r="K16" i="10"/>
  <c r="O16" i="10" s="1"/>
  <c r="L15" i="10"/>
  <c r="K15" i="10"/>
  <c r="L14" i="10"/>
  <c r="K14" i="10"/>
  <c r="L13" i="10"/>
  <c r="K13" i="10"/>
  <c r="O13" i="10" s="1"/>
  <c r="L12" i="10"/>
  <c r="K12" i="10"/>
  <c r="O12" i="10" s="1"/>
  <c r="L11" i="10"/>
  <c r="K11" i="10"/>
  <c r="O11" i="10" s="1"/>
  <c r="L10" i="10"/>
  <c r="K10" i="10"/>
  <c r="O10" i="10" s="1"/>
  <c r="L9" i="10"/>
  <c r="K9" i="10"/>
  <c r="O9" i="10" s="1"/>
  <c r="L8" i="10"/>
  <c r="O8" i="10" s="1"/>
  <c r="K8" i="10"/>
  <c r="L7" i="10"/>
  <c r="O43" i="10" s="1"/>
  <c r="K7" i="10"/>
  <c r="L6" i="10"/>
  <c r="K6" i="10"/>
  <c r="L5" i="10"/>
  <c r="K5" i="10"/>
  <c r="O5" i="10" s="1"/>
  <c r="L41" i="9"/>
  <c r="K41" i="9"/>
  <c r="O41" i="9" s="1"/>
  <c r="M40" i="9"/>
  <c r="K40" i="9"/>
  <c r="J40" i="9"/>
  <c r="L40" i="9" s="1"/>
  <c r="O47" i="9" s="1"/>
  <c r="I40" i="9"/>
  <c r="L39" i="9"/>
  <c r="K39" i="9"/>
  <c r="L38" i="9"/>
  <c r="K38" i="9"/>
  <c r="O38" i="9" s="1"/>
  <c r="L37" i="9"/>
  <c r="K37" i="9"/>
  <c r="O37" i="9" s="1"/>
  <c r="L36" i="9"/>
  <c r="K36" i="9"/>
  <c r="L35" i="9"/>
  <c r="K35" i="9"/>
  <c r="L34" i="9"/>
  <c r="K34" i="9"/>
  <c r="O34" i="9" s="1"/>
  <c r="L33" i="9"/>
  <c r="K33" i="9"/>
  <c r="O33" i="9" s="1"/>
  <c r="L32" i="9"/>
  <c r="O32" i="9" s="1"/>
  <c r="K32" i="9"/>
  <c r="L31" i="9"/>
  <c r="K31" i="9"/>
  <c r="L30" i="9"/>
  <c r="K30" i="9"/>
  <c r="O30" i="9" s="1"/>
  <c r="L29" i="9"/>
  <c r="K29" i="9"/>
  <c r="O29" i="9" s="1"/>
  <c r="L28" i="9"/>
  <c r="K28" i="9"/>
  <c r="O28" i="9" s="1"/>
  <c r="L27" i="9"/>
  <c r="K27" i="9"/>
  <c r="O27" i="9" s="1"/>
  <c r="L26" i="9"/>
  <c r="K26" i="9"/>
  <c r="L25" i="9"/>
  <c r="K25" i="9"/>
  <c r="O25" i="9" s="1"/>
  <c r="L24" i="9"/>
  <c r="K24" i="9"/>
  <c r="L23" i="9"/>
  <c r="K23" i="9"/>
  <c r="O23" i="9" s="1"/>
  <c r="L22" i="9"/>
  <c r="K22" i="9"/>
  <c r="L21" i="9"/>
  <c r="K21" i="9"/>
  <c r="O21" i="9" s="1"/>
  <c r="L20" i="9"/>
  <c r="K20" i="9"/>
  <c r="L19" i="9"/>
  <c r="K19" i="9"/>
  <c r="O19" i="9" s="1"/>
  <c r="L18" i="9"/>
  <c r="K18" i="9"/>
  <c r="O18" i="9" s="1"/>
  <c r="L17" i="9"/>
  <c r="K17" i="9"/>
  <c r="L16" i="9"/>
  <c r="O16" i="9" s="1"/>
  <c r="K16" i="9"/>
  <c r="L15" i="9"/>
  <c r="K15" i="9"/>
  <c r="O15" i="9" s="1"/>
  <c r="L14" i="9"/>
  <c r="K14" i="9"/>
  <c r="O14" i="9" s="1"/>
  <c r="L13" i="9"/>
  <c r="K13" i="9"/>
  <c r="L12" i="9"/>
  <c r="K12" i="9"/>
  <c r="O12" i="9" s="1"/>
  <c r="L11" i="9"/>
  <c r="K11" i="9"/>
  <c r="L10" i="9"/>
  <c r="K10" i="9"/>
  <c r="O10" i="9" s="1"/>
  <c r="L9" i="9"/>
  <c r="K9" i="9"/>
  <c r="O9" i="9" s="1"/>
  <c r="L8" i="9"/>
  <c r="K8" i="9"/>
  <c r="L7" i="9"/>
  <c r="K7" i="9"/>
  <c r="L6" i="9"/>
  <c r="K6" i="9"/>
  <c r="O6" i="9" s="1"/>
  <c r="L5" i="9"/>
  <c r="K5" i="9"/>
  <c r="L41" i="1"/>
  <c r="J40" i="1"/>
  <c r="I40" i="1"/>
  <c r="K18" i="1"/>
  <c r="O18" i="1" s="1"/>
  <c r="L18" i="1"/>
  <c r="K17" i="1"/>
  <c r="O17" i="1" s="1"/>
  <c r="L17" i="1"/>
  <c r="L36" i="1"/>
  <c r="L37" i="1"/>
  <c r="L38" i="1"/>
  <c r="L39" i="1"/>
  <c r="K37" i="1"/>
  <c r="K38" i="1"/>
  <c r="K39" i="1"/>
  <c r="K36" i="1"/>
  <c r="L31" i="1"/>
  <c r="L32" i="1"/>
  <c r="O32" i="1" s="1"/>
  <c r="L33" i="1"/>
  <c r="L34" i="1"/>
  <c r="L35" i="1"/>
  <c r="K31" i="1"/>
  <c r="K32" i="1"/>
  <c r="K33" i="1"/>
  <c r="K34" i="1"/>
  <c r="K35" i="1"/>
  <c r="K40" i="1"/>
  <c r="L6" i="1"/>
  <c r="L7" i="1"/>
  <c r="O43" i="1" s="1"/>
  <c r="L8" i="1"/>
  <c r="L9" i="1"/>
  <c r="L10" i="1"/>
  <c r="L11" i="1"/>
  <c r="L12" i="1"/>
  <c r="L13" i="1"/>
  <c r="L14" i="1"/>
  <c r="L15" i="1"/>
  <c r="L16" i="1"/>
  <c r="L19" i="1"/>
  <c r="L20" i="1"/>
  <c r="L21" i="1"/>
  <c r="L22" i="1"/>
  <c r="L23" i="1"/>
  <c r="L24" i="1"/>
  <c r="L25" i="1"/>
  <c r="L26" i="1"/>
  <c r="O45" i="1" s="1"/>
  <c r="L27" i="1"/>
  <c r="L28" i="1"/>
  <c r="L29" i="1"/>
  <c r="L30" i="1"/>
  <c r="K6" i="1"/>
  <c r="O6" i="1" s="1"/>
  <c r="K7" i="1"/>
  <c r="K8" i="1"/>
  <c r="K9" i="1"/>
  <c r="K10" i="1"/>
  <c r="K11" i="1"/>
  <c r="K12" i="1"/>
  <c r="K13" i="1"/>
  <c r="K14" i="1"/>
  <c r="K15" i="1"/>
  <c r="K16" i="1"/>
  <c r="K19" i="1"/>
  <c r="K20" i="1"/>
  <c r="K21" i="1"/>
  <c r="K22" i="1"/>
  <c r="K23" i="1"/>
  <c r="O23" i="1" s="1"/>
  <c r="K24" i="1"/>
  <c r="K25" i="1"/>
  <c r="O25" i="1" s="1"/>
  <c r="K26" i="1"/>
  <c r="K27" i="1"/>
  <c r="K28" i="1"/>
  <c r="O28" i="1" s="1"/>
  <c r="K29" i="1"/>
  <c r="K30" i="1"/>
  <c r="O14" i="11" l="1"/>
  <c r="O13" i="9"/>
  <c r="O14" i="12"/>
  <c r="O10" i="12"/>
  <c r="O13" i="12"/>
  <c r="O45" i="12"/>
  <c r="O30" i="12"/>
  <c r="O9" i="12"/>
  <c r="O20" i="12"/>
  <c r="O27" i="12"/>
  <c r="O34" i="12"/>
  <c r="O47" i="12"/>
  <c r="O45" i="11"/>
  <c r="O8" i="11"/>
  <c r="O12" i="11"/>
  <c r="O23" i="11"/>
  <c r="O27" i="11"/>
  <c r="O24" i="11"/>
  <c r="O28" i="11"/>
  <c r="O9" i="11"/>
  <c r="O32" i="11"/>
  <c r="O36" i="11"/>
  <c r="O40" i="11"/>
  <c r="O44" i="11"/>
  <c r="O10" i="11"/>
  <c r="O17" i="11"/>
  <c r="O29" i="11"/>
  <c r="O47" i="11"/>
  <c r="O6" i="10"/>
  <c r="O31" i="10"/>
  <c r="O44" i="10"/>
  <c r="O7" i="10"/>
  <c r="O14" i="10"/>
  <c r="O25" i="10"/>
  <c r="O36" i="10"/>
  <c r="O15" i="10"/>
  <c r="O22" i="10"/>
  <c r="O47" i="10"/>
  <c r="O5" i="9"/>
  <c r="O17" i="9"/>
  <c r="O24" i="9"/>
  <c r="O36" i="9"/>
  <c r="O44" i="9"/>
  <c r="O7" i="9"/>
  <c r="O11" i="9"/>
  <c r="O22" i="9"/>
  <c r="O26" i="9"/>
  <c r="O45" i="9"/>
  <c r="O43" i="9"/>
  <c r="O8" i="9"/>
  <c r="O20" i="9"/>
  <c r="O31" i="9"/>
  <c r="O35" i="9"/>
  <c r="O39" i="9"/>
  <c r="O44" i="1"/>
  <c r="O24" i="1"/>
  <c r="O11" i="1"/>
  <c r="O34" i="1"/>
  <c r="O31" i="1"/>
  <c r="O35" i="1"/>
  <c r="O10" i="1"/>
  <c r="O33" i="1"/>
  <c r="O15" i="1"/>
  <c r="O48" i="14"/>
  <c r="O49" i="1"/>
  <c r="O49" i="14"/>
  <c r="O53" i="14"/>
  <c r="O55" i="14"/>
  <c r="O50" i="14"/>
  <c r="O51" i="14" s="1"/>
  <c r="O39" i="11"/>
  <c r="O39" i="10"/>
  <c r="O48" i="10"/>
  <c r="O38" i="10"/>
  <c r="O39" i="1"/>
  <c r="O38" i="1"/>
  <c r="O36" i="12"/>
  <c r="O42" i="12" s="1"/>
  <c r="O55" i="13"/>
  <c r="O50" i="13"/>
  <c r="O51" i="13" s="1"/>
  <c r="O40" i="12"/>
  <c r="O33" i="11"/>
  <c r="O49" i="11"/>
  <c r="O40" i="10"/>
  <c r="O49" i="10"/>
  <c r="O40" i="9"/>
  <c r="O49" i="9"/>
  <c r="O14" i="1"/>
  <c r="O13" i="1"/>
  <c r="O19" i="1"/>
  <c r="O30" i="1"/>
  <c r="O20" i="1"/>
  <c r="O9" i="1"/>
  <c r="O16" i="1"/>
  <c r="O37" i="1"/>
  <c r="O12" i="1"/>
  <c r="O21" i="1"/>
  <c r="O36" i="1"/>
  <c r="O26" i="1"/>
  <c r="O8" i="1"/>
  <c r="O7" i="1"/>
  <c r="O22" i="1"/>
  <c r="O29" i="1"/>
  <c r="O27" i="1"/>
  <c r="O42" i="11" l="1"/>
  <c r="O48" i="11"/>
  <c r="O42" i="9"/>
  <c r="O52" i="9" s="1"/>
  <c r="O48" i="9"/>
  <c r="O48" i="12"/>
  <c r="O42" i="10"/>
  <c r="O52" i="14"/>
  <c r="O53" i="13"/>
  <c r="O52" i="13"/>
  <c r="O55" i="12"/>
  <c r="O50" i="12"/>
  <c r="O51" i="12" s="1"/>
  <c r="D47" i="12"/>
  <c r="O53" i="12" s="1"/>
  <c r="O55" i="11"/>
  <c r="O50" i="11"/>
  <c r="O51" i="11" s="1"/>
  <c r="O53" i="11"/>
  <c r="O55" i="10"/>
  <c r="O50" i="10"/>
  <c r="O51" i="10" s="1"/>
  <c r="O53" i="10"/>
  <c r="O55" i="9"/>
  <c r="O50" i="9"/>
  <c r="O51" i="9" s="1"/>
  <c r="O53" i="9"/>
  <c r="O52" i="12" l="1"/>
  <c r="O52" i="11"/>
  <c r="O52" i="10"/>
  <c r="M40" i="1" l="1"/>
  <c r="K41" i="1"/>
  <c r="L40" i="1"/>
  <c r="O47" i="1" s="1"/>
  <c r="L5" i="1"/>
  <c r="K5" i="1"/>
  <c r="O41" i="1" l="1"/>
  <c r="O40" i="1"/>
  <c r="O48" i="1" l="1"/>
  <c r="O5" i="1"/>
  <c r="O42" i="1" s="1"/>
  <c r="O55" i="1" s="1"/>
  <c r="O52" i="1" l="1"/>
  <c r="O50" i="1"/>
  <c r="O51" i="1" s="1"/>
  <c r="O53" i="1"/>
</calcChain>
</file>

<file path=xl/sharedStrings.xml><?xml version="1.0" encoding="utf-8"?>
<sst xmlns="http://schemas.openxmlformats.org/spreadsheetml/2006/main" count="1474" uniqueCount="136">
  <si>
    <t>Subsystem</t>
    <phoneticPr fontId="1" type="noConversion"/>
  </si>
  <si>
    <t>Component</t>
    <phoneticPr fontId="1" type="noConversion"/>
  </si>
  <si>
    <t>Voltage Input</t>
    <phoneticPr fontId="1" type="noConversion"/>
  </si>
  <si>
    <t>Current Draw</t>
    <phoneticPr fontId="1" type="noConversion"/>
  </si>
  <si>
    <t>Power Consumption</t>
    <phoneticPr fontId="1" type="noConversion"/>
  </si>
  <si>
    <t>Contents</t>
    <phoneticPr fontId="1" type="noConversion"/>
  </si>
  <si>
    <t>Unit</t>
    <phoneticPr fontId="1" type="noConversion"/>
  </si>
  <si>
    <t>-</t>
    <phoneticPr fontId="1" type="noConversion"/>
  </si>
  <si>
    <t>V</t>
    <phoneticPr fontId="1" type="noConversion"/>
  </si>
  <si>
    <t>A</t>
    <phoneticPr fontId="1" type="noConversion"/>
  </si>
  <si>
    <t>W</t>
    <phoneticPr fontId="1" type="noConversion"/>
  </si>
  <si>
    <t>Nominal</t>
    <phoneticPr fontId="1" type="noConversion"/>
  </si>
  <si>
    <t>Peak</t>
    <phoneticPr fontId="1" type="noConversion"/>
  </si>
  <si>
    <t>Payload</t>
    <phoneticPr fontId="1" type="noConversion"/>
  </si>
  <si>
    <t>CNDH</t>
    <phoneticPr fontId="1" type="noConversion"/>
  </si>
  <si>
    <t>Product</t>
    <phoneticPr fontId="1" type="noConversion"/>
  </si>
  <si>
    <t>UHF TRX</t>
    <phoneticPr fontId="1" type="noConversion"/>
  </si>
  <si>
    <t>UHF Antenna</t>
    <phoneticPr fontId="1" type="noConversion"/>
  </si>
  <si>
    <t>S-band Antenna</t>
    <phoneticPr fontId="1" type="noConversion"/>
  </si>
  <si>
    <t>Amount</t>
    <phoneticPr fontId="1" type="noConversion"/>
  </si>
  <si>
    <t>EA</t>
    <phoneticPr fontId="1" type="noConversion"/>
  </si>
  <si>
    <t>Duty Rate</t>
    <phoneticPr fontId="1" type="noConversion"/>
  </si>
  <si>
    <t>%</t>
    <phoneticPr fontId="1" type="noConversion"/>
  </si>
  <si>
    <t>EPS</t>
    <phoneticPr fontId="1" type="noConversion"/>
  </si>
  <si>
    <t>PCDU</t>
    <phoneticPr fontId="1" type="noConversion"/>
  </si>
  <si>
    <t>Battery</t>
    <phoneticPr fontId="1" type="noConversion"/>
  </si>
  <si>
    <t>Operations</t>
    <phoneticPr fontId="1" type="noConversion"/>
  </si>
  <si>
    <t>Idle</t>
    <phoneticPr fontId="1" type="noConversion"/>
  </si>
  <si>
    <t>Steady</t>
  </si>
  <si>
    <t>Full Load</t>
    <phoneticPr fontId="1" type="noConversion"/>
  </si>
  <si>
    <t>Heater</t>
  </si>
  <si>
    <t>Average</t>
    <phoneticPr fontId="1" type="noConversion"/>
  </si>
  <si>
    <t>Power Consumption (W)</t>
    <phoneticPr fontId="1" type="noConversion"/>
  </si>
  <si>
    <t>Total Average</t>
    <phoneticPr fontId="1" type="noConversion"/>
  </si>
  <si>
    <t>Peak Load (A)</t>
    <phoneticPr fontId="1" type="noConversion"/>
  </si>
  <si>
    <t>&lt; 2 A</t>
    <phoneticPr fontId="1" type="noConversion"/>
  </si>
  <si>
    <t>per Ch.</t>
    <phoneticPr fontId="1" type="noConversion"/>
  </si>
  <si>
    <t>Constant</t>
    <phoneticPr fontId="1" type="noConversion"/>
  </si>
  <si>
    <t>Required Margin (%)</t>
    <phoneticPr fontId="1" type="noConversion"/>
  </si>
  <si>
    <t>Conversion Efficiency (%)</t>
    <phoneticPr fontId="1" type="noConversion"/>
  </si>
  <si>
    <t>Bus Voltage (V)</t>
    <phoneticPr fontId="1" type="noConversion"/>
  </si>
  <si>
    <t>Depth of Discharge (%)</t>
    <phoneticPr fontId="1" type="noConversion"/>
  </si>
  <si>
    <t>Eclipse (sec)</t>
    <phoneticPr fontId="1" type="noConversion"/>
  </si>
  <si>
    <t>Earth Effective Radius (km)</t>
    <phoneticPr fontId="1" type="noConversion"/>
  </si>
  <si>
    <t>Altitude (km)</t>
    <phoneticPr fontId="1" type="noConversion"/>
  </si>
  <si>
    <t>Orbital Period (sec)</t>
    <phoneticPr fontId="1" type="noConversion"/>
  </si>
  <si>
    <t>Beta Angle (deg)</t>
    <phoneticPr fontId="1" type="noConversion"/>
  </si>
  <si>
    <t>Sunlight (sec)</t>
    <phoneticPr fontId="1" type="noConversion"/>
  </si>
  <si>
    <t>Earth Gravitational Standard Cosntant (km3/sec2)</t>
    <phoneticPr fontId="1" type="noConversion"/>
  </si>
  <si>
    <t>Revision #</t>
    <phoneticPr fontId="1" type="noConversion"/>
  </si>
  <si>
    <t>Date</t>
    <phoneticPr fontId="1" type="noConversion"/>
  </si>
  <si>
    <t>Responsibility</t>
    <phoneticPr fontId="1" type="noConversion"/>
  </si>
  <si>
    <t>Description</t>
    <phoneticPr fontId="1" type="noConversion"/>
  </si>
  <si>
    <t>Draft</t>
    <phoneticPr fontId="1" type="noConversion"/>
  </si>
  <si>
    <t>Geuk-Nam Kim</t>
    <phoneticPr fontId="1" type="noConversion"/>
  </si>
  <si>
    <t>Orbit Average</t>
  </si>
  <si>
    <t>Battery Capacity (Ah)</t>
  </si>
  <si>
    <t>Battery Capacity (Wh)</t>
  </si>
  <si>
    <t>Power Margin (%)</t>
  </si>
  <si>
    <t>Power Margin Value (W)</t>
  </si>
  <si>
    <t>Power Generation (W)</t>
  </si>
  <si>
    <t>per Ch.</t>
  </si>
  <si>
    <t>&lt; 2 A</t>
  </si>
  <si>
    <t>Total Battery</t>
    <phoneticPr fontId="1" type="noConversion"/>
  </si>
  <si>
    <t>Orbit Average (EOL)</t>
    <phoneticPr fontId="1" type="noConversion"/>
  </si>
  <si>
    <t>Residual/Generation</t>
    <phoneticPr fontId="1" type="noConversion"/>
  </si>
  <si>
    <t>GNC</t>
    <phoneticPr fontId="1" type="noConversion"/>
  </si>
  <si>
    <t>TTNC</t>
    <phoneticPr fontId="1" type="noConversion"/>
  </si>
  <si>
    <t>Integrated ADCS</t>
    <phoneticPr fontId="1" type="noConversion"/>
  </si>
  <si>
    <t>S-band TRx</t>
    <phoneticPr fontId="1" type="noConversion"/>
  </si>
  <si>
    <t>NanoCom-ANT2150-ISL</t>
    <phoneticPr fontId="1" type="noConversion"/>
  </si>
  <si>
    <t>NanoCom-ANT2150-DUP</t>
    <phoneticPr fontId="1" type="noConversion"/>
  </si>
  <si>
    <t>NanoCom-SR2000 (ASL)</t>
    <phoneticPr fontId="1" type="noConversion"/>
  </si>
  <si>
    <t>NanoCom-ANT6F</t>
    <phoneticPr fontId="1" type="noConversion"/>
  </si>
  <si>
    <t>NanoCom-AX100U</t>
    <phoneticPr fontId="1" type="noConversion"/>
  </si>
  <si>
    <t>Tx (max. RF)</t>
    <phoneticPr fontId="1" type="noConversion"/>
  </si>
  <si>
    <t>Rx</t>
    <phoneticPr fontId="1" type="noConversion"/>
  </si>
  <si>
    <t>SAMA5D2</t>
    <phoneticPr fontId="1" type="noConversion"/>
  </si>
  <si>
    <t>On-board Computer (2nd)</t>
    <phoneticPr fontId="1" type="noConversion"/>
  </si>
  <si>
    <t>On-board Computer (1st)</t>
    <phoneticPr fontId="1" type="noConversion"/>
  </si>
  <si>
    <t>Low Power Stand-by</t>
    <phoneticPr fontId="1" type="noConversion"/>
  </si>
  <si>
    <t>5 Hz Operations</t>
    <phoneticPr fontId="1" type="noConversion"/>
  </si>
  <si>
    <t>All RW 10% Momentum</t>
    <phoneticPr fontId="1" type="noConversion"/>
  </si>
  <si>
    <t>All RW 10% Momentum &amp;
3-MTQ on State</t>
    <phoneticPr fontId="1" type="noConversion"/>
  </si>
  <si>
    <t>All RW 25% Momentum</t>
    <phoneticPr fontId="1" type="noConversion"/>
  </si>
  <si>
    <t>All RW 100% Momentum &amp;
3-MTQ on State</t>
    <phoneticPr fontId="1" type="noConversion"/>
  </si>
  <si>
    <t>Propulsion</t>
    <phoneticPr fontId="1" type="noConversion"/>
  </si>
  <si>
    <t>NanoProp-6U</t>
    <phoneticPr fontId="1" type="noConversion"/>
  </si>
  <si>
    <t xml:space="preserve">XACT-50 </t>
    <phoneticPr fontId="1" type="noConversion"/>
  </si>
  <si>
    <t>3-MTQ, 3-RW</t>
    <phoneticPr fontId="1" type="noConversion"/>
  </si>
  <si>
    <t>1-STT, 3-CSS, 1-IMU, 1-MMT</t>
    <phoneticPr fontId="1" type="noConversion"/>
  </si>
  <si>
    <t>GNSS Rx &amp; Antenna</t>
    <phoneticPr fontId="1" type="noConversion"/>
  </si>
  <si>
    <t>OEM719A &amp; GPSF.36.7.A.30</t>
    <phoneticPr fontId="1" type="noConversion"/>
  </si>
  <si>
    <t>Laser Communication Terminal</t>
    <phoneticPr fontId="1" type="noConversion"/>
  </si>
  <si>
    <t>Tx (max. RF with 2-TR600)</t>
    <phoneticPr fontId="1" type="noConversion"/>
  </si>
  <si>
    <t>Rx (Idle)</t>
    <phoneticPr fontId="1" type="noConversion"/>
  </si>
  <si>
    <t>Rx/Tx (max. RF with 2-TR600)</t>
    <phoneticPr fontId="1" type="noConversion"/>
  </si>
  <si>
    <t>Jitter Measuring Sensor (IMU)</t>
    <phoneticPr fontId="1" type="noConversion"/>
  </si>
  <si>
    <t>STIM-210 (TBA)</t>
    <phoneticPr fontId="1" type="noConversion"/>
  </si>
  <si>
    <t>NanoMind-A3200 
+ NanoDock DMC-3</t>
    <phoneticPr fontId="1" type="noConversion"/>
  </si>
  <si>
    <t>Tx (Stand-by)</t>
    <phoneticPr fontId="1" type="noConversion"/>
  </si>
  <si>
    <t>off</t>
    <phoneticPr fontId="1" type="noConversion"/>
  </si>
  <si>
    <t>X-band Transmitter &amp; Antenna</t>
    <phoneticPr fontId="1" type="noConversion"/>
  </si>
  <si>
    <t>NanoCom-XT8250</t>
    <phoneticPr fontId="1" type="noConversion"/>
  </si>
  <si>
    <t xml:space="preserve">NanoPower-P60 </t>
    <phoneticPr fontId="1" type="noConversion"/>
  </si>
  <si>
    <t>Idle (1-ACU, 2-PDU)</t>
    <phoneticPr fontId="1" type="noConversion"/>
  </si>
  <si>
    <t>NanoPower-BPX</t>
    <phoneticPr fontId="1" type="noConversion"/>
  </si>
  <si>
    <t>Main PCB</t>
    <phoneticPr fontId="1" type="noConversion"/>
  </si>
  <si>
    <t>Propellant Conditioning</t>
    <phoneticPr fontId="1" type="noConversion"/>
  </si>
  <si>
    <t>Firing Preparation (4-THR)</t>
    <phoneticPr fontId="1" type="noConversion"/>
  </si>
  <si>
    <t>Firing (4-THR)</t>
    <phoneticPr fontId="1" type="noConversion"/>
  </si>
  <si>
    <t>Sun-pointing</t>
    <phoneticPr fontId="1" type="noConversion"/>
  </si>
  <si>
    <t>3.3 V</t>
    <phoneticPr fontId="1" type="noConversion"/>
  </si>
  <si>
    <t>5.0 V</t>
    <phoneticPr fontId="1" type="noConversion"/>
  </si>
  <si>
    <t>12.0 V</t>
    <phoneticPr fontId="1" type="noConversion"/>
  </si>
  <si>
    <t>VBATT</t>
    <phoneticPr fontId="1" type="noConversion"/>
  </si>
  <si>
    <t>&gt; 40%</t>
    <phoneticPr fontId="1" type="noConversion"/>
  </si>
  <si>
    <t>LCT</t>
    <phoneticPr fontId="1" type="noConversion"/>
  </si>
  <si>
    <t>4.5 A per DCDC</t>
    <phoneticPr fontId="1" type="noConversion"/>
  </si>
  <si>
    <t>&lt; 10 A</t>
    <phoneticPr fontId="1" type="noConversion"/>
  </si>
  <si>
    <t>(-90 deg to +90 deg)</t>
    <phoneticPr fontId="1" type="noConversion"/>
  </si>
  <si>
    <t>&gt; 10%</t>
    <phoneticPr fontId="1" type="noConversion"/>
  </si>
  <si>
    <t>Tumbling</t>
    <phoneticPr fontId="1" type="noConversion"/>
  </si>
  <si>
    <t>1</t>
    <phoneticPr fontId="1" type="noConversion"/>
  </si>
  <si>
    <t xml:space="preserve">Modified equations using MAX to integrate the peak current draw by each output channel </t>
    <phoneticPr fontId="1" type="noConversion"/>
  </si>
  <si>
    <t>2</t>
    <phoneticPr fontId="1" type="noConversion"/>
  </si>
  <si>
    <t>Updated X-band Tx power dissipations</t>
    <phoneticPr fontId="1" type="noConversion"/>
  </si>
  <si>
    <t>Stand-by; ANT (Vcom) + SDR</t>
    <phoneticPr fontId="1" type="noConversion"/>
  </si>
  <si>
    <t>Stand-by; ANT (Vbat)</t>
    <phoneticPr fontId="1" type="noConversion"/>
  </si>
  <si>
    <t>Tx (2 W 8PSK); ANT (Vcom) + SDR</t>
  </si>
  <si>
    <t>Tx (2 W 8PSK); ANT (Vbat)</t>
    <phoneticPr fontId="1" type="noConversion"/>
  </si>
  <si>
    <t>3</t>
    <phoneticPr fontId="1" type="noConversion"/>
  </si>
  <si>
    <t>Revised equations for calcuation of sunlight duration &amp; beta angle</t>
    <phoneticPr fontId="1" type="noConversion"/>
  </si>
  <si>
    <t>4</t>
    <phoneticPr fontId="1" type="noConversion"/>
  </si>
  <si>
    <t>Modified equations for calcuation of sunlight duration &amp; beta angle given beta angle definitions on low &amp; circular orbit</t>
    <phoneticPr fontId="1" type="noConversion"/>
  </si>
  <si>
    <t xml:space="preserve">12.0 V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</si>
</sst>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imes"/>
    </font>
    <font>
      <b/>
      <sz val="10"/>
      <color theme="1"/>
      <name val="times"/>
    </font>
    <font>
      <b/>
      <sz val="10"/>
      <color theme="1"/>
      <name val="times"/>
      <family val="1"/>
    </font>
    <font>
      <sz val="10"/>
      <color theme="1"/>
      <name val="times"/>
      <family val="1"/>
    </font>
    <font>
      <sz val="10"/>
      <color theme="0" tint="-0.499984740745262"/>
      <name val="times"/>
    </font>
    <font>
      <sz val="10"/>
      <color theme="1"/>
      <name val="times"/>
      <family val="2"/>
    </font>
    <font>
      <b/>
      <sz val="10"/>
      <color rgb="FFFF0000"/>
      <name val="times"/>
    </font>
    <font>
      <b/>
      <sz val="10"/>
      <color rgb="FFFF0000"/>
      <name val="times"/>
      <family val="1"/>
    </font>
    <font>
      <sz val="10"/>
      <color rgb="FFFF0000"/>
      <name val="times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2" fontId="2" fillId="0" borderId="1" xfId="0" applyNumberFormat="1" applyFont="1" applyBorder="1">
      <alignment vertical="center"/>
    </xf>
    <xf numFmtId="9" fontId="2" fillId="0" borderId="1" xfId="0" applyNumberFormat="1" applyFont="1" applyBorder="1">
      <alignment vertical="center"/>
    </xf>
    <xf numFmtId="176" fontId="2" fillId="0" borderId="1" xfId="0" applyNumberFormat="1" applyFont="1" applyBorder="1">
      <alignment vertical="center"/>
    </xf>
    <xf numFmtId="177" fontId="2" fillId="3" borderId="1" xfId="0" applyNumberFormat="1" applyFont="1" applyFill="1" applyBorder="1">
      <alignment vertical="center"/>
    </xf>
    <xf numFmtId="2" fontId="2" fillId="0" borderId="0" xfId="0" applyNumberFormat="1" applyFont="1">
      <alignment vertical="center"/>
    </xf>
    <xf numFmtId="0" fontId="2" fillId="0" borderId="1" xfId="0" applyFont="1" applyBorder="1" applyAlignment="1">
      <alignment horizontal="center" vertical="center"/>
    </xf>
    <xf numFmtId="177" fontId="2" fillId="4" borderId="1" xfId="0" applyNumberFormat="1" applyFont="1" applyFill="1" applyBorder="1">
      <alignment vertical="center"/>
    </xf>
    <xf numFmtId="0" fontId="3" fillId="0" borderId="0" xfId="0" applyFont="1">
      <alignment vertical="center"/>
    </xf>
    <xf numFmtId="177" fontId="2" fillId="0" borderId="1" xfId="0" applyNumberFormat="1" applyFont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>
      <alignment vertical="center"/>
    </xf>
    <xf numFmtId="0" fontId="3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6" fillId="7" borderId="0" xfId="0" applyFont="1" applyFill="1">
      <alignment vertical="center"/>
    </xf>
    <xf numFmtId="0" fontId="6" fillId="7" borderId="0" xfId="0" applyFont="1" applyFill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76" fontId="2" fillId="0" borderId="0" xfId="0" applyNumberFormat="1" applyFont="1">
      <alignment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2" fillId="0" borderId="1" xfId="0" applyNumberFormat="1" applyFont="1" applyFill="1" applyBorder="1">
      <alignment vertical="center"/>
    </xf>
    <xf numFmtId="0" fontId="2" fillId="0" borderId="1" xfId="0" applyFont="1" applyBorder="1" applyAlignment="1">
      <alignment vertical="center" wrapText="1"/>
    </xf>
    <xf numFmtId="177" fontId="2" fillId="9" borderId="1" xfId="0" applyNumberFormat="1" applyFont="1" applyFill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177" fontId="8" fillId="0" borderId="1" xfId="0" applyNumberFormat="1" applyFont="1" applyBorder="1">
      <alignment vertical="center"/>
    </xf>
    <xf numFmtId="177" fontId="10" fillId="2" borderId="1" xfId="0" applyNumberFormat="1" applyFont="1" applyFill="1" applyBorder="1">
      <alignment vertical="center"/>
    </xf>
    <xf numFmtId="2" fontId="10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F668-DC56-4CE1-8E47-EACF7E961808}">
  <dimension ref="A1:F28"/>
  <sheetViews>
    <sheetView zoomScale="115" zoomScaleNormal="115" workbookViewId="0">
      <selection activeCell="E8" sqref="E8"/>
    </sheetView>
  </sheetViews>
  <sheetFormatPr defaultRowHeight="30" customHeight="1" x14ac:dyDescent="0.3"/>
  <cols>
    <col min="1" max="1" width="9" style="1"/>
    <col min="2" max="4" width="15.625" style="1" customWidth="1"/>
    <col min="5" max="5" width="100.625" style="1" customWidth="1"/>
    <col min="6" max="16384" width="9" style="1"/>
  </cols>
  <sheetData>
    <row r="1" spans="1:6" ht="30" customHeight="1" thickBot="1" x14ac:dyDescent="0.35">
      <c r="A1" s="26"/>
      <c r="B1" s="27">
        <v>15</v>
      </c>
      <c r="C1" s="27">
        <v>15</v>
      </c>
      <c r="D1" s="27">
        <v>15</v>
      </c>
      <c r="E1" s="27">
        <v>75</v>
      </c>
      <c r="F1" s="26"/>
    </row>
    <row r="2" spans="1:6" ht="30" customHeight="1" thickBot="1" x14ac:dyDescent="0.35">
      <c r="A2" s="27">
        <v>30</v>
      </c>
      <c r="B2" s="16" t="s">
        <v>49</v>
      </c>
      <c r="C2" s="17" t="s">
        <v>50</v>
      </c>
      <c r="D2" s="17" t="s">
        <v>51</v>
      </c>
      <c r="E2" s="18" t="s">
        <v>52</v>
      </c>
      <c r="F2" s="26"/>
    </row>
    <row r="3" spans="1:6" ht="30" customHeight="1" thickTop="1" x14ac:dyDescent="0.3">
      <c r="A3" s="26"/>
      <c r="B3" s="30">
        <v>0</v>
      </c>
      <c r="C3" s="19">
        <v>44305</v>
      </c>
      <c r="D3" s="28" t="s">
        <v>54</v>
      </c>
      <c r="E3" s="20" t="s">
        <v>53</v>
      </c>
      <c r="F3" s="26"/>
    </row>
    <row r="4" spans="1:6" ht="30" customHeight="1" x14ac:dyDescent="0.3">
      <c r="A4" s="26"/>
      <c r="B4" s="31" t="s">
        <v>123</v>
      </c>
      <c r="C4" s="21">
        <v>44306</v>
      </c>
      <c r="D4" s="22" t="s">
        <v>54</v>
      </c>
      <c r="E4" s="23" t="s">
        <v>124</v>
      </c>
      <c r="F4" s="26"/>
    </row>
    <row r="5" spans="1:6" ht="30" customHeight="1" x14ac:dyDescent="0.3">
      <c r="A5" s="26"/>
      <c r="B5" s="31" t="s">
        <v>125</v>
      </c>
      <c r="C5" s="21">
        <v>44349</v>
      </c>
      <c r="D5" s="22" t="s">
        <v>54</v>
      </c>
      <c r="E5" s="23" t="s">
        <v>126</v>
      </c>
      <c r="F5" s="26"/>
    </row>
    <row r="6" spans="1:6" ht="30" customHeight="1" x14ac:dyDescent="0.3">
      <c r="A6" s="26"/>
      <c r="B6" s="31" t="s">
        <v>131</v>
      </c>
      <c r="C6" s="21">
        <v>44362</v>
      </c>
      <c r="D6" s="22" t="s">
        <v>54</v>
      </c>
      <c r="E6" s="23" t="s">
        <v>132</v>
      </c>
      <c r="F6" s="26"/>
    </row>
    <row r="7" spans="1:6" ht="30" customHeight="1" x14ac:dyDescent="0.3">
      <c r="A7" s="26"/>
      <c r="B7" s="31" t="s">
        <v>133</v>
      </c>
      <c r="C7" s="21">
        <v>44362</v>
      </c>
      <c r="D7" s="22" t="s">
        <v>54</v>
      </c>
      <c r="E7" s="23" t="s">
        <v>134</v>
      </c>
      <c r="F7" s="26"/>
    </row>
    <row r="8" spans="1:6" ht="30" customHeight="1" x14ac:dyDescent="0.3">
      <c r="A8" s="26"/>
      <c r="B8" s="31"/>
      <c r="C8" s="21"/>
      <c r="D8" s="22"/>
      <c r="E8" s="23"/>
      <c r="F8" s="26"/>
    </row>
    <row r="9" spans="1:6" ht="30" customHeight="1" x14ac:dyDescent="0.3">
      <c r="A9" s="26"/>
      <c r="B9" s="31"/>
      <c r="C9" s="22"/>
      <c r="D9" s="22"/>
      <c r="E9" s="23"/>
      <c r="F9" s="26"/>
    </row>
    <row r="10" spans="1:6" ht="30" customHeight="1" x14ac:dyDescent="0.3">
      <c r="A10" s="26"/>
      <c r="B10" s="31"/>
      <c r="C10" s="22"/>
      <c r="D10" s="22"/>
      <c r="E10" s="23"/>
      <c r="F10" s="26"/>
    </row>
    <row r="11" spans="1:6" ht="30" customHeight="1" x14ac:dyDescent="0.3">
      <c r="A11" s="26"/>
      <c r="B11" s="31"/>
      <c r="C11" s="22"/>
      <c r="D11" s="22"/>
      <c r="E11" s="23"/>
      <c r="F11" s="26"/>
    </row>
    <row r="12" spans="1:6" ht="30" customHeight="1" x14ac:dyDescent="0.3">
      <c r="A12" s="26"/>
      <c r="B12" s="31"/>
      <c r="C12" s="22"/>
      <c r="D12" s="22"/>
      <c r="E12" s="23"/>
      <c r="F12" s="26"/>
    </row>
    <row r="13" spans="1:6" ht="30" customHeight="1" x14ac:dyDescent="0.3">
      <c r="A13" s="26"/>
      <c r="B13" s="31"/>
      <c r="C13" s="22"/>
      <c r="D13" s="22"/>
      <c r="E13" s="23"/>
      <c r="F13" s="26"/>
    </row>
    <row r="14" spans="1:6" ht="30" customHeight="1" x14ac:dyDescent="0.3">
      <c r="A14" s="26"/>
      <c r="B14" s="31"/>
      <c r="C14" s="22"/>
      <c r="D14" s="22"/>
      <c r="E14" s="23"/>
      <c r="F14" s="26"/>
    </row>
    <row r="15" spans="1:6" ht="30" customHeight="1" x14ac:dyDescent="0.3">
      <c r="A15" s="26"/>
      <c r="B15" s="31"/>
      <c r="C15" s="22"/>
      <c r="D15" s="22"/>
      <c r="E15" s="23"/>
      <c r="F15" s="26"/>
    </row>
    <row r="16" spans="1:6" ht="30" customHeight="1" x14ac:dyDescent="0.3">
      <c r="A16" s="26"/>
      <c r="B16" s="31"/>
      <c r="C16" s="22"/>
      <c r="D16" s="22"/>
      <c r="E16" s="23"/>
      <c r="F16" s="26"/>
    </row>
    <row r="17" spans="1:6" ht="30" customHeight="1" x14ac:dyDescent="0.3">
      <c r="A17" s="26"/>
      <c r="B17" s="31"/>
      <c r="C17" s="22"/>
      <c r="D17" s="22"/>
      <c r="E17" s="23"/>
      <c r="F17" s="26"/>
    </row>
    <row r="18" spans="1:6" ht="30" customHeight="1" x14ac:dyDescent="0.3">
      <c r="A18" s="26"/>
      <c r="B18" s="31"/>
      <c r="C18" s="22"/>
      <c r="D18" s="22"/>
      <c r="E18" s="23"/>
      <c r="F18" s="26"/>
    </row>
    <row r="19" spans="1:6" ht="30" customHeight="1" x14ac:dyDescent="0.3">
      <c r="A19" s="26"/>
      <c r="B19" s="31"/>
      <c r="C19" s="22"/>
      <c r="D19" s="22"/>
      <c r="E19" s="23"/>
      <c r="F19" s="26"/>
    </row>
    <row r="20" spans="1:6" ht="30" customHeight="1" x14ac:dyDescent="0.3">
      <c r="A20" s="26"/>
      <c r="B20" s="31"/>
      <c r="C20" s="22"/>
      <c r="D20" s="22"/>
      <c r="E20" s="23"/>
      <c r="F20" s="26"/>
    </row>
    <row r="21" spans="1:6" ht="30" customHeight="1" x14ac:dyDescent="0.3">
      <c r="A21" s="26"/>
      <c r="B21" s="31"/>
      <c r="C21" s="22"/>
      <c r="D21" s="22"/>
      <c r="E21" s="23"/>
      <c r="F21" s="26"/>
    </row>
    <row r="22" spans="1:6" ht="30" customHeight="1" x14ac:dyDescent="0.3">
      <c r="A22" s="26"/>
      <c r="B22" s="31"/>
      <c r="C22" s="22"/>
      <c r="D22" s="22"/>
      <c r="E22" s="23"/>
      <c r="F22" s="26"/>
    </row>
    <row r="23" spans="1:6" ht="30" customHeight="1" x14ac:dyDescent="0.3">
      <c r="A23" s="26"/>
      <c r="B23" s="31"/>
      <c r="C23" s="22"/>
      <c r="D23" s="22"/>
      <c r="E23" s="23"/>
      <c r="F23" s="26"/>
    </row>
    <row r="24" spans="1:6" ht="30" customHeight="1" x14ac:dyDescent="0.3">
      <c r="A24" s="26"/>
      <c r="B24" s="31"/>
      <c r="C24" s="22"/>
      <c r="D24" s="22"/>
      <c r="E24" s="23"/>
      <c r="F24" s="26"/>
    </row>
    <row r="25" spans="1:6" ht="30" customHeight="1" x14ac:dyDescent="0.3">
      <c r="A25" s="26"/>
      <c r="B25" s="31"/>
      <c r="C25" s="22"/>
      <c r="D25" s="22"/>
      <c r="E25" s="23"/>
      <c r="F25" s="26"/>
    </row>
    <row r="26" spans="1:6" ht="30" customHeight="1" x14ac:dyDescent="0.3">
      <c r="A26" s="26"/>
      <c r="B26" s="31"/>
      <c r="C26" s="22"/>
      <c r="D26" s="22"/>
      <c r="E26" s="23"/>
      <c r="F26" s="26"/>
    </row>
    <row r="27" spans="1:6" ht="30" customHeight="1" thickBot="1" x14ac:dyDescent="0.35">
      <c r="A27" s="26"/>
      <c r="B27" s="32"/>
      <c r="C27" s="24"/>
      <c r="D27" s="24"/>
      <c r="E27" s="25"/>
      <c r="F27" s="26"/>
    </row>
    <row r="28" spans="1:6" ht="30" customHeight="1" x14ac:dyDescent="0.3">
      <c r="A28" s="26"/>
      <c r="B28" s="26"/>
      <c r="C28" s="26"/>
      <c r="D28" s="26"/>
      <c r="E28" s="26"/>
      <c r="F28" s="2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65D9-1E35-43C6-B872-B234DDF0AFFB}">
  <dimension ref="B2:Q55"/>
  <sheetViews>
    <sheetView topLeftCell="F1" zoomScale="85" zoomScaleNormal="85" workbookViewId="0">
      <selection activeCell="N46" sqref="N46:O46"/>
    </sheetView>
  </sheetViews>
  <sheetFormatPr defaultRowHeight="12.75" x14ac:dyDescent="0.3"/>
  <cols>
    <col min="1" max="1" width="9" style="1"/>
    <col min="2" max="2" width="10.625" style="1" customWidth="1"/>
    <col min="3" max="6" width="20.625" style="1" customWidth="1"/>
    <col min="7" max="7" width="10.625" style="1" customWidth="1"/>
    <col min="8" max="15" width="20.625" style="1" customWidth="1"/>
    <col min="16" max="17" width="10.625" style="1" customWidth="1"/>
    <col min="18" max="16384" width="9" style="1"/>
  </cols>
  <sheetData>
    <row r="2" spans="2:15" x14ac:dyDescent="0.3">
      <c r="B2" s="12" t="s">
        <v>5</v>
      </c>
      <c r="C2" s="12" t="s">
        <v>1</v>
      </c>
      <c r="D2" s="12" t="s">
        <v>15</v>
      </c>
      <c r="E2" s="12" t="s">
        <v>0</v>
      </c>
      <c r="F2" s="12" t="s">
        <v>26</v>
      </c>
      <c r="G2" s="12" t="s">
        <v>19</v>
      </c>
      <c r="H2" s="12" t="s">
        <v>2</v>
      </c>
      <c r="I2" s="12" t="s">
        <v>3</v>
      </c>
      <c r="J2" s="12" t="s">
        <v>3</v>
      </c>
      <c r="K2" s="12" t="s">
        <v>4</v>
      </c>
      <c r="L2" s="12" t="s">
        <v>4</v>
      </c>
      <c r="M2" s="12" t="s">
        <v>21</v>
      </c>
      <c r="N2" s="12" t="s">
        <v>21</v>
      </c>
      <c r="O2" s="12" t="s">
        <v>4</v>
      </c>
    </row>
    <row r="3" spans="2:15" x14ac:dyDescent="0.3">
      <c r="B3" s="12" t="s">
        <v>26</v>
      </c>
      <c r="C3" s="12" t="s">
        <v>7</v>
      </c>
      <c r="D3" s="12" t="s">
        <v>7</v>
      </c>
      <c r="E3" s="12" t="s">
        <v>7</v>
      </c>
      <c r="F3" s="12" t="s">
        <v>11</v>
      </c>
      <c r="G3" s="12" t="s">
        <v>7</v>
      </c>
      <c r="H3" s="12" t="s">
        <v>7</v>
      </c>
      <c r="I3" s="12" t="s">
        <v>11</v>
      </c>
      <c r="J3" s="12" t="s">
        <v>12</v>
      </c>
      <c r="K3" s="12" t="s">
        <v>11</v>
      </c>
      <c r="L3" s="12" t="s">
        <v>12</v>
      </c>
      <c r="M3" s="12" t="s">
        <v>11</v>
      </c>
      <c r="N3" s="12" t="s">
        <v>12</v>
      </c>
      <c r="O3" s="12" t="s">
        <v>31</v>
      </c>
    </row>
    <row r="4" spans="2:15" x14ac:dyDescent="0.3">
      <c r="B4" s="12" t="s">
        <v>6</v>
      </c>
      <c r="C4" s="12" t="s">
        <v>7</v>
      </c>
      <c r="D4" s="12" t="s">
        <v>7</v>
      </c>
      <c r="E4" s="12" t="s">
        <v>7</v>
      </c>
      <c r="F4" s="12"/>
      <c r="G4" s="12" t="s">
        <v>20</v>
      </c>
      <c r="H4" s="12" t="s">
        <v>8</v>
      </c>
      <c r="I4" s="12" t="s">
        <v>9</v>
      </c>
      <c r="J4" s="12" t="s">
        <v>9</v>
      </c>
      <c r="K4" s="12" t="s">
        <v>10</v>
      </c>
      <c r="L4" s="12" t="s">
        <v>10</v>
      </c>
      <c r="M4" s="12" t="s">
        <v>22</v>
      </c>
      <c r="N4" s="12" t="s">
        <v>22</v>
      </c>
      <c r="O4" s="12" t="s">
        <v>10</v>
      </c>
    </row>
    <row r="5" spans="2:15" x14ac:dyDescent="0.3">
      <c r="B5" s="8" t="s">
        <v>7</v>
      </c>
      <c r="C5" s="2" t="s">
        <v>93</v>
      </c>
      <c r="D5" s="2" t="s">
        <v>117</v>
      </c>
      <c r="E5" s="2" t="s">
        <v>13</v>
      </c>
      <c r="F5" s="2" t="s">
        <v>29</v>
      </c>
      <c r="G5" s="2">
        <v>1</v>
      </c>
      <c r="H5" s="40">
        <v>12</v>
      </c>
      <c r="I5" s="5">
        <v>1</v>
      </c>
      <c r="J5" s="5">
        <v>1.5</v>
      </c>
      <c r="K5" s="3">
        <f>H5*I5*G5</f>
        <v>12</v>
      </c>
      <c r="L5" s="3">
        <f>H5*J5*G5</f>
        <v>18</v>
      </c>
      <c r="M5" s="4">
        <v>0</v>
      </c>
      <c r="N5" s="4">
        <v>0</v>
      </c>
      <c r="O5" s="15">
        <f>K5*M5+L5*N5</f>
        <v>0</v>
      </c>
    </row>
    <row r="6" spans="2:15" x14ac:dyDescent="0.3">
      <c r="B6" s="8" t="s">
        <v>7</v>
      </c>
      <c r="C6" s="2" t="s">
        <v>97</v>
      </c>
      <c r="D6" s="2" t="s">
        <v>98</v>
      </c>
      <c r="E6" s="2" t="s">
        <v>13</v>
      </c>
      <c r="F6" s="2" t="s">
        <v>28</v>
      </c>
      <c r="G6" s="2">
        <v>1</v>
      </c>
      <c r="H6" s="36">
        <v>5</v>
      </c>
      <c r="I6" s="5">
        <v>0.26</v>
      </c>
      <c r="J6" s="5">
        <v>0.3</v>
      </c>
      <c r="K6" s="3">
        <f t="shared" ref="K6:K41" si="0">H6*I6*G6</f>
        <v>1.3</v>
      </c>
      <c r="L6" s="3">
        <f t="shared" ref="L6:L41" si="1">H6*J6*G6</f>
        <v>1.5</v>
      </c>
      <c r="M6" s="4">
        <v>0</v>
      </c>
      <c r="N6" s="4">
        <v>0</v>
      </c>
      <c r="O6" s="15">
        <f t="shared" ref="O6:O41" si="2">K6*M6+L6*N6</f>
        <v>0</v>
      </c>
    </row>
    <row r="7" spans="2:15" x14ac:dyDescent="0.3">
      <c r="B7" s="8" t="s">
        <v>7</v>
      </c>
      <c r="C7" s="2" t="s">
        <v>79</v>
      </c>
      <c r="D7" s="2" t="s">
        <v>77</v>
      </c>
      <c r="E7" s="2" t="s">
        <v>14</v>
      </c>
      <c r="F7" s="2" t="s">
        <v>28</v>
      </c>
      <c r="G7" s="2">
        <v>1</v>
      </c>
      <c r="H7" s="9">
        <v>3.3</v>
      </c>
      <c r="I7" s="5">
        <v>0.15</v>
      </c>
      <c r="J7" s="5">
        <v>0.45</v>
      </c>
      <c r="K7" s="3">
        <f t="shared" si="0"/>
        <v>0.49499999999999994</v>
      </c>
      <c r="L7" s="3">
        <f t="shared" si="1"/>
        <v>1.4849999999999999</v>
      </c>
      <c r="M7" s="4">
        <v>1</v>
      </c>
      <c r="N7" s="4">
        <v>0</v>
      </c>
      <c r="O7" s="15">
        <f t="shared" si="2"/>
        <v>0.49499999999999994</v>
      </c>
    </row>
    <row r="8" spans="2:15" ht="25.5" x14ac:dyDescent="0.3">
      <c r="B8" s="8" t="s">
        <v>7</v>
      </c>
      <c r="C8" s="2" t="s">
        <v>78</v>
      </c>
      <c r="D8" s="35" t="s">
        <v>99</v>
      </c>
      <c r="E8" s="2" t="s">
        <v>14</v>
      </c>
      <c r="F8" s="2" t="s">
        <v>28</v>
      </c>
      <c r="G8" s="2">
        <v>1</v>
      </c>
      <c r="H8" s="36">
        <v>5</v>
      </c>
      <c r="I8" s="5">
        <v>3.4000000000000002E-2</v>
      </c>
      <c r="J8" s="5">
        <v>0.18</v>
      </c>
      <c r="K8" s="3">
        <f t="shared" si="0"/>
        <v>0.17</v>
      </c>
      <c r="L8" s="3">
        <f t="shared" si="1"/>
        <v>0.89999999999999991</v>
      </c>
      <c r="M8" s="4">
        <v>1</v>
      </c>
      <c r="N8" s="4">
        <v>0</v>
      </c>
      <c r="O8" s="15">
        <f t="shared" si="2"/>
        <v>0.17</v>
      </c>
    </row>
    <row r="9" spans="2:15" x14ac:dyDescent="0.3">
      <c r="B9" s="8" t="s">
        <v>7</v>
      </c>
      <c r="C9" s="2" t="s">
        <v>91</v>
      </c>
      <c r="D9" s="2" t="s">
        <v>92</v>
      </c>
      <c r="E9" s="2" t="s">
        <v>66</v>
      </c>
      <c r="F9" s="2" t="s">
        <v>28</v>
      </c>
      <c r="G9" s="2">
        <v>1</v>
      </c>
      <c r="H9" s="9">
        <v>3.3</v>
      </c>
      <c r="I9" s="5">
        <v>0.28000000000000003</v>
      </c>
      <c r="J9" s="5">
        <v>0.28000000000000003</v>
      </c>
      <c r="K9" s="3">
        <f t="shared" si="0"/>
        <v>0.92400000000000004</v>
      </c>
      <c r="L9" s="3">
        <f t="shared" si="1"/>
        <v>0.92400000000000004</v>
      </c>
      <c r="M9" s="4">
        <v>0</v>
      </c>
      <c r="N9" s="4">
        <v>0</v>
      </c>
      <c r="O9" s="15">
        <f t="shared" si="2"/>
        <v>0</v>
      </c>
    </row>
    <row r="10" spans="2:15" x14ac:dyDescent="0.3">
      <c r="B10" s="8" t="s">
        <v>7</v>
      </c>
      <c r="C10" s="2" t="s">
        <v>68</v>
      </c>
      <c r="D10" s="2" t="s">
        <v>88</v>
      </c>
      <c r="E10" s="2" t="s">
        <v>66</v>
      </c>
      <c r="F10" s="2" t="s">
        <v>80</v>
      </c>
      <c r="G10" s="2">
        <v>1</v>
      </c>
      <c r="H10" s="40">
        <v>12</v>
      </c>
      <c r="I10" s="5">
        <f>0.03/12</f>
        <v>2.5000000000000001E-3</v>
      </c>
      <c r="J10" s="5">
        <f>0.03/12</f>
        <v>2.5000000000000001E-3</v>
      </c>
      <c r="K10" s="3">
        <f t="shared" si="0"/>
        <v>0.03</v>
      </c>
      <c r="L10" s="3">
        <f t="shared" si="1"/>
        <v>0.03</v>
      </c>
      <c r="M10" s="4">
        <v>0.8</v>
      </c>
      <c r="N10" s="4">
        <v>0</v>
      </c>
      <c r="O10" s="15">
        <f t="shared" si="2"/>
        <v>2.4E-2</v>
      </c>
    </row>
    <row r="11" spans="2:15" x14ac:dyDescent="0.3">
      <c r="B11" s="8" t="s">
        <v>7</v>
      </c>
      <c r="C11" s="2" t="s">
        <v>89</v>
      </c>
      <c r="D11" s="2"/>
      <c r="E11" s="2"/>
      <c r="F11" s="2" t="s">
        <v>81</v>
      </c>
      <c r="G11" s="2">
        <v>1</v>
      </c>
      <c r="H11" s="40">
        <v>12</v>
      </c>
      <c r="I11" s="5">
        <f>1.35/12</f>
        <v>0.1125</v>
      </c>
      <c r="J11" s="5">
        <f>1.35/12</f>
        <v>0.1125</v>
      </c>
      <c r="K11" s="3">
        <f t="shared" si="0"/>
        <v>1.35</v>
      </c>
      <c r="L11" s="3">
        <f t="shared" si="1"/>
        <v>1.35</v>
      </c>
      <c r="M11" s="4">
        <v>0.1</v>
      </c>
      <c r="N11" s="4">
        <v>0</v>
      </c>
      <c r="O11" s="15">
        <f t="shared" si="2"/>
        <v>0.13500000000000001</v>
      </c>
    </row>
    <row r="12" spans="2:15" x14ac:dyDescent="0.3">
      <c r="B12" s="8" t="s">
        <v>7</v>
      </c>
      <c r="C12" s="2" t="s">
        <v>90</v>
      </c>
      <c r="D12" s="2"/>
      <c r="E12" s="2"/>
      <c r="F12" s="2" t="s">
        <v>82</v>
      </c>
      <c r="G12" s="2">
        <v>1</v>
      </c>
      <c r="H12" s="40">
        <v>12</v>
      </c>
      <c r="I12" s="5">
        <f>1.92/12</f>
        <v>0.16</v>
      </c>
      <c r="J12" s="5">
        <f>1.92/12</f>
        <v>0.16</v>
      </c>
      <c r="K12" s="3">
        <f t="shared" si="0"/>
        <v>1.92</v>
      </c>
      <c r="L12" s="3">
        <f t="shared" si="1"/>
        <v>1.92</v>
      </c>
      <c r="M12" s="4">
        <v>0</v>
      </c>
      <c r="N12" s="4">
        <v>0</v>
      </c>
      <c r="O12" s="15">
        <f t="shared" si="2"/>
        <v>0</v>
      </c>
    </row>
    <row r="13" spans="2:15" ht="25.5" x14ac:dyDescent="0.3">
      <c r="B13" s="8" t="s">
        <v>7</v>
      </c>
      <c r="C13" s="2"/>
      <c r="D13" s="2"/>
      <c r="E13" s="2"/>
      <c r="F13" s="35" t="s">
        <v>83</v>
      </c>
      <c r="G13" s="2">
        <v>1</v>
      </c>
      <c r="H13" s="40">
        <v>12</v>
      </c>
      <c r="I13" s="5">
        <f>2.82/12</f>
        <v>0.23499999999999999</v>
      </c>
      <c r="J13" s="5">
        <v>0.08</v>
      </c>
      <c r="K13" s="3">
        <f t="shared" si="0"/>
        <v>2.82</v>
      </c>
      <c r="L13" s="3">
        <f t="shared" si="1"/>
        <v>0.96</v>
      </c>
      <c r="M13" s="4">
        <v>0.1</v>
      </c>
      <c r="N13" s="4">
        <v>0</v>
      </c>
      <c r="O13" s="15">
        <f t="shared" si="2"/>
        <v>0.28199999999999997</v>
      </c>
    </row>
    <row r="14" spans="2:15" x14ac:dyDescent="0.3">
      <c r="B14" s="8" t="s">
        <v>7</v>
      </c>
      <c r="C14" s="2"/>
      <c r="D14" s="2"/>
      <c r="E14" s="2"/>
      <c r="F14" s="2" t="s">
        <v>84</v>
      </c>
      <c r="G14" s="2">
        <v>1</v>
      </c>
      <c r="H14" s="40">
        <v>12</v>
      </c>
      <c r="I14" s="5">
        <f>2.47/12</f>
        <v>0.20583333333333334</v>
      </c>
      <c r="J14" s="5">
        <f>2.47/12</f>
        <v>0.20583333333333334</v>
      </c>
      <c r="K14" s="3">
        <f t="shared" si="0"/>
        <v>2.4700000000000002</v>
      </c>
      <c r="L14" s="3">
        <f t="shared" si="1"/>
        <v>2.4700000000000002</v>
      </c>
      <c r="M14" s="4">
        <v>0</v>
      </c>
      <c r="N14" s="4">
        <v>0</v>
      </c>
      <c r="O14" s="15">
        <f t="shared" si="2"/>
        <v>0</v>
      </c>
    </row>
    <row r="15" spans="2:15" ht="25.5" x14ac:dyDescent="0.3">
      <c r="B15" s="8" t="s">
        <v>7</v>
      </c>
      <c r="C15" s="2"/>
      <c r="D15" s="2"/>
      <c r="E15" s="2"/>
      <c r="F15" s="35" t="s">
        <v>85</v>
      </c>
      <c r="G15" s="2">
        <v>1</v>
      </c>
      <c r="H15" s="40">
        <v>12</v>
      </c>
      <c r="I15" s="5">
        <f>6.74/12</f>
        <v>0.56166666666666665</v>
      </c>
      <c r="J15" s="5">
        <f>4.35</f>
        <v>4.3499999999999996</v>
      </c>
      <c r="K15" s="3">
        <f t="shared" si="0"/>
        <v>6.74</v>
      </c>
      <c r="L15" s="3">
        <f t="shared" si="1"/>
        <v>52.199999999999996</v>
      </c>
      <c r="M15" s="4">
        <v>0</v>
      </c>
      <c r="N15" s="4">
        <v>0</v>
      </c>
      <c r="O15" s="15">
        <f t="shared" si="2"/>
        <v>0</v>
      </c>
    </row>
    <row r="16" spans="2:15" x14ac:dyDescent="0.3">
      <c r="B16" s="8" t="s">
        <v>7</v>
      </c>
      <c r="C16" s="2" t="s">
        <v>86</v>
      </c>
      <c r="D16" s="2" t="s">
        <v>87</v>
      </c>
      <c r="E16" s="2" t="s">
        <v>66</v>
      </c>
      <c r="F16" s="35" t="s">
        <v>107</v>
      </c>
      <c r="G16" s="2">
        <v>1</v>
      </c>
      <c r="H16" s="36">
        <v>5</v>
      </c>
      <c r="I16" s="5">
        <v>0.4</v>
      </c>
      <c r="J16" s="5">
        <v>0.4</v>
      </c>
      <c r="K16" s="3">
        <f t="shared" si="0"/>
        <v>2</v>
      </c>
      <c r="L16" s="3">
        <f t="shared" si="1"/>
        <v>2</v>
      </c>
      <c r="M16" s="4">
        <v>0</v>
      </c>
      <c r="N16" s="4">
        <v>0</v>
      </c>
      <c r="O16" s="15">
        <f t="shared" si="2"/>
        <v>0</v>
      </c>
    </row>
    <row r="17" spans="2:15" x14ac:dyDescent="0.3">
      <c r="B17" s="8"/>
      <c r="C17" s="2"/>
      <c r="D17" s="2"/>
      <c r="E17" s="2"/>
      <c r="F17" s="35" t="s">
        <v>108</v>
      </c>
      <c r="G17" s="2">
        <v>1</v>
      </c>
      <c r="H17" s="40">
        <v>12</v>
      </c>
      <c r="I17" s="5">
        <v>0.1208</v>
      </c>
      <c r="J17" s="5">
        <v>0.1208</v>
      </c>
      <c r="K17" s="3">
        <f t="shared" si="0"/>
        <v>1.4496</v>
      </c>
      <c r="L17" s="3">
        <f t="shared" si="1"/>
        <v>1.4496</v>
      </c>
      <c r="M17" s="4">
        <v>0</v>
      </c>
      <c r="N17" s="4">
        <v>0</v>
      </c>
      <c r="O17" s="15">
        <f t="shared" si="2"/>
        <v>0</v>
      </c>
    </row>
    <row r="18" spans="2:15" x14ac:dyDescent="0.3">
      <c r="B18" s="8"/>
      <c r="C18" s="2"/>
      <c r="D18" s="2"/>
      <c r="E18" s="2"/>
      <c r="F18" s="35" t="s">
        <v>109</v>
      </c>
      <c r="G18" s="2">
        <v>1</v>
      </c>
      <c r="H18" s="40">
        <v>12</v>
      </c>
      <c r="I18" s="5">
        <v>0.58330000000000004</v>
      </c>
      <c r="J18" s="5">
        <v>0.70420000000000005</v>
      </c>
      <c r="K18" s="3">
        <f t="shared" si="0"/>
        <v>6.9996000000000009</v>
      </c>
      <c r="L18" s="3">
        <f t="shared" si="1"/>
        <v>8.4504000000000001</v>
      </c>
      <c r="M18" s="4">
        <v>0</v>
      </c>
      <c r="N18" s="4">
        <v>0</v>
      </c>
      <c r="O18" s="15">
        <f t="shared" si="2"/>
        <v>0</v>
      </c>
    </row>
    <row r="19" spans="2:15" x14ac:dyDescent="0.3">
      <c r="B19" s="8" t="s">
        <v>7</v>
      </c>
      <c r="C19" s="2"/>
      <c r="D19" s="2"/>
      <c r="E19" s="2"/>
      <c r="F19" s="35" t="s">
        <v>110</v>
      </c>
      <c r="G19" s="2">
        <v>1</v>
      </c>
      <c r="H19" s="40">
        <v>12</v>
      </c>
      <c r="I19" s="5">
        <v>2.75E-2</v>
      </c>
      <c r="J19" s="5">
        <v>0.71330000000000005</v>
      </c>
      <c r="K19" s="3">
        <f t="shared" si="0"/>
        <v>0.33</v>
      </c>
      <c r="L19" s="3">
        <f t="shared" si="1"/>
        <v>8.5595999999999997</v>
      </c>
      <c r="M19" s="4">
        <v>0</v>
      </c>
      <c r="N19" s="4">
        <v>0</v>
      </c>
      <c r="O19" s="15">
        <f t="shared" si="2"/>
        <v>0</v>
      </c>
    </row>
    <row r="20" spans="2:15" x14ac:dyDescent="0.3">
      <c r="B20" s="8" t="s">
        <v>7</v>
      </c>
      <c r="C20" s="2" t="s">
        <v>16</v>
      </c>
      <c r="D20" s="2" t="s">
        <v>74</v>
      </c>
      <c r="E20" s="2" t="s">
        <v>67</v>
      </c>
      <c r="F20" s="2" t="s">
        <v>75</v>
      </c>
      <c r="G20" s="2">
        <v>1</v>
      </c>
      <c r="H20" s="9">
        <v>3.3</v>
      </c>
      <c r="I20" s="5">
        <v>0.8</v>
      </c>
      <c r="J20" s="5">
        <v>0.85</v>
      </c>
      <c r="K20" s="3">
        <f t="shared" si="0"/>
        <v>2.64</v>
      </c>
      <c r="L20" s="3">
        <f t="shared" si="1"/>
        <v>2.8049999999999997</v>
      </c>
      <c r="M20" s="4">
        <v>0.1</v>
      </c>
      <c r="N20" s="4">
        <v>0</v>
      </c>
      <c r="O20" s="15">
        <f t="shared" si="2"/>
        <v>0.26400000000000001</v>
      </c>
    </row>
    <row r="21" spans="2:15" x14ac:dyDescent="0.3">
      <c r="B21" s="8" t="s">
        <v>7</v>
      </c>
      <c r="C21" s="2"/>
      <c r="D21" s="2"/>
      <c r="E21" s="2"/>
      <c r="F21" s="2" t="s">
        <v>76</v>
      </c>
      <c r="G21" s="2">
        <v>1</v>
      </c>
      <c r="H21" s="9">
        <v>3.3</v>
      </c>
      <c r="I21" s="5">
        <v>5.5E-2</v>
      </c>
      <c r="J21" s="5">
        <v>0.12</v>
      </c>
      <c r="K21" s="3">
        <f t="shared" si="0"/>
        <v>0.18149999999999999</v>
      </c>
      <c r="L21" s="3">
        <f t="shared" si="1"/>
        <v>0.39599999999999996</v>
      </c>
      <c r="M21" s="4">
        <v>0.9</v>
      </c>
      <c r="N21" s="4">
        <v>0</v>
      </c>
      <c r="O21" s="15">
        <f t="shared" si="2"/>
        <v>0.16335</v>
      </c>
    </row>
    <row r="22" spans="2:15" x14ac:dyDescent="0.3">
      <c r="B22" s="8" t="s">
        <v>7</v>
      </c>
      <c r="C22" s="2" t="s">
        <v>17</v>
      </c>
      <c r="D22" s="2" t="s">
        <v>73</v>
      </c>
      <c r="E22" s="2" t="s">
        <v>67</v>
      </c>
      <c r="F22" s="2" t="s">
        <v>28</v>
      </c>
      <c r="G22" s="2">
        <v>1</v>
      </c>
      <c r="H22" s="36">
        <v>5</v>
      </c>
      <c r="I22" s="5">
        <v>5.0000000000000001E-4</v>
      </c>
      <c r="J22" s="5">
        <v>2E-3</v>
      </c>
      <c r="K22" s="3">
        <f t="shared" si="0"/>
        <v>2.5000000000000001E-3</v>
      </c>
      <c r="L22" s="3">
        <f t="shared" si="1"/>
        <v>0.01</v>
      </c>
      <c r="M22" s="4">
        <v>1</v>
      </c>
      <c r="N22" s="4">
        <v>0</v>
      </c>
      <c r="O22" s="15">
        <f t="shared" si="2"/>
        <v>2.5000000000000001E-3</v>
      </c>
    </row>
    <row r="23" spans="2:15" x14ac:dyDescent="0.3">
      <c r="B23" s="8" t="s">
        <v>7</v>
      </c>
      <c r="C23" s="2" t="s">
        <v>69</v>
      </c>
      <c r="D23" s="2" t="s">
        <v>72</v>
      </c>
      <c r="E23" s="2" t="s">
        <v>67</v>
      </c>
      <c r="F23" s="2" t="s">
        <v>95</v>
      </c>
      <c r="G23" s="2">
        <v>1</v>
      </c>
      <c r="H23" s="36">
        <v>5</v>
      </c>
      <c r="I23" s="5">
        <v>1.0880000000000001</v>
      </c>
      <c r="J23" s="5">
        <v>1.5</v>
      </c>
      <c r="K23" s="3">
        <f t="shared" si="0"/>
        <v>5.44</v>
      </c>
      <c r="L23" s="3">
        <f t="shared" si="1"/>
        <v>7.5</v>
      </c>
      <c r="M23" s="4">
        <v>0</v>
      </c>
      <c r="N23" s="4">
        <v>0</v>
      </c>
      <c r="O23" s="15">
        <f t="shared" si="2"/>
        <v>0</v>
      </c>
    </row>
    <row r="24" spans="2:15" x14ac:dyDescent="0.3">
      <c r="B24" s="8" t="s">
        <v>7</v>
      </c>
      <c r="C24" s="2"/>
      <c r="D24" s="2"/>
      <c r="E24" s="2"/>
      <c r="F24" s="2" t="s">
        <v>94</v>
      </c>
      <c r="G24" s="2">
        <v>1</v>
      </c>
      <c r="H24" s="36">
        <v>5</v>
      </c>
      <c r="I24" s="5">
        <v>1.1719999999999999</v>
      </c>
      <c r="J24" s="5">
        <v>1.5</v>
      </c>
      <c r="K24" s="3">
        <f t="shared" si="0"/>
        <v>5.8599999999999994</v>
      </c>
      <c r="L24" s="3">
        <f t="shared" si="1"/>
        <v>7.5</v>
      </c>
      <c r="M24" s="4">
        <v>0</v>
      </c>
      <c r="N24" s="4">
        <v>0</v>
      </c>
      <c r="O24" s="15">
        <f t="shared" si="2"/>
        <v>0</v>
      </c>
    </row>
    <row r="25" spans="2:15" x14ac:dyDescent="0.3">
      <c r="B25" s="8" t="s">
        <v>7</v>
      </c>
      <c r="C25" s="2"/>
      <c r="D25" s="2"/>
      <c r="E25" s="2"/>
      <c r="F25" s="2" t="s">
        <v>96</v>
      </c>
      <c r="G25" s="2">
        <v>1</v>
      </c>
      <c r="H25" s="36">
        <v>5</v>
      </c>
      <c r="I25" s="5">
        <v>1.1879999999999999</v>
      </c>
      <c r="J25" s="5">
        <v>1.5</v>
      </c>
      <c r="K25" s="3">
        <f t="shared" si="0"/>
        <v>5.9399999999999995</v>
      </c>
      <c r="L25" s="3">
        <f t="shared" si="1"/>
        <v>7.5</v>
      </c>
      <c r="M25" s="4">
        <v>0</v>
      </c>
      <c r="N25" s="4">
        <v>0</v>
      </c>
      <c r="O25" s="15">
        <f t="shared" si="2"/>
        <v>0</v>
      </c>
    </row>
    <row r="26" spans="2:15" x14ac:dyDescent="0.3">
      <c r="B26" s="8" t="s">
        <v>7</v>
      </c>
      <c r="C26" s="2" t="s">
        <v>18</v>
      </c>
      <c r="D26" s="2" t="s">
        <v>71</v>
      </c>
      <c r="E26" s="2" t="s">
        <v>67</v>
      </c>
      <c r="F26" s="1" t="s">
        <v>101</v>
      </c>
      <c r="G26" s="2">
        <v>1</v>
      </c>
      <c r="H26" s="6">
        <v>12</v>
      </c>
      <c r="I26" s="5">
        <v>1.4999999999999999E-4</v>
      </c>
      <c r="J26" s="5">
        <v>1.4999999999999999E-4</v>
      </c>
      <c r="K26" s="3">
        <f t="shared" si="0"/>
        <v>1.8E-3</v>
      </c>
      <c r="L26" s="3">
        <f t="shared" si="1"/>
        <v>1.8E-3</v>
      </c>
      <c r="M26" s="4">
        <v>1</v>
      </c>
      <c r="N26" s="4">
        <v>0</v>
      </c>
      <c r="O26" s="15">
        <f t="shared" si="2"/>
        <v>1.8E-3</v>
      </c>
    </row>
    <row r="27" spans="2:15" x14ac:dyDescent="0.3">
      <c r="B27" s="8" t="s">
        <v>7</v>
      </c>
      <c r="C27" s="2"/>
      <c r="D27" s="2"/>
      <c r="E27" s="2"/>
      <c r="F27" s="2" t="s">
        <v>27</v>
      </c>
      <c r="G27" s="2">
        <v>1</v>
      </c>
      <c r="H27" s="6">
        <v>12</v>
      </c>
      <c r="I27" s="5">
        <v>1.7000000000000001E-2</v>
      </c>
      <c r="J27" s="5">
        <v>1.7000000000000001E-2</v>
      </c>
      <c r="K27" s="3">
        <f t="shared" si="0"/>
        <v>0.20400000000000001</v>
      </c>
      <c r="L27" s="3">
        <f t="shared" si="1"/>
        <v>0.20400000000000001</v>
      </c>
      <c r="M27" s="4">
        <v>0</v>
      </c>
      <c r="N27" s="4">
        <v>0</v>
      </c>
      <c r="O27" s="15">
        <f t="shared" si="2"/>
        <v>0</v>
      </c>
    </row>
    <row r="28" spans="2:15" x14ac:dyDescent="0.3">
      <c r="B28" s="8" t="s">
        <v>7</v>
      </c>
      <c r="C28" s="2"/>
      <c r="D28" s="2"/>
      <c r="E28" s="2"/>
      <c r="F28" s="2" t="s">
        <v>76</v>
      </c>
      <c r="G28" s="2">
        <v>1</v>
      </c>
      <c r="H28" s="6">
        <v>12</v>
      </c>
      <c r="I28" s="5">
        <v>6.7000000000000004E-2</v>
      </c>
      <c r="J28" s="5">
        <v>6.7000000000000004E-2</v>
      </c>
      <c r="K28" s="3">
        <f t="shared" si="0"/>
        <v>0.80400000000000005</v>
      </c>
      <c r="L28" s="3">
        <f t="shared" si="1"/>
        <v>0.80400000000000005</v>
      </c>
      <c r="M28" s="4">
        <v>0</v>
      </c>
      <c r="N28" s="4">
        <v>0</v>
      </c>
      <c r="O28" s="15">
        <f t="shared" si="2"/>
        <v>0</v>
      </c>
    </row>
    <row r="29" spans="2:15" x14ac:dyDescent="0.3">
      <c r="B29" s="8" t="s">
        <v>7</v>
      </c>
      <c r="C29" s="2"/>
      <c r="D29" s="2"/>
      <c r="E29" s="2"/>
      <c r="F29" s="2" t="s">
        <v>100</v>
      </c>
      <c r="G29" s="2">
        <v>1</v>
      </c>
      <c r="H29" s="6">
        <v>12</v>
      </c>
      <c r="I29" s="5">
        <v>0.05</v>
      </c>
      <c r="J29" s="5">
        <v>0.05</v>
      </c>
      <c r="K29" s="3">
        <f t="shared" si="0"/>
        <v>0.60000000000000009</v>
      </c>
      <c r="L29" s="3">
        <f t="shared" si="1"/>
        <v>0.60000000000000009</v>
      </c>
      <c r="M29" s="4">
        <v>0</v>
      </c>
      <c r="N29" s="4">
        <v>0</v>
      </c>
      <c r="O29" s="15">
        <f t="shared" si="2"/>
        <v>0</v>
      </c>
    </row>
    <row r="30" spans="2:15" x14ac:dyDescent="0.3">
      <c r="B30" s="8" t="s">
        <v>7</v>
      </c>
      <c r="C30" s="2"/>
      <c r="D30" s="2"/>
      <c r="E30" s="2"/>
      <c r="F30" s="2" t="s">
        <v>75</v>
      </c>
      <c r="G30" s="2">
        <v>1</v>
      </c>
      <c r="H30" s="6">
        <v>12</v>
      </c>
      <c r="I30" s="5">
        <v>0.89170000000000005</v>
      </c>
      <c r="J30" s="5">
        <v>0.91669999999999996</v>
      </c>
      <c r="K30" s="3">
        <f t="shared" si="0"/>
        <v>10.7004</v>
      </c>
      <c r="L30" s="3">
        <f t="shared" si="1"/>
        <v>11.000399999999999</v>
      </c>
      <c r="M30" s="4">
        <v>0</v>
      </c>
      <c r="N30" s="4">
        <v>0</v>
      </c>
      <c r="O30" s="15">
        <f t="shared" si="2"/>
        <v>0</v>
      </c>
    </row>
    <row r="31" spans="2:15" x14ac:dyDescent="0.3">
      <c r="B31" s="8" t="s">
        <v>7</v>
      </c>
      <c r="C31" s="2" t="s">
        <v>18</v>
      </c>
      <c r="D31" s="2" t="s">
        <v>70</v>
      </c>
      <c r="E31" s="2" t="s">
        <v>67</v>
      </c>
      <c r="F31" s="1" t="s">
        <v>101</v>
      </c>
      <c r="G31" s="2">
        <v>1</v>
      </c>
      <c r="H31" s="6">
        <v>12</v>
      </c>
      <c r="I31" s="5">
        <v>1.4999999999999999E-4</v>
      </c>
      <c r="J31" s="5">
        <v>1.4999999999999999E-4</v>
      </c>
      <c r="K31" s="3">
        <f t="shared" si="0"/>
        <v>1.8E-3</v>
      </c>
      <c r="L31" s="3">
        <f t="shared" si="1"/>
        <v>1.8E-3</v>
      </c>
      <c r="M31" s="4">
        <v>1</v>
      </c>
      <c r="N31" s="4">
        <v>0</v>
      </c>
      <c r="O31" s="15">
        <f t="shared" si="2"/>
        <v>1.8E-3</v>
      </c>
    </row>
    <row r="32" spans="2:15" x14ac:dyDescent="0.3">
      <c r="B32" s="8" t="s">
        <v>7</v>
      </c>
      <c r="C32" s="2"/>
      <c r="D32" s="2"/>
      <c r="E32" s="2"/>
      <c r="F32" s="2" t="s">
        <v>27</v>
      </c>
      <c r="G32" s="2">
        <v>1</v>
      </c>
      <c r="H32" s="6">
        <v>12</v>
      </c>
      <c r="I32" s="5">
        <v>1.7000000000000001E-2</v>
      </c>
      <c r="J32" s="5">
        <v>1.7000000000000001E-2</v>
      </c>
      <c r="K32" s="3">
        <f t="shared" si="0"/>
        <v>0.20400000000000001</v>
      </c>
      <c r="L32" s="3">
        <f t="shared" si="1"/>
        <v>0.20400000000000001</v>
      </c>
      <c r="M32" s="4">
        <v>0</v>
      </c>
      <c r="N32" s="4">
        <v>0</v>
      </c>
      <c r="O32" s="15">
        <f t="shared" si="2"/>
        <v>0</v>
      </c>
    </row>
    <row r="33" spans="2:17" x14ac:dyDescent="0.3">
      <c r="B33" s="8" t="s">
        <v>7</v>
      </c>
      <c r="C33" s="2"/>
      <c r="D33" s="2"/>
      <c r="E33" s="2"/>
      <c r="F33" s="2" t="s">
        <v>76</v>
      </c>
      <c r="G33" s="2">
        <v>1</v>
      </c>
      <c r="H33" s="6">
        <v>12</v>
      </c>
      <c r="I33" s="5">
        <v>6.7000000000000004E-2</v>
      </c>
      <c r="J33" s="5">
        <v>6.7000000000000004E-2</v>
      </c>
      <c r="K33" s="3">
        <f t="shared" si="0"/>
        <v>0.80400000000000005</v>
      </c>
      <c r="L33" s="3">
        <f t="shared" si="1"/>
        <v>0.80400000000000005</v>
      </c>
      <c r="M33" s="4">
        <v>0</v>
      </c>
      <c r="N33" s="4">
        <v>0</v>
      </c>
      <c r="O33" s="15">
        <f t="shared" si="2"/>
        <v>0</v>
      </c>
    </row>
    <row r="34" spans="2:17" x14ac:dyDescent="0.3">
      <c r="B34" s="8" t="s">
        <v>7</v>
      </c>
      <c r="C34" s="2"/>
      <c r="D34" s="2"/>
      <c r="E34" s="2"/>
      <c r="F34" s="2" t="s">
        <v>100</v>
      </c>
      <c r="G34" s="2">
        <v>1</v>
      </c>
      <c r="H34" s="6">
        <v>12</v>
      </c>
      <c r="I34" s="5">
        <v>0.05</v>
      </c>
      <c r="J34" s="5">
        <v>0.05</v>
      </c>
      <c r="K34" s="3">
        <f t="shared" si="0"/>
        <v>0.60000000000000009</v>
      </c>
      <c r="L34" s="3">
        <f t="shared" si="1"/>
        <v>0.60000000000000009</v>
      </c>
      <c r="M34" s="4">
        <v>0</v>
      </c>
      <c r="N34" s="4">
        <v>0</v>
      </c>
      <c r="O34" s="15">
        <f t="shared" si="2"/>
        <v>0</v>
      </c>
    </row>
    <row r="35" spans="2:17" x14ac:dyDescent="0.3">
      <c r="B35" s="8" t="s">
        <v>7</v>
      </c>
      <c r="C35" s="2"/>
      <c r="D35" s="2"/>
      <c r="E35" s="2"/>
      <c r="F35" s="2" t="s">
        <v>75</v>
      </c>
      <c r="G35" s="2">
        <v>1</v>
      </c>
      <c r="H35" s="6">
        <v>12</v>
      </c>
      <c r="I35" s="5">
        <v>0.89170000000000005</v>
      </c>
      <c r="J35" s="5">
        <v>0.91669999999999996</v>
      </c>
      <c r="K35" s="3">
        <f t="shared" si="0"/>
        <v>10.7004</v>
      </c>
      <c r="L35" s="3">
        <f t="shared" si="1"/>
        <v>11.000399999999999</v>
      </c>
      <c r="M35" s="4">
        <v>0</v>
      </c>
      <c r="N35" s="4">
        <v>0</v>
      </c>
      <c r="O35" s="15">
        <f t="shared" si="2"/>
        <v>0</v>
      </c>
    </row>
    <row r="36" spans="2:17" x14ac:dyDescent="0.3">
      <c r="B36" s="8" t="s">
        <v>7</v>
      </c>
      <c r="C36" s="2" t="s">
        <v>102</v>
      </c>
      <c r="D36" s="2" t="s">
        <v>103</v>
      </c>
      <c r="E36" s="2" t="s">
        <v>67</v>
      </c>
      <c r="F36" s="2" t="s">
        <v>127</v>
      </c>
      <c r="G36" s="2">
        <v>1</v>
      </c>
      <c r="H36" s="36">
        <v>5</v>
      </c>
      <c r="I36" s="5">
        <f>(0.7+3.4)/5</f>
        <v>0.82</v>
      </c>
      <c r="J36" s="5">
        <f>(0.8+4.3)/5</f>
        <v>1.02</v>
      </c>
      <c r="K36" s="3">
        <f t="shared" si="0"/>
        <v>4.0999999999999996</v>
      </c>
      <c r="L36" s="3">
        <f t="shared" si="1"/>
        <v>5.0999999999999996</v>
      </c>
      <c r="M36" s="4">
        <v>0</v>
      </c>
      <c r="N36" s="4">
        <v>0</v>
      </c>
      <c r="O36" s="15">
        <f t="shared" si="2"/>
        <v>0</v>
      </c>
    </row>
    <row r="37" spans="2:17" x14ac:dyDescent="0.3">
      <c r="B37" s="8" t="s">
        <v>7</v>
      </c>
      <c r="C37" s="2"/>
      <c r="D37" s="2"/>
      <c r="E37" s="2"/>
      <c r="F37" s="1" t="s">
        <v>129</v>
      </c>
      <c r="G37" s="2">
        <v>1</v>
      </c>
      <c r="H37" s="36">
        <v>5</v>
      </c>
      <c r="I37" s="5">
        <f>(2.4+4)/5</f>
        <v>1.28</v>
      </c>
      <c r="J37" s="5">
        <f>(3+5.1)/5</f>
        <v>1.6199999999999999</v>
      </c>
      <c r="K37" s="3">
        <f t="shared" si="0"/>
        <v>6.4</v>
      </c>
      <c r="L37" s="3">
        <f t="shared" si="1"/>
        <v>8.1</v>
      </c>
      <c r="M37" s="4">
        <v>0</v>
      </c>
      <c r="N37" s="4">
        <v>0</v>
      </c>
      <c r="O37" s="15">
        <f t="shared" si="2"/>
        <v>0</v>
      </c>
    </row>
    <row r="38" spans="2:17" x14ac:dyDescent="0.3">
      <c r="B38" s="8" t="s">
        <v>7</v>
      </c>
      <c r="C38" s="2"/>
      <c r="D38" s="2"/>
      <c r="E38" s="2"/>
      <c r="F38" s="2" t="s">
        <v>128</v>
      </c>
      <c r="G38" s="2">
        <v>1</v>
      </c>
      <c r="H38" s="40">
        <v>12</v>
      </c>
      <c r="I38" s="5">
        <f>0/28</f>
        <v>0</v>
      </c>
      <c r="J38" s="5">
        <f>0.1/28</f>
        <v>3.5714285714285718E-3</v>
      </c>
      <c r="K38" s="3">
        <f t="shared" si="0"/>
        <v>0</v>
      </c>
      <c r="L38" s="3">
        <f t="shared" si="1"/>
        <v>4.2857142857142858E-2</v>
      </c>
      <c r="M38" s="4">
        <v>0</v>
      </c>
      <c r="N38" s="4">
        <v>0</v>
      </c>
      <c r="O38" s="15">
        <f t="shared" si="2"/>
        <v>0</v>
      </c>
    </row>
    <row r="39" spans="2:17" x14ac:dyDescent="0.3">
      <c r="B39" s="8" t="s">
        <v>7</v>
      </c>
      <c r="C39" s="2"/>
      <c r="D39" s="2"/>
      <c r="E39" s="2"/>
      <c r="F39" s="2" t="s">
        <v>130</v>
      </c>
      <c r="G39" s="2">
        <v>1</v>
      </c>
      <c r="H39" s="40">
        <v>12</v>
      </c>
      <c r="I39" s="5">
        <f>18.1/28</f>
        <v>0.64642857142857146</v>
      </c>
      <c r="J39" s="5">
        <f>25/28</f>
        <v>0.8928571428571429</v>
      </c>
      <c r="K39" s="3">
        <f t="shared" si="0"/>
        <v>7.757142857142858</v>
      </c>
      <c r="L39" s="3">
        <f t="shared" si="1"/>
        <v>10.714285714285715</v>
      </c>
      <c r="M39" s="4">
        <v>0</v>
      </c>
      <c r="N39" s="4">
        <v>0</v>
      </c>
      <c r="O39" s="15">
        <f t="shared" si="2"/>
        <v>0</v>
      </c>
    </row>
    <row r="40" spans="2:17" x14ac:dyDescent="0.3">
      <c r="B40" s="8" t="s">
        <v>7</v>
      </c>
      <c r="C40" s="2" t="s">
        <v>24</v>
      </c>
      <c r="D40" s="2" t="s">
        <v>104</v>
      </c>
      <c r="E40" s="2" t="s">
        <v>23</v>
      </c>
      <c r="F40" s="2" t="s">
        <v>105</v>
      </c>
      <c r="G40" s="2">
        <v>1</v>
      </c>
      <c r="H40" s="34">
        <v>14.8</v>
      </c>
      <c r="I40" s="5">
        <f>(0.165+0.08*3*2+0.1*3.3)/14.8</f>
        <v>6.5878378378378386E-2</v>
      </c>
      <c r="J40" s="5">
        <f>(0.165+0.08*3*2+0.5*3.3)/14.8</f>
        <v>0.15506756756756757</v>
      </c>
      <c r="K40" s="3">
        <f t="shared" si="0"/>
        <v>0.9750000000000002</v>
      </c>
      <c r="L40" s="3">
        <f t="shared" si="1"/>
        <v>2.2949999999999999</v>
      </c>
      <c r="M40" s="4">
        <f t="shared" ref="M40" si="3">1-N40</f>
        <v>1</v>
      </c>
      <c r="N40" s="4">
        <v>0</v>
      </c>
      <c r="O40" s="15">
        <f t="shared" si="2"/>
        <v>0.9750000000000002</v>
      </c>
    </row>
    <row r="41" spans="2:17" x14ac:dyDescent="0.3">
      <c r="B41" s="8" t="s">
        <v>7</v>
      </c>
      <c r="C41" s="2" t="s">
        <v>25</v>
      </c>
      <c r="D41" s="2" t="s">
        <v>106</v>
      </c>
      <c r="E41" s="2" t="s">
        <v>23</v>
      </c>
      <c r="F41" s="2" t="s">
        <v>30</v>
      </c>
      <c r="G41" s="2">
        <v>1</v>
      </c>
      <c r="H41" s="34">
        <v>14.8</v>
      </c>
      <c r="I41" s="5">
        <v>4.0000000000000001E-3</v>
      </c>
      <c r="J41" s="5">
        <v>0.40539999999999998</v>
      </c>
      <c r="K41" s="3">
        <f t="shared" si="0"/>
        <v>5.9200000000000003E-2</v>
      </c>
      <c r="L41" s="3">
        <f t="shared" si="1"/>
        <v>5.9999200000000004</v>
      </c>
      <c r="M41" s="4">
        <v>0</v>
      </c>
      <c r="N41" s="4">
        <v>0</v>
      </c>
      <c r="O41" s="15">
        <f t="shared" si="2"/>
        <v>0</v>
      </c>
    </row>
    <row r="42" spans="2:17" x14ac:dyDescent="0.3">
      <c r="B42" s="12" t="s">
        <v>37</v>
      </c>
      <c r="C42" s="12" t="s">
        <v>41</v>
      </c>
      <c r="D42" s="11">
        <v>20</v>
      </c>
      <c r="J42" s="29"/>
      <c r="M42" s="12" t="s">
        <v>32</v>
      </c>
      <c r="N42" s="12" t="s">
        <v>33</v>
      </c>
      <c r="O42" s="3">
        <f>SUM(O5:O41)/($D$44/100)</f>
        <v>2.7938333333333332</v>
      </c>
    </row>
    <row r="43" spans="2:17" x14ac:dyDescent="0.3">
      <c r="B43" s="13"/>
      <c r="C43" s="12" t="s">
        <v>38</v>
      </c>
      <c r="D43" s="11">
        <v>40</v>
      </c>
      <c r="M43" s="12" t="s">
        <v>34</v>
      </c>
      <c r="N43" s="12" t="s">
        <v>112</v>
      </c>
      <c r="O43" s="3">
        <f>(L7*IF(OR(M7&gt;0, N7&gt;0), 1, 0)+L9*IF(OR(M9&gt;0, N9&gt;0), 1, 0)+MAX(L20*IF(OR(M20&gt;0, N20&gt;0), 1, 0), L21*IF(OR(M21&gt;0, N21&gt;0), 1, 0)))/3.3/($D$44/100)</f>
        <v>1.4444444444444442</v>
      </c>
      <c r="P43" s="1" t="s">
        <v>35</v>
      </c>
      <c r="Q43" s="1" t="s">
        <v>36</v>
      </c>
    </row>
    <row r="44" spans="2:17" x14ac:dyDescent="0.3">
      <c r="B44" s="13"/>
      <c r="C44" s="12" t="s">
        <v>39</v>
      </c>
      <c r="D44" s="11">
        <v>90</v>
      </c>
      <c r="M44" s="12"/>
      <c r="N44" s="12" t="s">
        <v>113</v>
      </c>
      <c r="O44" s="3">
        <f>(L6*IF(OR(M6&gt;0, N6&gt;0), 1, 0)+L8*IF(OR(M8&gt;0, N8&gt;0), 1, 0)+L16*IF(OR(M16&gt;0, N16&gt;0), 1, 0)+L22*IF(OR(M22&gt;0, N22&gt;0), 1, 0)+MAX(L23*IF(OR(M23&gt;0, N23&gt;0), 1, 0), L24*IF(OR(M24&gt;0, N24&gt;0), 1, 0), L25*IF(OR(M25&gt;0, N25&gt;0), 1, 0))+MAX(L36*IF(OR(M36&gt;0, N36&gt;0), 1, 0),L37*IF(OR(M37&gt;0, N37&gt;0), 1, 0)))/5/($D$44/100)</f>
        <v>0.20222222222222222</v>
      </c>
      <c r="P44" s="1" t="s">
        <v>35</v>
      </c>
      <c r="Q44" s="1" t="s">
        <v>36</v>
      </c>
    </row>
    <row r="45" spans="2:17" x14ac:dyDescent="0.3">
      <c r="B45" s="13"/>
      <c r="C45" s="12" t="s">
        <v>40</v>
      </c>
      <c r="D45" s="11">
        <v>14.8</v>
      </c>
      <c r="M45" s="12"/>
      <c r="N45" s="12" t="s">
        <v>114</v>
      </c>
      <c r="O45" s="3">
        <f>(MAX(L26*IF(OR(M26&gt;0, N26&gt;0), 1, 0), L27*IF(OR(M27&gt;0, N27&gt;0), 1, 0), L28*IF(OR(M28&gt;0, N28&gt;0), 1, 0), L29*IF(OR(M29&gt;0, N29&gt;0), 1, 0), L30*IF(OR(M30&gt;0, N30&gt;0), 1, 0))+MAX(L31*IF(OR(M31&gt;0, N31&gt;0), 1, 0), L32*IF(OR(M32&gt;0, N32&gt;0), 1, 0), L33*IF(OR(M33&gt;0, N33&gt;0), 1, 0), L34*IF(OR(M34&gt;0, N34&gt;0), 1, 0), L35*IF(OR(M35&gt;0, N35&gt;0), 1, 0)))/12/($D$44/100)</f>
        <v>3.3333333333333332E-4</v>
      </c>
      <c r="P45" s="1" t="s">
        <v>35</v>
      </c>
      <c r="Q45" s="1" t="s">
        <v>36</v>
      </c>
    </row>
    <row r="46" spans="2:17" x14ac:dyDescent="0.3">
      <c r="B46" s="13"/>
      <c r="C46" s="12" t="s">
        <v>47</v>
      </c>
      <c r="D46" s="11">
        <f>IF($D52 &lt; ASIN($D49/($D49+$D50))*180/PI(), (360-2*ASIN((((1/COS($D$52*PI()/180))^2)*((($D$49/($D$49+$D$50))^2-(SIN($D$52*PI()/180))^2)))^0.5)*180/PI())/360*$D$51, $D51)</f>
        <v>4648.3432480072397</v>
      </c>
      <c r="M46" s="12"/>
      <c r="N46" s="12" t="s">
        <v>135</v>
      </c>
      <c r="O46" s="3">
        <f>(L5*IF(OR(M5&gt;0, N5&gt;0), 1, 0)+MAX(L10*IF(OR(M10&gt;0, N10&gt;0), 1, 0), L11*IF(OR(M11&gt;0, N11&gt;0), 1, 0), L12*IF(OR(M12&gt;0, N12&gt;0), 1, 0), L13*IF(OR(M13&gt;0, N13&gt;0), 1, 0), L14*IF(OR(M14&gt;0, N14&gt;0), 1, 0), L15*IF(OR(M15&gt;0, N15&gt;0), 1, 0))+MAX(L17*IF(OR(M17&gt;0, N17&gt;0), 1, 0), L18*IF(OR(M18&gt;0, N18&gt;0), 1, 0), L19*IF(OR(M19&gt;0, N19&gt;0), 1, 0))+MAX(L38*IF(OR(M38&gt;0, N38&gt;0), 1, 0), L39*IF(OR(M39&gt;0, N39&gt;0), 1, 0)))/12/($D$44/100)</f>
        <v>0.125</v>
      </c>
      <c r="P46" s="1" t="s">
        <v>35</v>
      </c>
      <c r="Q46" s="1" t="s">
        <v>61</v>
      </c>
    </row>
    <row r="47" spans="2:17" x14ac:dyDescent="0.3">
      <c r="B47" s="13"/>
      <c r="C47" s="12" t="s">
        <v>42</v>
      </c>
      <c r="D47" s="11">
        <f>D51-D46</f>
        <v>1152.8954939512087</v>
      </c>
      <c r="M47" s="12"/>
      <c r="N47" s="12" t="s">
        <v>115</v>
      </c>
      <c r="O47" s="3">
        <f>(L40*IF(OR(M40&gt;0, N40&gt;0), 1, 0)+L41*IF(OR(M41&gt;0, N41&gt;0), 1, 0))/14.8/($D$44/100)</f>
        <v>0.17229729729729729</v>
      </c>
      <c r="P47" s="1" t="s">
        <v>62</v>
      </c>
      <c r="Q47" s="1" t="s">
        <v>61</v>
      </c>
    </row>
    <row r="48" spans="2:17" x14ac:dyDescent="0.3">
      <c r="B48" s="14"/>
      <c r="C48" s="12" t="s">
        <v>48</v>
      </c>
      <c r="D48" s="3">
        <v>398600</v>
      </c>
      <c r="M48" s="12"/>
      <c r="N48" s="12" t="s">
        <v>63</v>
      </c>
      <c r="O48" s="3">
        <f>SUM(O43:O47)</f>
        <v>1.9442972972972972</v>
      </c>
      <c r="P48" s="1" t="s">
        <v>119</v>
      </c>
      <c r="Q48" s="1" t="s">
        <v>118</v>
      </c>
    </row>
    <row r="49" spans="2:16" x14ac:dyDescent="0.3">
      <c r="B49" s="14"/>
      <c r="C49" s="12" t="s">
        <v>43</v>
      </c>
      <c r="D49" s="3">
        <v>6378.14</v>
      </c>
      <c r="M49" s="12" t="s">
        <v>60</v>
      </c>
      <c r="N49" s="12" t="s">
        <v>64</v>
      </c>
      <c r="O49" s="3">
        <f>(2.246*0.4866)*(4*1*4*6*2+0+0+2+2)/(6*2+3+3+2+2)*(D46/D51)</f>
        <v>7.8017620183249798</v>
      </c>
      <c r="P49" s="1" t="s">
        <v>122</v>
      </c>
    </row>
    <row r="50" spans="2:16" x14ac:dyDescent="0.3">
      <c r="B50" s="14"/>
      <c r="C50" s="12" t="s">
        <v>44</v>
      </c>
      <c r="D50" s="3">
        <v>600</v>
      </c>
      <c r="M50" s="12" t="s">
        <v>59</v>
      </c>
      <c r="N50" s="12" t="s">
        <v>55</v>
      </c>
      <c r="O50" s="3">
        <f>O49-O42</f>
        <v>5.0079286849916471</v>
      </c>
    </row>
    <row r="51" spans="2:16" x14ac:dyDescent="0.3">
      <c r="B51" s="14"/>
      <c r="C51" s="12" t="s">
        <v>45</v>
      </c>
      <c r="D51" s="3">
        <f>2*PI()*SQRT(($D$49+$D$50)^3/$D$48)</f>
        <v>5801.2387419584484</v>
      </c>
      <c r="M51" s="12" t="s">
        <v>58</v>
      </c>
      <c r="N51" s="12" t="s">
        <v>55</v>
      </c>
      <c r="O51" s="3">
        <f>O50/(O49-O50)*100</f>
        <v>179.2493712936222</v>
      </c>
      <c r="P51" s="1" t="s">
        <v>116</v>
      </c>
    </row>
    <row r="52" spans="2:16" x14ac:dyDescent="0.3">
      <c r="B52" s="14"/>
      <c r="C52" s="12" t="s">
        <v>46</v>
      </c>
      <c r="D52" s="3">
        <v>60</v>
      </c>
      <c r="E52" s="1" t="s">
        <v>120</v>
      </c>
      <c r="M52" s="12" t="s">
        <v>57</v>
      </c>
      <c r="N52" s="12" t="s">
        <v>55</v>
      </c>
      <c r="O52" s="3">
        <f>O42*$D$47/3600/($D44/100*$D$42/100)*(1+$D$43/100)</f>
        <v>6.9589459956650597</v>
      </c>
    </row>
    <row r="53" spans="2:16" x14ac:dyDescent="0.3">
      <c r="C53" s="10"/>
      <c r="D53" s="7"/>
      <c r="M53" s="12" t="s">
        <v>56</v>
      </c>
      <c r="N53" s="12" t="s">
        <v>55</v>
      </c>
      <c r="O53" s="3">
        <f>O42*$D$47/3600/($D44/100*$D$42/100)*(1+$D$43/100)/$D$45</f>
        <v>0.47019905376115267</v>
      </c>
    </row>
    <row r="55" spans="2:16" x14ac:dyDescent="0.3">
      <c r="N55" s="33" t="s">
        <v>65</v>
      </c>
      <c r="O55" s="7">
        <f>(O49-O42)/O49*100</f>
        <v>64.189713467661463</v>
      </c>
      <c r="P55" s="1" t="s">
        <v>22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A98A-9DB1-4627-A1A2-81B8B9CFD21D}">
  <dimension ref="B2:Q55"/>
  <sheetViews>
    <sheetView tabSelected="1" zoomScale="70" zoomScaleNormal="70" workbookViewId="0">
      <selection activeCell="D45" sqref="D45"/>
    </sheetView>
  </sheetViews>
  <sheetFormatPr defaultRowHeight="12.75" x14ac:dyDescent="0.3"/>
  <cols>
    <col min="1" max="1" width="9" style="1"/>
    <col min="2" max="2" width="10.625" style="1" customWidth="1"/>
    <col min="3" max="6" width="20.625" style="1" customWidth="1"/>
    <col min="7" max="7" width="10.625" style="1" customWidth="1"/>
    <col min="8" max="15" width="20.625" style="1" customWidth="1"/>
    <col min="16" max="17" width="10.625" style="1" customWidth="1"/>
    <col min="18" max="16384" width="9" style="1"/>
  </cols>
  <sheetData>
    <row r="2" spans="2:15" x14ac:dyDescent="0.3">
      <c r="B2" s="12" t="s">
        <v>5</v>
      </c>
      <c r="C2" s="12" t="s">
        <v>1</v>
      </c>
      <c r="D2" s="12" t="s">
        <v>15</v>
      </c>
      <c r="E2" s="12" t="s">
        <v>0</v>
      </c>
      <c r="F2" s="12" t="s">
        <v>26</v>
      </c>
      <c r="G2" s="12" t="s">
        <v>19</v>
      </c>
      <c r="H2" s="12" t="s">
        <v>2</v>
      </c>
      <c r="I2" s="12" t="s">
        <v>3</v>
      </c>
      <c r="J2" s="12" t="s">
        <v>3</v>
      </c>
      <c r="K2" s="12" t="s">
        <v>4</v>
      </c>
      <c r="L2" s="12" t="s">
        <v>4</v>
      </c>
      <c r="M2" s="12" t="s">
        <v>21</v>
      </c>
      <c r="N2" s="12" t="s">
        <v>21</v>
      </c>
      <c r="O2" s="12" t="s">
        <v>4</v>
      </c>
    </row>
    <row r="3" spans="2:15" x14ac:dyDescent="0.3">
      <c r="B3" s="12" t="s">
        <v>26</v>
      </c>
      <c r="C3" s="12" t="s">
        <v>7</v>
      </c>
      <c r="D3" s="12" t="s">
        <v>7</v>
      </c>
      <c r="E3" s="12" t="s">
        <v>7</v>
      </c>
      <c r="F3" s="12" t="s">
        <v>11</v>
      </c>
      <c r="G3" s="12" t="s">
        <v>7</v>
      </c>
      <c r="H3" s="12" t="s">
        <v>7</v>
      </c>
      <c r="I3" s="12" t="s">
        <v>11</v>
      </c>
      <c r="J3" s="12" t="s">
        <v>12</v>
      </c>
      <c r="K3" s="12" t="s">
        <v>11</v>
      </c>
      <c r="L3" s="12" t="s">
        <v>12</v>
      </c>
      <c r="M3" s="12" t="s">
        <v>11</v>
      </c>
      <c r="N3" s="12" t="s">
        <v>12</v>
      </c>
      <c r="O3" s="12" t="s">
        <v>31</v>
      </c>
    </row>
    <row r="4" spans="2:15" x14ac:dyDescent="0.3">
      <c r="B4" s="12" t="s">
        <v>6</v>
      </c>
      <c r="C4" s="12" t="s">
        <v>7</v>
      </c>
      <c r="D4" s="12" t="s">
        <v>7</v>
      </c>
      <c r="E4" s="12" t="s">
        <v>7</v>
      </c>
      <c r="F4" s="12"/>
      <c r="G4" s="12" t="s">
        <v>20</v>
      </c>
      <c r="H4" s="12" t="s">
        <v>8</v>
      </c>
      <c r="I4" s="12" t="s">
        <v>9</v>
      </c>
      <c r="J4" s="12" t="s">
        <v>9</v>
      </c>
      <c r="K4" s="12" t="s">
        <v>10</v>
      </c>
      <c r="L4" s="12" t="s">
        <v>10</v>
      </c>
      <c r="M4" s="12" t="s">
        <v>22</v>
      </c>
      <c r="N4" s="12" t="s">
        <v>22</v>
      </c>
      <c r="O4" s="12" t="s">
        <v>10</v>
      </c>
    </row>
    <row r="5" spans="2:15" x14ac:dyDescent="0.3">
      <c r="B5" s="8" t="s">
        <v>7</v>
      </c>
      <c r="C5" s="2" t="s">
        <v>93</v>
      </c>
      <c r="D5" s="2" t="s">
        <v>117</v>
      </c>
      <c r="E5" s="2" t="s">
        <v>13</v>
      </c>
      <c r="F5" s="2" t="s">
        <v>29</v>
      </c>
      <c r="G5" s="2">
        <v>1</v>
      </c>
      <c r="H5" s="40">
        <v>12</v>
      </c>
      <c r="I5" s="5">
        <v>1</v>
      </c>
      <c r="J5" s="5">
        <v>1.5</v>
      </c>
      <c r="K5" s="3">
        <f>H5*I5*G5</f>
        <v>12</v>
      </c>
      <c r="L5" s="3">
        <f>H5*J5*G5</f>
        <v>18</v>
      </c>
      <c r="M5" s="4">
        <v>0.15</v>
      </c>
      <c r="N5" s="4">
        <v>0</v>
      </c>
      <c r="O5" s="15">
        <f>K5*M5+L5*N5</f>
        <v>1.7999999999999998</v>
      </c>
    </row>
    <row r="6" spans="2:15" x14ac:dyDescent="0.3">
      <c r="B6" s="8" t="s">
        <v>7</v>
      </c>
      <c r="C6" s="2" t="s">
        <v>97</v>
      </c>
      <c r="D6" s="2" t="s">
        <v>98</v>
      </c>
      <c r="E6" s="2" t="s">
        <v>13</v>
      </c>
      <c r="F6" s="2" t="s">
        <v>28</v>
      </c>
      <c r="G6" s="2">
        <v>1</v>
      </c>
      <c r="H6" s="36">
        <v>5</v>
      </c>
      <c r="I6" s="5">
        <v>0.26</v>
      </c>
      <c r="J6" s="5">
        <v>0.3</v>
      </c>
      <c r="K6" s="3">
        <f t="shared" ref="K6:K41" si="0">H6*I6*G6</f>
        <v>1.3</v>
      </c>
      <c r="L6" s="3">
        <f t="shared" ref="L6:L41" si="1">H6*J6*G6</f>
        <v>1.5</v>
      </c>
      <c r="M6" s="4">
        <v>1</v>
      </c>
      <c r="N6" s="4">
        <v>0</v>
      </c>
      <c r="O6" s="15">
        <f t="shared" ref="O6:O41" si="2">K6*M6+L6*N6</f>
        <v>1.3</v>
      </c>
    </row>
    <row r="7" spans="2:15" x14ac:dyDescent="0.3">
      <c r="B7" s="8" t="s">
        <v>7</v>
      </c>
      <c r="C7" s="2" t="s">
        <v>79</v>
      </c>
      <c r="D7" s="2" t="s">
        <v>77</v>
      </c>
      <c r="E7" s="2" t="s">
        <v>14</v>
      </c>
      <c r="F7" s="2" t="s">
        <v>28</v>
      </c>
      <c r="G7" s="2">
        <v>1</v>
      </c>
      <c r="H7" s="9">
        <v>3.3</v>
      </c>
      <c r="I7" s="5">
        <v>0.15</v>
      </c>
      <c r="J7" s="5">
        <v>0.45</v>
      </c>
      <c r="K7" s="3">
        <f t="shared" si="0"/>
        <v>0.49499999999999994</v>
      </c>
      <c r="L7" s="3">
        <f t="shared" si="1"/>
        <v>1.4849999999999999</v>
      </c>
      <c r="M7" s="4">
        <v>1</v>
      </c>
      <c r="N7" s="4">
        <v>0</v>
      </c>
      <c r="O7" s="15">
        <f t="shared" si="2"/>
        <v>0.49499999999999994</v>
      </c>
    </row>
    <row r="8" spans="2:15" ht="25.5" x14ac:dyDescent="0.3">
      <c r="B8" s="8" t="s">
        <v>7</v>
      </c>
      <c r="C8" s="2" t="s">
        <v>78</v>
      </c>
      <c r="D8" s="35" t="s">
        <v>99</v>
      </c>
      <c r="E8" s="2" t="s">
        <v>14</v>
      </c>
      <c r="F8" s="2" t="s">
        <v>28</v>
      </c>
      <c r="G8" s="2">
        <v>1</v>
      </c>
      <c r="H8" s="36">
        <v>5</v>
      </c>
      <c r="I8" s="5">
        <v>3.4000000000000002E-2</v>
      </c>
      <c r="J8" s="5">
        <v>0.18</v>
      </c>
      <c r="K8" s="3">
        <f t="shared" si="0"/>
        <v>0.17</v>
      </c>
      <c r="L8" s="3">
        <f t="shared" si="1"/>
        <v>0.89999999999999991</v>
      </c>
      <c r="M8" s="4">
        <v>1</v>
      </c>
      <c r="N8" s="4">
        <v>0</v>
      </c>
      <c r="O8" s="15">
        <f t="shared" si="2"/>
        <v>0.17</v>
      </c>
    </row>
    <row r="9" spans="2:15" x14ac:dyDescent="0.3">
      <c r="B9" s="8" t="s">
        <v>7</v>
      </c>
      <c r="C9" s="2" t="s">
        <v>91</v>
      </c>
      <c r="D9" s="2" t="s">
        <v>92</v>
      </c>
      <c r="E9" s="2" t="s">
        <v>66</v>
      </c>
      <c r="F9" s="2" t="s">
        <v>28</v>
      </c>
      <c r="G9" s="2">
        <v>1</v>
      </c>
      <c r="H9" s="9">
        <v>3.3</v>
      </c>
      <c r="I9" s="5">
        <v>0.28000000000000003</v>
      </c>
      <c r="J9" s="5">
        <v>0.28000000000000003</v>
      </c>
      <c r="K9" s="3">
        <f t="shared" si="0"/>
        <v>0.92400000000000004</v>
      </c>
      <c r="L9" s="3">
        <f t="shared" si="1"/>
        <v>0.92400000000000004</v>
      </c>
      <c r="M9" s="4">
        <v>1</v>
      </c>
      <c r="N9" s="4">
        <v>0</v>
      </c>
      <c r="O9" s="15">
        <f t="shared" si="2"/>
        <v>0.92400000000000004</v>
      </c>
    </row>
    <row r="10" spans="2:15" x14ac:dyDescent="0.3">
      <c r="B10" s="8" t="s">
        <v>7</v>
      </c>
      <c r="C10" s="2" t="s">
        <v>68</v>
      </c>
      <c r="D10" s="2" t="s">
        <v>88</v>
      </c>
      <c r="E10" s="2" t="s">
        <v>66</v>
      </c>
      <c r="F10" s="2" t="s">
        <v>80</v>
      </c>
      <c r="G10" s="2">
        <v>1</v>
      </c>
      <c r="H10" s="40">
        <v>12</v>
      </c>
      <c r="I10" s="5">
        <f>0.03/12</f>
        <v>2.5000000000000001E-3</v>
      </c>
      <c r="J10" s="5">
        <f>0.03/12</f>
        <v>2.5000000000000001E-3</v>
      </c>
      <c r="K10" s="3">
        <f t="shared" si="0"/>
        <v>0.03</v>
      </c>
      <c r="L10" s="3">
        <f t="shared" si="1"/>
        <v>0.03</v>
      </c>
      <c r="M10" s="4">
        <v>0.75</v>
      </c>
      <c r="N10" s="4">
        <v>0</v>
      </c>
      <c r="O10" s="15">
        <f t="shared" si="2"/>
        <v>2.2499999999999999E-2</v>
      </c>
    </row>
    <row r="11" spans="2:15" x14ac:dyDescent="0.3">
      <c r="B11" s="8" t="s">
        <v>7</v>
      </c>
      <c r="C11" s="2" t="s">
        <v>89</v>
      </c>
      <c r="D11" s="2"/>
      <c r="E11" s="2"/>
      <c r="F11" s="2" t="s">
        <v>81</v>
      </c>
      <c r="G11" s="2">
        <v>1</v>
      </c>
      <c r="H11" s="40">
        <v>12</v>
      </c>
      <c r="I11" s="5">
        <f>1.35/12</f>
        <v>0.1125</v>
      </c>
      <c r="J11" s="5">
        <f>1.35/12</f>
        <v>0.1125</v>
      </c>
      <c r="K11" s="3">
        <f t="shared" si="0"/>
        <v>1.35</v>
      </c>
      <c r="L11" s="3">
        <f t="shared" si="1"/>
        <v>1.35</v>
      </c>
      <c r="M11" s="4">
        <v>0.05</v>
      </c>
      <c r="N11" s="4">
        <v>0</v>
      </c>
      <c r="O11" s="15">
        <f t="shared" si="2"/>
        <v>6.7500000000000004E-2</v>
      </c>
    </row>
    <row r="12" spans="2:15" x14ac:dyDescent="0.3">
      <c r="B12" s="8" t="s">
        <v>7</v>
      </c>
      <c r="C12" s="2" t="s">
        <v>90</v>
      </c>
      <c r="D12" s="2"/>
      <c r="E12" s="2"/>
      <c r="F12" s="2" t="s">
        <v>82</v>
      </c>
      <c r="G12" s="2">
        <v>1</v>
      </c>
      <c r="H12" s="40">
        <v>12</v>
      </c>
      <c r="I12" s="5">
        <f>1.92/12</f>
        <v>0.16</v>
      </c>
      <c r="J12" s="5">
        <f>1.92/12</f>
        <v>0.16</v>
      </c>
      <c r="K12" s="3">
        <f t="shared" si="0"/>
        <v>1.92</v>
      </c>
      <c r="L12" s="3">
        <f t="shared" si="1"/>
        <v>1.92</v>
      </c>
      <c r="M12" s="4">
        <v>0.05</v>
      </c>
      <c r="N12" s="4">
        <v>0</v>
      </c>
      <c r="O12" s="15">
        <f t="shared" si="2"/>
        <v>9.6000000000000002E-2</v>
      </c>
    </row>
    <row r="13" spans="2:15" ht="25.5" x14ac:dyDescent="0.3">
      <c r="B13" s="8" t="s">
        <v>7</v>
      </c>
      <c r="C13" s="2"/>
      <c r="D13" s="2"/>
      <c r="E13" s="2"/>
      <c r="F13" s="35" t="s">
        <v>83</v>
      </c>
      <c r="G13" s="2">
        <v>1</v>
      </c>
      <c r="H13" s="40">
        <v>12</v>
      </c>
      <c r="I13" s="5">
        <f>2.82/12</f>
        <v>0.23499999999999999</v>
      </c>
      <c r="J13" s="5">
        <v>0.08</v>
      </c>
      <c r="K13" s="3">
        <f t="shared" si="0"/>
        <v>2.82</v>
      </c>
      <c r="L13" s="3">
        <f t="shared" si="1"/>
        <v>0.96</v>
      </c>
      <c r="M13" s="4">
        <v>0.1</v>
      </c>
      <c r="N13" s="4">
        <v>0</v>
      </c>
      <c r="O13" s="15">
        <f t="shared" si="2"/>
        <v>0.28199999999999997</v>
      </c>
    </row>
    <row r="14" spans="2:15" x14ac:dyDescent="0.3">
      <c r="B14" s="8" t="s">
        <v>7</v>
      </c>
      <c r="C14" s="2"/>
      <c r="D14" s="2"/>
      <c r="E14" s="2"/>
      <c r="F14" s="2" t="s">
        <v>84</v>
      </c>
      <c r="G14" s="2">
        <v>1</v>
      </c>
      <c r="H14" s="40">
        <v>12</v>
      </c>
      <c r="I14" s="5">
        <f>2.47/12</f>
        <v>0.20583333333333334</v>
      </c>
      <c r="J14" s="5">
        <f>2.47/12</f>
        <v>0.20583333333333334</v>
      </c>
      <c r="K14" s="3">
        <f t="shared" si="0"/>
        <v>2.4700000000000002</v>
      </c>
      <c r="L14" s="3">
        <f t="shared" si="1"/>
        <v>2.4700000000000002</v>
      </c>
      <c r="M14" s="4">
        <v>0.05</v>
      </c>
      <c r="N14" s="4">
        <v>0</v>
      </c>
      <c r="O14" s="15">
        <f t="shared" si="2"/>
        <v>0.12350000000000001</v>
      </c>
    </row>
    <row r="15" spans="2:15" ht="25.5" x14ac:dyDescent="0.3">
      <c r="B15" s="8" t="s">
        <v>7</v>
      </c>
      <c r="C15" s="2"/>
      <c r="D15" s="2"/>
      <c r="E15" s="2"/>
      <c r="F15" s="35" t="s">
        <v>85</v>
      </c>
      <c r="G15" s="2">
        <v>1</v>
      </c>
      <c r="H15" s="40">
        <v>12</v>
      </c>
      <c r="I15" s="5">
        <f>6.74/12</f>
        <v>0.56166666666666665</v>
      </c>
      <c r="J15" s="5">
        <f>4.35</f>
        <v>4.3499999999999996</v>
      </c>
      <c r="K15" s="3">
        <f t="shared" si="0"/>
        <v>6.74</v>
      </c>
      <c r="L15" s="3">
        <f t="shared" si="1"/>
        <v>52.199999999999996</v>
      </c>
      <c r="M15" s="4">
        <v>0</v>
      </c>
      <c r="N15" s="4">
        <v>0</v>
      </c>
      <c r="O15" s="15">
        <f t="shared" si="2"/>
        <v>0</v>
      </c>
    </row>
    <row r="16" spans="2:15" x14ac:dyDescent="0.3">
      <c r="B16" s="8" t="s">
        <v>7</v>
      </c>
      <c r="C16" s="2" t="s">
        <v>86</v>
      </c>
      <c r="D16" s="2" t="s">
        <v>87</v>
      </c>
      <c r="E16" s="2" t="s">
        <v>66</v>
      </c>
      <c r="F16" s="35" t="s">
        <v>107</v>
      </c>
      <c r="G16" s="2">
        <v>1</v>
      </c>
      <c r="H16" s="36">
        <v>5</v>
      </c>
      <c r="I16" s="5">
        <v>0.4</v>
      </c>
      <c r="J16" s="5">
        <v>0.4</v>
      </c>
      <c r="K16" s="3">
        <f t="shared" si="0"/>
        <v>2</v>
      </c>
      <c r="L16" s="3">
        <f t="shared" si="1"/>
        <v>2</v>
      </c>
      <c r="M16" s="4">
        <v>0</v>
      </c>
      <c r="N16" s="4">
        <v>0</v>
      </c>
      <c r="O16" s="15">
        <f t="shared" si="2"/>
        <v>0</v>
      </c>
    </row>
    <row r="17" spans="2:15" x14ac:dyDescent="0.3">
      <c r="B17" s="8"/>
      <c r="C17" s="2"/>
      <c r="D17" s="2"/>
      <c r="E17" s="2"/>
      <c r="F17" s="35" t="s">
        <v>108</v>
      </c>
      <c r="G17" s="2">
        <v>1</v>
      </c>
      <c r="H17" s="40">
        <v>12</v>
      </c>
      <c r="I17" s="5">
        <v>0.1208</v>
      </c>
      <c r="J17" s="5">
        <v>0.1208</v>
      </c>
      <c r="K17" s="3">
        <f t="shared" si="0"/>
        <v>1.4496</v>
      </c>
      <c r="L17" s="3">
        <f t="shared" si="1"/>
        <v>1.4496</v>
      </c>
      <c r="M17" s="4">
        <v>0</v>
      </c>
      <c r="N17" s="4">
        <v>0</v>
      </c>
      <c r="O17" s="15">
        <f t="shared" si="2"/>
        <v>0</v>
      </c>
    </row>
    <row r="18" spans="2:15" x14ac:dyDescent="0.3">
      <c r="B18" s="8"/>
      <c r="C18" s="2"/>
      <c r="D18" s="2"/>
      <c r="E18" s="2"/>
      <c r="F18" s="35" t="s">
        <v>109</v>
      </c>
      <c r="G18" s="2">
        <v>1</v>
      </c>
      <c r="H18" s="40">
        <v>12</v>
      </c>
      <c r="I18" s="5">
        <v>0.58330000000000004</v>
      </c>
      <c r="J18" s="5">
        <v>0.70420000000000005</v>
      </c>
      <c r="K18" s="3">
        <f t="shared" si="0"/>
        <v>6.9996000000000009</v>
      </c>
      <c r="L18" s="3">
        <f t="shared" si="1"/>
        <v>8.4504000000000001</v>
      </c>
      <c r="M18" s="4">
        <v>0</v>
      </c>
      <c r="N18" s="4">
        <v>0</v>
      </c>
      <c r="O18" s="15">
        <f t="shared" si="2"/>
        <v>0</v>
      </c>
    </row>
    <row r="19" spans="2:15" x14ac:dyDescent="0.3">
      <c r="B19" s="8" t="s">
        <v>7</v>
      </c>
      <c r="C19" s="2"/>
      <c r="D19" s="2"/>
      <c r="E19" s="2"/>
      <c r="F19" s="35" t="s">
        <v>110</v>
      </c>
      <c r="G19" s="2">
        <v>1</v>
      </c>
      <c r="H19" s="40">
        <v>12</v>
      </c>
      <c r="I19" s="5">
        <v>2.75E-2</v>
      </c>
      <c r="J19" s="5">
        <v>0.71330000000000005</v>
      </c>
      <c r="K19" s="3">
        <f t="shared" si="0"/>
        <v>0.33</v>
      </c>
      <c r="L19" s="3">
        <f t="shared" si="1"/>
        <v>8.5595999999999997</v>
      </c>
      <c r="M19" s="4">
        <v>0</v>
      </c>
      <c r="N19" s="4">
        <v>0</v>
      </c>
      <c r="O19" s="15">
        <f t="shared" si="2"/>
        <v>0</v>
      </c>
    </row>
    <row r="20" spans="2:15" x14ac:dyDescent="0.3">
      <c r="B20" s="8" t="s">
        <v>7</v>
      </c>
      <c r="C20" s="2" t="s">
        <v>16</v>
      </c>
      <c r="D20" s="2" t="s">
        <v>74</v>
      </c>
      <c r="E20" s="2" t="s">
        <v>67</v>
      </c>
      <c r="F20" s="2" t="s">
        <v>75</v>
      </c>
      <c r="G20" s="2">
        <v>1</v>
      </c>
      <c r="H20" s="9">
        <v>3.3</v>
      </c>
      <c r="I20" s="5">
        <v>0.8</v>
      </c>
      <c r="J20" s="5">
        <v>0.85</v>
      </c>
      <c r="K20" s="3">
        <f t="shared" si="0"/>
        <v>2.64</v>
      </c>
      <c r="L20" s="3">
        <f t="shared" si="1"/>
        <v>2.8049999999999997</v>
      </c>
      <c r="M20" s="4">
        <v>0.05</v>
      </c>
      <c r="N20" s="4">
        <v>0</v>
      </c>
      <c r="O20" s="15">
        <f t="shared" si="2"/>
        <v>0.13200000000000001</v>
      </c>
    </row>
    <row r="21" spans="2:15" x14ac:dyDescent="0.3">
      <c r="B21" s="8" t="s">
        <v>7</v>
      </c>
      <c r="C21" s="2"/>
      <c r="D21" s="2"/>
      <c r="E21" s="2"/>
      <c r="F21" s="2" t="s">
        <v>76</v>
      </c>
      <c r="G21" s="2">
        <v>1</v>
      </c>
      <c r="H21" s="9">
        <v>3.3</v>
      </c>
      <c r="I21" s="5">
        <v>5.5E-2</v>
      </c>
      <c r="J21" s="5">
        <v>0.12</v>
      </c>
      <c r="K21" s="3">
        <f t="shared" si="0"/>
        <v>0.18149999999999999</v>
      </c>
      <c r="L21" s="3">
        <f t="shared" si="1"/>
        <v>0.39599999999999996</v>
      </c>
      <c r="M21" s="4">
        <v>0.95</v>
      </c>
      <c r="N21" s="4">
        <v>0</v>
      </c>
      <c r="O21" s="15">
        <f t="shared" si="2"/>
        <v>0.17242499999999999</v>
      </c>
    </row>
    <row r="22" spans="2:15" x14ac:dyDescent="0.3">
      <c r="B22" s="8" t="s">
        <v>7</v>
      </c>
      <c r="C22" s="2" t="s">
        <v>17</v>
      </c>
      <c r="D22" s="2" t="s">
        <v>73</v>
      </c>
      <c r="E22" s="2" t="s">
        <v>67</v>
      </c>
      <c r="F22" s="2" t="s">
        <v>28</v>
      </c>
      <c r="G22" s="2">
        <v>1</v>
      </c>
      <c r="H22" s="36">
        <v>5</v>
      </c>
      <c r="I22" s="5">
        <v>5.0000000000000001E-4</v>
      </c>
      <c r="J22" s="5">
        <v>2E-3</v>
      </c>
      <c r="K22" s="3">
        <f t="shared" si="0"/>
        <v>2.5000000000000001E-3</v>
      </c>
      <c r="L22" s="3">
        <f t="shared" si="1"/>
        <v>0.01</v>
      </c>
      <c r="M22" s="4">
        <v>1</v>
      </c>
      <c r="N22" s="4">
        <v>0</v>
      </c>
      <c r="O22" s="15">
        <f t="shared" si="2"/>
        <v>2.5000000000000001E-3</v>
      </c>
    </row>
    <row r="23" spans="2:15" x14ac:dyDescent="0.3">
      <c r="B23" s="8" t="s">
        <v>7</v>
      </c>
      <c r="C23" s="2" t="s">
        <v>69</v>
      </c>
      <c r="D23" s="2" t="s">
        <v>72</v>
      </c>
      <c r="E23" s="2" t="s">
        <v>67</v>
      </c>
      <c r="F23" s="2" t="s">
        <v>95</v>
      </c>
      <c r="G23" s="2">
        <v>1</v>
      </c>
      <c r="H23" s="36">
        <v>5</v>
      </c>
      <c r="I23" s="5">
        <v>1.0880000000000001</v>
      </c>
      <c r="J23" s="5">
        <v>1.5</v>
      </c>
      <c r="K23" s="3">
        <f t="shared" si="0"/>
        <v>5.44</v>
      </c>
      <c r="L23" s="3">
        <f t="shared" si="1"/>
        <v>7.5</v>
      </c>
      <c r="M23" s="4">
        <v>0.8</v>
      </c>
      <c r="N23" s="4">
        <v>0</v>
      </c>
      <c r="O23" s="15">
        <f t="shared" si="2"/>
        <v>4.3520000000000003</v>
      </c>
    </row>
    <row r="24" spans="2:15" x14ac:dyDescent="0.3">
      <c r="B24" s="8" t="s">
        <v>7</v>
      </c>
      <c r="C24" s="2"/>
      <c r="D24" s="2"/>
      <c r="E24" s="2"/>
      <c r="F24" s="2" t="s">
        <v>94</v>
      </c>
      <c r="G24" s="2">
        <v>1</v>
      </c>
      <c r="H24" s="36">
        <v>5</v>
      </c>
      <c r="I24" s="5">
        <v>1.1719999999999999</v>
      </c>
      <c r="J24" s="5">
        <v>1.5</v>
      </c>
      <c r="K24" s="3">
        <f t="shared" si="0"/>
        <v>5.8599999999999994</v>
      </c>
      <c r="L24" s="3">
        <f t="shared" si="1"/>
        <v>7.5</v>
      </c>
      <c r="M24" s="4">
        <v>0.1</v>
      </c>
      <c r="N24" s="4">
        <v>0</v>
      </c>
      <c r="O24" s="15">
        <f t="shared" si="2"/>
        <v>0.58599999999999997</v>
      </c>
    </row>
    <row r="25" spans="2:15" x14ac:dyDescent="0.3">
      <c r="B25" s="8" t="s">
        <v>7</v>
      </c>
      <c r="C25" s="2"/>
      <c r="D25" s="2"/>
      <c r="E25" s="2"/>
      <c r="F25" s="2" t="s">
        <v>96</v>
      </c>
      <c r="G25" s="2">
        <v>1</v>
      </c>
      <c r="H25" s="36">
        <v>5</v>
      </c>
      <c r="I25" s="5">
        <v>1.1879999999999999</v>
      </c>
      <c r="J25" s="5">
        <v>1.5</v>
      </c>
      <c r="K25" s="3">
        <f t="shared" si="0"/>
        <v>5.9399999999999995</v>
      </c>
      <c r="L25" s="3">
        <f t="shared" si="1"/>
        <v>7.5</v>
      </c>
      <c r="M25" s="4">
        <v>0.1</v>
      </c>
      <c r="N25" s="4">
        <v>0</v>
      </c>
      <c r="O25" s="15">
        <f t="shared" si="2"/>
        <v>0.59399999999999997</v>
      </c>
    </row>
    <row r="26" spans="2:15" x14ac:dyDescent="0.3">
      <c r="B26" s="8" t="s">
        <v>7</v>
      </c>
      <c r="C26" s="2" t="s">
        <v>18</v>
      </c>
      <c r="D26" s="2" t="s">
        <v>71</v>
      </c>
      <c r="E26" s="2" t="s">
        <v>67</v>
      </c>
      <c r="F26" s="1" t="s">
        <v>101</v>
      </c>
      <c r="G26" s="2">
        <v>1</v>
      </c>
      <c r="H26" s="6">
        <v>12</v>
      </c>
      <c r="I26" s="5">
        <v>1.4999999999999999E-4</v>
      </c>
      <c r="J26" s="5">
        <v>1.4999999999999999E-4</v>
      </c>
      <c r="K26" s="3">
        <f t="shared" si="0"/>
        <v>1.8E-3</v>
      </c>
      <c r="L26" s="3">
        <f t="shared" si="1"/>
        <v>1.8E-3</v>
      </c>
      <c r="M26" s="4">
        <v>0.7</v>
      </c>
      <c r="N26" s="4">
        <v>0</v>
      </c>
      <c r="O26" s="15">
        <f t="shared" si="2"/>
        <v>1.2599999999999998E-3</v>
      </c>
    </row>
    <row r="27" spans="2:15" x14ac:dyDescent="0.3">
      <c r="B27" s="8" t="s">
        <v>7</v>
      </c>
      <c r="C27" s="2"/>
      <c r="D27" s="2"/>
      <c r="E27" s="2"/>
      <c r="F27" s="2" t="s">
        <v>27</v>
      </c>
      <c r="G27" s="2">
        <v>1</v>
      </c>
      <c r="H27" s="6">
        <v>12</v>
      </c>
      <c r="I27" s="5">
        <v>1.7000000000000001E-2</v>
      </c>
      <c r="J27" s="5">
        <v>1.7000000000000001E-2</v>
      </c>
      <c r="K27" s="3">
        <f t="shared" si="0"/>
        <v>0.20400000000000001</v>
      </c>
      <c r="L27" s="3">
        <f t="shared" si="1"/>
        <v>0.20400000000000001</v>
      </c>
      <c r="M27" s="4">
        <v>0.05</v>
      </c>
      <c r="N27" s="4">
        <v>0</v>
      </c>
      <c r="O27" s="15">
        <f t="shared" si="2"/>
        <v>1.0200000000000001E-2</v>
      </c>
    </row>
    <row r="28" spans="2:15" x14ac:dyDescent="0.3">
      <c r="B28" s="8" t="s">
        <v>7</v>
      </c>
      <c r="C28" s="2"/>
      <c r="D28" s="2"/>
      <c r="E28" s="2"/>
      <c r="F28" s="2" t="s">
        <v>76</v>
      </c>
      <c r="G28" s="2">
        <v>1</v>
      </c>
      <c r="H28" s="6">
        <v>12</v>
      </c>
      <c r="I28" s="5">
        <v>6.7000000000000004E-2</v>
      </c>
      <c r="J28" s="5">
        <v>6.7000000000000004E-2</v>
      </c>
      <c r="K28" s="3">
        <f t="shared" si="0"/>
        <v>0.80400000000000005</v>
      </c>
      <c r="L28" s="3">
        <f t="shared" si="1"/>
        <v>0.80400000000000005</v>
      </c>
      <c r="M28" s="4">
        <v>0.1</v>
      </c>
      <c r="N28" s="4">
        <v>0</v>
      </c>
      <c r="O28" s="15">
        <f t="shared" si="2"/>
        <v>8.0400000000000013E-2</v>
      </c>
    </row>
    <row r="29" spans="2:15" x14ac:dyDescent="0.3">
      <c r="B29" s="8" t="s">
        <v>7</v>
      </c>
      <c r="C29" s="2"/>
      <c r="D29" s="2"/>
      <c r="E29" s="2"/>
      <c r="F29" s="2" t="s">
        <v>100</v>
      </c>
      <c r="G29" s="2">
        <v>1</v>
      </c>
      <c r="H29" s="6">
        <v>12</v>
      </c>
      <c r="I29" s="5">
        <v>0.05</v>
      </c>
      <c r="J29" s="5">
        <v>0.05</v>
      </c>
      <c r="K29" s="3">
        <f t="shared" si="0"/>
        <v>0.60000000000000009</v>
      </c>
      <c r="L29" s="3">
        <f t="shared" si="1"/>
        <v>0.60000000000000009</v>
      </c>
      <c r="M29" s="4">
        <v>0.05</v>
      </c>
      <c r="N29" s="4">
        <v>0</v>
      </c>
      <c r="O29" s="15">
        <f t="shared" si="2"/>
        <v>3.0000000000000006E-2</v>
      </c>
    </row>
    <row r="30" spans="2:15" x14ac:dyDescent="0.3">
      <c r="B30" s="8" t="s">
        <v>7</v>
      </c>
      <c r="C30" s="2"/>
      <c r="D30" s="2"/>
      <c r="E30" s="2"/>
      <c r="F30" s="2" t="s">
        <v>75</v>
      </c>
      <c r="G30" s="2">
        <v>1</v>
      </c>
      <c r="H30" s="6">
        <v>12</v>
      </c>
      <c r="I30" s="5">
        <v>0.89170000000000005</v>
      </c>
      <c r="J30" s="5">
        <v>0.91669999999999996</v>
      </c>
      <c r="K30" s="3">
        <f t="shared" si="0"/>
        <v>10.7004</v>
      </c>
      <c r="L30" s="3">
        <f t="shared" si="1"/>
        <v>11.000399999999999</v>
      </c>
      <c r="M30" s="4">
        <v>0.1</v>
      </c>
      <c r="N30" s="4">
        <v>0</v>
      </c>
      <c r="O30" s="15">
        <f t="shared" si="2"/>
        <v>1.0700400000000001</v>
      </c>
    </row>
    <row r="31" spans="2:15" x14ac:dyDescent="0.3">
      <c r="B31" s="8" t="s">
        <v>7</v>
      </c>
      <c r="C31" s="2" t="s">
        <v>18</v>
      </c>
      <c r="D31" s="2" t="s">
        <v>70</v>
      </c>
      <c r="E31" s="2" t="s">
        <v>67</v>
      </c>
      <c r="F31" s="1" t="s">
        <v>101</v>
      </c>
      <c r="G31" s="2">
        <v>1</v>
      </c>
      <c r="H31" s="6">
        <v>12</v>
      </c>
      <c r="I31" s="5">
        <v>1.4999999999999999E-4</v>
      </c>
      <c r="J31" s="5">
        <v>1.4999999999999999E-4</v>
      </c>
      <c r="K31" s="3">
        <f t="shared" si="0"/>
        <v>1.8E-3</v>
      </c>
      <c r="L31" s="3">
        <f t="shared" si="1"/>
        <v>1.8E-3</v>
      </c>
      <c r="M31" s="4">
        <v>0.7</v>
      </c>
      <c r="N31" s="4">
        <v>0</v>
      </c>
      <c r="O31" s="15">
        <f t="shared" si="2"/>
        <v>1.2599999999999998E-3</v>
      </c>
    </row>
    <row r="32" spans="2:15" x14ac:dyDescent="0.3">
      <c r="B32" s="8" t="s">
        <v>7</v>
      </c>
      <c r="C32" s="2"/>
      <c r="D32" s="2"/>
      <c r="E32" s="2"/>
      <c r="F32" s="2" t="s">
        <v>27</v>
      </c>
      <c r="G32" s="2">
        <v>1</v>
      </c>
      <c r="H32" s="6">
        <v>12</v>
      </c>
      <c r="I32" s="5">
        <v>1.7000000000000001E-2</v>
      </c>
      <c r="J32" s="5">
        <v>1.7000000000000001E-2</v>
      </c>
      <c r="K32" s="3">
        <f t="shared" si="0"/>
        <v>0.20400000000000001</v>
      </c>
      <c r="L32" s="3">
        <f t="shared" si="1"/>
        <v>0.20400000000000001</v>
      </c>
      <c r="M32" s="4">
        <v>0.05</v>
      </c>
      <c r="N32" s="4">
        <v>0</v>
      </c>
      <c r="O32" s="15">
        <f t="shared" si="2"/>
        <v>1.0200000000000001E-2</v>
      </c>
    </row>
    <row r="33" spans="2:17" x14ac:dyDescent="0.3">
      <c r="B33" s="8" t="s">
        <v>7</v>
      </c>
      <c r="C33" s="2"/>
      <c r="D33" s="2"/>
      <c r="E33" s="2"/>
      <c r="F33" s="2" t="s">
        <v>76</v>
      </c>
      <c r="G33" s="2">
        <v>1</v>
      </c>
      <c r="H33" s="6">
        <v>12</v>
      </c>
      <c r="I33" s="5">
        <v>6.7000000000000004E-2</v>
      </c>
      <c r="J33" s="5">
        <v>6.7000000000000004E-2</v>
      </c>
      <c r="K33" s="3">
        <f t="shared" si="0"/>
        <v>0.80400000000000005</v>
      </c>
      <c r="L33" s="3">
        <f t="shared" si="1"/>
        <v>0.80400000000000005</v>
      </c>
      <c r="M33" s="4">
        <v>0.1</v>
      </c>
      <c r="N33" s="4">
        <v>0</v>
      </c>
      <c r="O33" s="15">
        <f t="shared" si="2"/>
        <v>8.0400000000000013E-2</v>
      </c>
    </row>
    <row r="34" spans="2:17" x14ac:dyDescent="0.3">
      <c r="B34" s="8" t="s">
        <v>7</v>
      </c>
      <c r="C34" s="2"/>
      <c r="D34" s="2"/>
      <c r="E34" s="2"/>
      <c r="F34" s="2" t="s">
        <v>100</v>
      </c>
      <c r="G34" s="2">
        <v>1</v>
      </c>
      <c r="H34" s="6">
        <v>12</v>
      </c>
      <c r="I34" s="5">
        <v>0.05</v>
      </c>
      <c r="J34" s="5">
        <v>0.05</v>
      </c>
      <c r="K34" s="3">
        <f t="shared" si="0"/>
        <v>0.60000000000000009</v>
      </c>
      <c r="L34" s="3">
        <f t="shared" si="1"/>
        <v>0.60000000000000009</v>
      </c>
      <c r="M34" s="4">
        <v>0.05</v>
      </c>
      <c r="N34" s="4">
        <v>0</v>
      </c>
      <c r="O34" s="15">
        <f t="shared" si="2"/>
        <v>3.0000000000000006E-2</v>
      </c>
    </row>
    <row r="35" spans="2:17" x14ac:dyDescent="0.3">
      <c r="B35" s="8" t="s">
        <v>7</v>
      </c>
      <c r="C35" s="2"/>
      <c r="D35" s="2"/>
      <c r="E35" s="2"/>
      <c r="F35" s="2" t="s">
        <v>75</v>
      </c>
      <c r="G35" s="2">
        <v>1</v>
      </c>
      <c r="H35" s="6">
        <v>12</v>
      </c>
      <c r="I35" s="5">
        <v>0.89170000000000005</v>
      </c>
      <c r="J35" s="5">
        <v>0.91669999999999996</v>
      </c>
      <c r="K35" s="3">
        <f t="shared" si="0"/>
        <v>10.7004</v>
      </c>
      <c r="L35" s="3">
        <f t="shared" si="1"/>
        <v>11.000399999999999</v>
      </c>
      <c r="M35" s="4">
        <v>0.1</v>
      </c>
      <c r="N35" s="4">
        <v>0</v>
      </c>
      <c r="O35" s="15">
        <f t="shared" si="2"/>
        <v>1.0700400000000001</v>
      </c>
    </row>
    <row r="36" spans="2:17" x14ac:dyDescent="0.3">
      <c r="B36" s="8" t="s">
        <v>7</v>
      </c>
      <c r="C36" s="2" t="s">
        <v>102</v>
      </c>
      <c r="D36" s="2" t="s">
        <v>103</v>
      </c>
      <c r="E36" s="2" t="s">
        <v>67</v>
      </c>
      <c r="F36" s="2" t="s">
        <v>127</v>
      </c>
      <c r="G36" s="2">
        <v>1</v>
      </c>
      <c r="H36" s="36">
        <v>5</v>
      </c>
      <c r="I36" s="5">
        <f>(0.7+3.4)/5</f>
        <v>0.82</v>
      </c>
      <c r="J36" s="5">
        <f>(0.8+4.3)/5</f>
        <v>1.02</v>
      </c>
      <c r="K36" s="3">
        <f t="shared" si="0"/>
        <v>4.0999999999999996</v>
      </c>
      <c r="L36" s="3">
        <f t="shared" si="1"/>
        <v>5.0999999999999996</v>
      </c>
      <c r="M36" s="4">
        <v>0</v>
      </c>
      <c r="N36" s="4">
        <v>0</v>
      </c>
      <c r="O36" s="15">
        <f t="shared" si="2"/>
        <v>0</v>
      </c>
    </row>
    <row r="37" spans="2:17" x14ac:dyDescent="0.3">
      <c r="B37" s="8" t="s">
        <v>7</v>
      </c>
      <c r="C37" s="2"/>
      <c r="D37" s="2"/>
      <c r="E37" s="2"/>
      <c r="F37" s="1" t="s">
        <v>129</v>
      </c>
      <c r="G37" s="2">
        <v>1</v>
      </c>
      <c r="H37" s="36">
        <v>5</v>
      </c>
      <c r="I37" s="5">
        <f>(2.4+4)/5</f>
        <v>1.28</v>
      </c>
      <c r="J37" s="5">
        <f>(3+5.1)/5</f>
        <v>1.6199999999999999</v>
      </c>
      <c r="K37" s="3">
        <f t="shared" si="0"/>
        <v>6.4</v>
      </c>
      <c r="L37" s="3">
        <f t="shared" si="1"/>
        <v>8.1</v>
      </c>
      <c r="M37" s="4">
        <v>0</v>
      </c>
      <c r="N37" s="4">
        <v>0</v>
      </c>
      <c r="O37" s="15">
        <f t="shared" si="2"/>
        <v>0</v>
      </c>
    </row>
    <row r="38" spans="2:17" x14ac:dyDescent="0.3">
      <c r="B38" s="8" t="s">
        <v>7</v>
      </c>
      <c r="C38" s="2"/>
      <c r="D38" s="2"/>
      <c r="E38" s="2"/>
      <c r="F38" s="2" t="s">
        <v>128</v>
      </c>
      <c r="G38" s="2">
        <v>1</v>
      </c>
      <c r="H38" s="40">
        <v>12</v>
      </c>
      <c r="I38" s="5">
        <f>0/28</f>
        <v>0</v>
      </c>
      <c r="J38" s="5">
        <f>0.1/28</f>
        <v>3.5714285714285718E-3</v>
      </c>
      <c r="K38" s="3">
        <f t="shared" si="0"/>
        <v>0</v>
      </c>
      <c r="L38" s="3">
        <f t="shared" si="1"/>
        <v>4.2857142857142858E-2</v>
      </c>
      <c r="M38" s="4">
        <v>0</v>
      </c>
      <c r="N38" s="4">
        <v>0</v>
      </c>
      <c r="O38" s="15">
        <f t="shared" si="2"/>
        <v>0</v>
      </c>
    </row>
    <row r="39" spans="2:17" x14ac:dyDescent="0.3">
      <c r="B39" s="8" t="s">
        <v>7</v>
      </c>
      <c r="C39" s="2"/>
      <c r="D39" s="2"/>
      <c r="E39" s="2"/>
      <c r="F39" s="2" t="s">
        <v>130</v>
      </c>
      <c r="G39" s="2">
        <v>1</v>
      </c>
      <c r="H39" s="40">
        <v>12</v>
      </c>
      <c r="I39" s="5">
        <f>18.1/28</f>
        <v>0.64642857142857146</v>
      </c>
      <c r="J39" s="5">
        <f>25/28</f>
        <v>0.8928571428571429</v>
      </c>
      <c r="K39" s="3">
        <f t="shared" si="0"/>
        <v>7.757142857142858</v>
      </c>
      <c r="L39" s="3">
        <f t="shared" si="1"/>
        <v>10.714285714285715</v>
      </c>
      <c r="M39" s="4">
        <v>0</v>
      </c>
      <c r="N39" s="4">
        <v>0</v>
      </c>
      <c r="O39" s="15">
        <f t="shared" si="2"/>
        <v>0</v>
      </c>
    </row>
    <row r="40" spans="2:17" x14ac:dyDescent="0.3">
      <c r="B40" s="8" t="s">
        <v>7</v>
      </c>
      <c r="C40" s="2" t="s">
        <v>24</v>
      </c>
      <c r="D40" s="2" t="s">
        <v>104</v>
      </c>
      <c r="E40" s="2" t="s">
        <v>23</v>
      </c>
      <c r="F40" s="2" t="s">
        <v>105</v>
      </c>
      <c r="G40" s="2">
        <v>1</v>
      </c>
      <c r="H40" s="34">
        <v>14.8</v>
      </c>
      <c r="I40" s="5">
        <f>(0.165+0.08*3*2+0.1*3.3)/14.8</f>
        <v>6.5878378378378386E-2</v>
      </c>
      <c r="J40" s="5">
        <f>(0.165+0.08*3*2+0.5*3.3)/14.8</f>
        <v>0.15506756756756757</v>
      </c>
      <c r="K40" s="3">
        <f t="shared" si="0"/>
        <v>0.9750000000000002</v>
      </c>
      <c r="L40" s="3">
        <f t="shared" si="1"/>
        <v>2.2949999999999999</v>
      </c>
      <c r="M40" s="4">
        <f t="shared" ref="M40" si="3">1-N40</f>
        <v>1</v>
      </c>
      <c r="N40" s="4">
        <v>0</v>
      </c>
      <c r="O40" s="15">
        <f t="shared" si="2"/>
        <v>0.9750000000000002</v>
      </c>
    </row>
    <row r="41" spans="2:17" x14ac:dyDescent="0.3">
      <c r="B41" s="8" t="s">
        <v>7</v>
      </c>
      <c r="C41" s="2" t="s">
        <v>25</v>
      </c>
      <c r="D41" s="2" t="s">
        <v>106</v>
      </c>
      <c r="E41" s="2" t="s">
        <v>23</v>
      </c>
      <c r="F41" s="2" t="s">
        <v>30</v>
      </c>
      <c r="G41" s="2">
        <v>1</v>
      </c>
      <c r="H41" s="34">
        <v>14.8</v>
      </c>
      <c r="I41" s="5">
        <v>4.0000000000000001E-3</v>
      </c>
      <c r="J41" s="5">
        <v>0.40539999999999998</v>
      </c>
      <c r="K41" s="3">
        <f t="shared" si="0"/>
        <v>5.9200000000000003E-2</v>
      </c>
      <c r="L41" s="3">
        <f t="shared" si="1"/>
        <v>5.9999200000000004</v>
      </c>
      <c r="M41" s="4">
        <v>0</v>
      </c>
      <c r="N41" s="4">
        <v>0.05</v>
      </c>
      <c r="O41" s="15">
        <f t="shared" si="2"/>
        <v>0.29999600000000004</v>
      </c>
    </row>
    <row r="42" spans="2:17" x14ac:dyDescent="0.3">
      <c r="B42" s="12" t="s">
        <v>37</v>
      </c>
      <c r="C42" s="12" t="s">
        <v>41</v>
      </c>
      <c r="D42" s="11">
        <v>20</v>
      </c>
      <c r="J42" s="29"/>
      <c r="M42" s="12" t="s">
        <v>32</v>
      </c>
      <c r="N42" s="12" t="s">
        <v>33</v>
      </c>
      <c r="O42" s="3">
        <f>SUM(O5:O41)/($D$44/100)</f>
        <v>16.420245555555553</v>
      </c>
    </row>
    <row r="43" spans="2:17" x14ac:dyDescent="0.3">
      <c r="B43" s="13"/>
      <c r="C43" s="12" t="s">
        <v>38</v>
      </c>
      <c r="D43" s="39">
        <v>20</v>
      </c>
      <c r="M43" s="12" t="s">
        <v>34</v>
      </c>
      <c r="N43" s="12" t="s">
        <v>112</v>
      </c>
      <c r="O43" s="3">
        <f>(L7*IF(OR(M7&gt;0, N7&gt;0), 1, 0)+L9*IF(OR(M9&gt;0, N9&gt;0), 1, 0)+MAX(L20*IF(OR(M20&gt;0, N20&gt;0), 1, 0), L21*IF(OR(M21&gt;0, N21&gt;0), 1, 0)))/3.3/($D$44/100)</f>
        <v>1.7555555555555553</v>
      </c>
      <c r="P43" s="1" t="s">
        <v>35</v>
      </c>
      <c r="Q43" s="1" t="s">
        <v>36</v>
      </c>
    </row>
    <row r="44" spans="2:17" x14ac:dyDescent="0.3">
      <c r="B44" s="13"/>
      <c r="C44" s="12" t="s">
        <v>39</v>
      </c>
      <c r="D44" s="11">
        <v>90</v>
      </c>
      <c r="M44" s="12"/>
      <c r="N44" s="12" t="s">
        <v>113</v>
      </c>
      <c r="O44" s="3">
        <f>(L6*IF(OR(M6&gt;0, N6&gt;0), 1, 0)+L8*IF(OR(M8&gt;0, N8&gt;0), 1, 0)+L16*IF(OR(M16&gt;0, N16&gt;0), 1, 0)+L22*IF(OR(M22&gt;0, N22&gt;0), 1, 0)+MAX(L23*IF(OR(M23&gt;0, N23&gt;0), 1, 0), L24*IF(OR(M24&gt;0, N24&gt;0), 1, 0), L25*IF(OR(M25&gt;0, N25&gt;0), 1, 0))+MAX(L36*IF(OR(M36&gt;0, N36&gt;0), 1, 0),L37*IF(OR(M37&gt;0, N37&gt;0), 1, 0)))/5/($D$44/100)</f>
        <v>2.2022222222222223</v>
      </c>
      <c r="P44" s="37" t="s">
        <v>35</v>
      </c>
      <c r="Q44" s="1" t="s">
        <v>36</v>
      </c>
    </row>
    <row r="45" spans="2:17" x14ac:dyDescent="0.3">
      <c r="B45" s="13"/>
      <c r="C45" s="12" t="s">
        <v>40</v>
      </c>
      <c r="D45" s="11">
        <v>14.8</v>
      </c>
      <c r="M45" s="12"/>
      <c r="N45" s="12" t="s">
        <v>114</v>
      </c>
      <c r="O45" s="41">
        <f>(MAX(L26*IF(OR(M26&gt;0, N26&gt;0), 1, 0), L27*IF(OR(M27&gt;0, N27&gt;0), 1, 0), L28*IF(OR(M28&gt;0, N28&gt;0), 1, 0), L29*IF(OR(M29&gt;0, N29&gt;0), 1, 0), L30*IF(OR(M30&gt;0, N30&gt;0), 1, 0))+MAX(L31*IF(OR(M31&gt;0, N31&gt;0), 1, 0), L32*IF(OR(M32&gt;0, N32&gt;0), 1, 0), L33*IF(OR(M33&gt;0, N33&gt;0), 1, 0), L34*IF(OR(M34&gt;0, N34&gt;0), 1, 0), L35*IF(OR(M35&gt;0, N35&gt;0), 1, 0)))/12/($D$44/100)</f>
        <v>2.0371111111111109</v>
      </c>
      <c r="P45" s="38" t="s">
        <v>35</v>
      </c>
      <c r="Q45" s="1" t="s">
        <v>36</v>
      </c>
    </row>
    <row r="46" spans="2:17" x14ac:dyDescent="0.3">
      <c r="B46" s="13"/>
      <c r="C46" s="12" t="s">
        <v>47</v>
      </c>
      <c r="D46" s="11">
        <f>IF($D52 &lt; ASIN($D49/($D49+$D50))*180/PI(), (360-2*ASIN((((1/COS($D$52*PI()/180))^2)*((($D$49/($D$49+$D$50))^2-(SIN($D$52*PI()/180))^2)))^0.5)*180/PI())/360*$D$51, $D51)</f>
        <v>4648.3432480072397</v>
      </c>
      <c r="M46" s="12"/>
      <c r="N46" s="12" t="s">
        <v>135</v>
      </c>
      <c r="O46" s="3">
        <f>(L5*IF(OR(M5&gt;0, N5&gt;0), 1, 0)+MAX(L10*IF(OR(M10&gt;0, N10&gt;0), 1, 0), L11*IF(OR(M11&gt;0, N11&gt;0), 1, 0), L12*IF(OR(M12&gt;0, N12&gt;0), 1, 0), L13*IF(OR(M13&gt;0, N13&gt;0), 1, 0), L14*IF(OR(M14&gt;0, N14&gt;0), 1, 0), L15*IF(OR(M15&gt;0, N15&gt;0), 1, 0))+MAX(L17*IF(OR(M17&gt;0, N17&gt;0), 1, 0), L18*IF(OR(M18&gt;0, N18&gt;0), 1, 0), L19*IF(OR(M19&gt;0, N19&gt;0), 1, 0))+MAX(L38*IF(OR(M38&gt;0, N38&gt;0), 1, 0), L39*IF(OR(M39&gt;0, N39&gt;0), 1, 0)))/12/($D$44/100)</f>
        <v>1.8953703703703704</v>
      </c>
      <c r="P46" s="1" t="s">
        <v>62</v>
      </c>
      <c r="Q46" s="1" t="s">
        <v>61</v>
      </c>
    </row>
    <row r="47" spans="2:17" x14ac:dyDescent="0.3">
      <c r="B47" s="13"/>
      <c r="C47" s="12" t="s">
        <v>42</v>
      </c>
      <c r="D47" s="11">
        <f>D51-D46</f>
        <v>1152.8954939512087</v>
      </c>
      <c r="M47" s="12"/>
      <c r="N47" s="12" t="s">
        <v>115</v>
      </c>
      <c r="O47" s="3">
        <f>(L40*IF(OR(M40&gt;0, N40&gt;0), 1, 0)+L41*IF(OR(M41&gt;0, N41&gt;0), 1, 0))/14.8/($D$44/100)</f>
        <v>0.62274174174174179</v>
      </c>
      <c r="P47" s="1" t="s">
        <v>62</v>
      </c>
      <c r="Q47" s="1" t="s">
        <v>61</v>
      </c>
    </row>
    <row r="48" spans="2:17" x14ac:dyDescent="0.3">
      <c r="B48" s="14"/>
      <c r="C48" s="12" t="s">
        <v>48</v>
      </c>
      <c r="D48" s="3">
        <v>398600</v>
      </c>
      <c r="M48" s="12"/>
      <c r="N48" s="12" t="s">
        <v>63</v>
      </c>
      <c r="O48" s="3">
        <f>SUM(O43:O47)</f>
        <v>8.5130010010010011</v>
      </c>
      <c r="P48" s="1" t="s">
        <v>119</v>
      </c>
      <c r="Q48" s="1" t="s">
        <v>118</v>
      </c>
    </row>
    <row r="49" spans="2:16" x14ac:dyDescent="0.3">
      <c r="B49" s="14"/>
      <c r="C49" s="12" t="s">
        <v>43</v>
      </c>
      <c r="D49" s="3">
        <v>6378.14</v>
      </c>
      <c r="M49" s="12" t="s">
        <v>60</v>
      </c>
      <c r="N49" s="12" t="s">
        <v>64</v>
      </c>
      <c r="O49" s="3">
        <f>(2.246*0.4866)*(4*1*4*2)*(D46/D51)</f>
        <v>28.022655412759107</v>
      </c>
      <c r="P49" s="1" t="s">
        <v>111</v>
      </c>
    </row>
    <row r="50" spans="2:16" x14ac:dyDescent="0.3">
      <c r="B50" s="14"/>
      <c r="C50" s="12" t="s">
        <v>44</v>
      </c>
      <c r="D50" s="3">
        <v>600</v>
      </c>
      <c r="M50" s="12" t="s">
        <v>59</v>
      </c>
      <c r="N50" s="12" t="s">
        <v>55</v>
      </c>
      <c r="O50" s="3">
        <f>O49-O42</f>
        <v>11.602409857203554</v>
      </c>
    </row>
    <row r="51" spans="2:16" x14ac:dyDescent="0.3">
      <c r="B51" s="14"/>
      <c r="C51" s="12" t="s">
        <v>45</v>
      </c>
      <c r="D51" s="3">
        <f>2*PI()*SQRT(($D$49+$D$50)^3/$D$48)</f>
        <v>5801.2387419584484</v>
      </c>
      <c r="M51" s="12" t="s">
        <v>58</v>
      </c>
      <c r="N51" s="12" t="s">
        <v>55</v>
      </c>
      <c r="O51" s="3">
        <f>O50/(O49-O50)*100</f>
        <v>70.659173871355691</v>
      </c>
      <c r="P51" s="1" t="s">
        <v>121</v>
      </c>
    </row>
    <row r="52" spans="2:16" x14ac:dyDescent="0.3">
      <c r="B52" s="14"/>
      <c r="C52" s="12" t="s">
        <v>46</v>
      </c>
      <c r="D52" s="3">
        <v>60</v>
      </c>
      <c r="E52" s="1" t="s">
        <v>120</v>
      </c>
      <c r="M52" s="12" t="s">
        <v>57</v>
      </c>
      <c r="N52" s="12" t="s">
        <v>55</v>
      </c>
      <c r="O52" s="3">
        <f>O42*$D$47/3600/($D44/100*$D$42/100)*(1+$D$43/100)</f>
        <v>35.057087241800666</v>
      </c>
    </row>
    <row r="53" spans="2:16" x14ac:dyDescent="0.3">
      <c r="C53" s="10"/>
      <c r="D53" s="7"/>
      <c r="M53" s="12" t="s">
        <v>56</v>
      </c>
      <c r="N53" s="12" t="s">
        <v>55</v>
      </c>
      <c r="O53" s="3">
        <f>O42*$D$47/3600/($D44/100*$D$42/100)*(1+$D$43/100)/$D$45</f>
        <v>2.3687221109324774</v>
      </c>
    </row>
    <row r="55" spans="2:16" x14ac:dyDescent="0.3">
      <c r="N55" s="33" t="s">
        <v>65</v>
      </c>
      <c r="O55" s="7">
        <f>(O49-O42)/O49*100</f>
        <v>41.403677439936025</v>
      </c>
      <c r="P55" s="1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2D34F-0CFE-4260-9FF6-12482346C9A8}">
  <dimension ref="B2:Q55"/>
  <sheetViews>
    <sheetView topLeftCell="D1" zoomScale="85" zoomScaleNormal="85" workbookViewId="0">
      <selection activeCell="N46" sqref="N46:O46"/>
    </sheetView>
  </sheetViews>
  <sheetFormatPr defaultRowHeight="12.75" x14ac:dyDescent="0.3"/>
  <cols>
    <col min="1" max="1" width="9" style="1"/>
    <col min="2" max="2" width="10.625" style="1" customWidth="1"/>
    <col min="3" max="6" width="20.625" style="1" customWidth="1"/>
    <col min="7" max="7" width="10.625" style="1" customWidth="1"/>
    <col min="8" max="15" width="20.625" style="1" customWidth="1"/>
    <col min="16" max="17" width="10.625" style="1" customWidth="1"/>
    <col min="18" max="16384" width="9" style="1"/>
  </cols>
  <sheetData>
    <row r="2" spans="2:15" x14ac:dyDescent="0.3">
      <c r="B2" s="12" t="s">
        <v>5</v>
      </c>
      <c r="C2" s="12" t="s">
        <v>1</v>
      </c>
      <c r="D2" s="12" t="s">
        <v>15</v>
      </c>
      <c r="E2" s="12" t="s">
        <v>0</v>
      </c>
      <c r="F2" s="12" t="s">
        <v>26</v>
      </c>
      <c r="G2" s="12" t="s">
        <v>19</v>
      </c>
      <c r="H2" s="12" t="s">
        <v>2</v>
      </c>
      <c r="I2" s="12" t="s">
        <v>3</v>
      </c>
      <c r="J2" s="12" t="s">
        <v>3</v>
      </c>
      <c r="K2" s="12" t="s">
        <v>4</v>
      </c>
      <c r="L2" s="12" t="s">
        <v>4</v>
      </c>
      <c r="M2" s="12" t="s">
        <v>21</v>
      </c>
      <c r="N2" s="12" t="s">
        <v>21</v>
      </c>
      <c r="O2" s="12" t="s">
        <v>4</v>
      </c>
    </row>
    <row r="3" spans="2:15" x14ac:dyDescent="0.3">
      <c r="B3" s="12" t="s">
        <v>26</v>
      </c>
      <c r="C3" s="12" t="s">
        <v>7</v>
      </c>
      <c r="D3" s="12" t="s">
        <v>7</v>
      </c>
      <c r="E3" s="12" t="s">
        <v>7</v>
      </c>
      <c r="F3" s="12" t="s">
        <v>11</v>
      </c>
      <c r="G3" s="12" t="s">
        <v>7</v>
      </c>
      <c r="H3" s="12" t="s">
        <v>7</v>
      </c>
      <c r="I3" s="12" t="s">
        <v>11</v>
      </c>
      <c r="J3" s="12" t="s">
        <v>12</v>
      </c>
      <c r="K3" s="12" t="s">
        <v>11</v>
      </c>
      <c r="L3" s="12" t="s">
        <v>12</v>
      </c>
      <c r="M3" s="12" t="s">
        <v>11</v>
      </c>
      <c r="N3" s="12" t="s">
        <v>12</v>
      </c>
      <c r="O3" s="12" t="s">
        <v>31</v>
      </c>
    </row>
    <row r="4" spans="2:15" x14ac:dyDescent="0.3">
      <c r="B4" s="12" t="s">
        <v>6</v>
      </c>
      <c r="C4" s="12" t="s">
        <v>7</v>
      </c>
      <c r="D4" s="12" t="s">
        <v>7</v>
      </c>
      <c r="E4" s="12" t="s">
        <v>7</v>
      </c>
      <c r="F4" s="12"/>
      <c r="G4" s="12" t="s">
        <v>20</v>
      </c>
      <c r="H4" s="12" t="s">
        <v>8</v>
      </c>
      <c r="I4" s="12" t="s">
        <v>9</v>
      </c>
      <c r="J4" s="12" t="s">
        <v>9</v>
      </c>
      <c r="K4" s="12" t="s">
        <v>10</v>
      </c>
      <c r="L4" s="12" t="s">
        <v>10</v>
      </c>
      <c r="M4" s="12" t="s">
        <v>22</v>
      </c>
      <c r="N4" s="12" t="s">
        <v>22</v>
      </c>
      <c r="O4" s="12" t="s">
        <v>10</v>
      </c>
    </row>
    <row r="5" spans="2:15" x14ac:dyDescent="0.3">
      <c r="B5" s="8" t="s">
        <v>7</v>
      </c>
      <c r="C5" s="2" t="s">
        <v>93</v>
      </c>
      <c r="D5" s="2" t="s">
        <v>117</v>
      </c>
      <c r="E5" s="2" t="s">
        <v>13</v>
      </c>
      <c r="F5" s="2" t="s">
        <v>29</v>
      </c>
      <c r="G5" s="2">
        <v>1</v>
      </c>
      <c r="H5" s="40">
        <v>12</v>
      </c>
      <c r="I5" s="5">
        <v>1</v>
      </c>
      <c r="J5" s="5">
        <v>1.5</v>
      </c>
      <c r="K5" s="3">
        <f>H5*I5*G5</f>
        <v>12</v>
      </c>
      <c r="L5" s="3">
        <f>H5*J5*G5</f>
        <v>18</v>
      </c>
      <c r="M5" s="4">
        <v>0.15</v>
      </c>
      <c r="N5" s="4">
        <v>0</v>
      </c>
      <c r="O5" s="15">
        <f>K5*M5+L5*N5</f>
        <v>1.7999999999999998</v>
      </c>
    </row>
    <row r="6" spans="2:15" x14ac:dyDescent="0.3">
      <c r="B6" s="8" t="s">
        <v>7</v>
      </c>
      <c r="C6" s="2" t="s">
        <v>97</v>
      </c>
      <c r="D6" s="2" t="s">
        <v>98</v>
      </c>
      <c r="E6" s="2" t="s">
        <v>13</v>
      </c>
      <c r="F6" s="2" t="s">
        <v>28</v>
      </c>
      <c r="G6" s="2">
        <v>1</v>
      </c>
      <c r="H6" s="36">
        <v>5</v>
      </c>
      <c r="I6" s="5">
        <v>0.26</v>
      </c>
      <c r="J6" s="5">
        <v>0.3</v>
      </c>
      <c r="K6" s="3">
        <f t="shared" ref="K6:K40" si="0">H6*I6*G6</f>
        <v>1.3</v>
      </c>
      <c r="L6" s="3">
        <f t="shared" ref="L6:L39" si="1">H6*J6*G6</f>
        <v>1.5</v>
      </c>
      <c r="M6" s="4">
        <v>1</v>
      </c>
      <c r="N6" s="4">
        <v>0</v>
      </c>
      <c r="O6" s="15">
        <f t="shared" ref="O6:O39" si="2">K6*M6+L6*N6</f>
        <v>1.3</v>
      </c>
    </row>
    <row r="7" spans="2:15" x14ac:dyDescent="0.3">
      <c r="B7" s="8" t="s">
        <v>7</v>
      </c>
      <c r="C7" s="2" t="s">
        <v>79</v>
      </c>
      <c r="D7" s="2" t="s">
        <v>77</v>
      </c>
      <c r="E7" s="2" t="s">
        <v>14</v>
      </c>
      <c r="F7" s="2" t="s">
        <v>28</v>
      </c>
      <c r="G7" s="2">
        <v>1</v>
      </c>
      <c r="H7" s="9">
        <v>3.3</v>
      </c>
      <c r="I7" s="5">
        <v>0.15</v>
      </c>
      <c r="J7" s="5">
        <v>0.45</v>
      </c>
      <c r="K7" s="3">
        <f t="shared" si="0"/>
        <v>0.49499999999999994</v>
      </c>
      <c r="L7" s="3">
        <f t="shared" si="1"/>
        <v>1.4849999999999999</v>
      </c>
      <c r="M7" s="4">
        <v>1</v>
      </c>
      <c r="N7" s="4">
        <v>0</v>
      </c>
      <c r="O7" s="15">
        <f t="shared" si="2"/>
        <v>0.49499999999999994</v>
      </c>
    </row>
    <row r="8" spans="2:15" ht="25.5" x14ac:dyDescent="0.3">
      <c r="B8" s="8" t="s">
        <v>7</v>
      </c>
      <c r="C8" s="2" t="s">
        <v>78</v>
      </c>
      <c r="D8" s="35" t="s">
        <v>99</v>
      </c>
      <c r="E8" s="2" t="s">
        <v>14</v>
      </c>
      <c r="F8" s="2" t="s">
        <v>28</v>
      </c>
      <c r="G8" s="2">
        <v>1</v>
      </c>
      <c r="H8" s="36">
        <v>5</v>
      </c>
      <c r="I8" s="5">
        <v>3.4000000000000002E-2</v>
      </c>
      <c r="J8" s="5">
        <v>0.18</v>
      </c>
      <c r="K8" s="3">
        <f t="shared" si="0"/>
        <v>0.17</v>
      </c>
      <c r="L8" s="3">
        <f t="shared" si="1"/>
        <v>0.89999999999999991</v>
      </c>
      <c r="M8" s="4">
        <v>1</v>
      </c>
      <c r="N8" s="4">
        <v>0</v>
      </c>
      <c r="O8" s="15">
        <f t="shared" si="2"/>
        <v>0.17</v>
      </c>
    </row>
    <row r="9" spans="2:15" x14ac:dyDescent="0.3">
      <c r="B9" s="8" t="s">
        <v>7</v>
      </c>
      <c r="C9" s="2" t="s">
        <v>91</v>
      </c>
      <c r="D9" s="2" t="s">
        <v>92</v>
      </c>
      <c r="E9" s="2" t="s">
        <v>66</v>
      </c>
      <c r="F9" s="2" t="s">
        <v>28</v>
      </c>
      <c r="G9" s="2">
        <v>1</v>
      </c>
      <c r="H9" s="9">
        <v>3.3</v>
      </c>
      <c r="I9" s="5">
        <v>0.28000000000000003</v>
      </c>
      <c r="J9" s="5">
        <v>0.28000000000000003</v>
      </c>
      <c r="K9" s="3">
        <f t="shared" si="0"/>
        <v>0.92400000000000004</v>
      </c>
      <c r="L9" s="3">
        <f t="shared" si="1"/>
        <v>0.92400000000000004</v>
      </c>
      <c r="M9" s="4">
        <v>1</v>
      </c>
      <c r="N9" s="4">
        <v>0</v>
      </c>
      <c r="O9" s="15">
        <f t="shared" si="2"/>
        <v>0.92400000000000004</v>
      </c>
    </row>
    <row r="10" spans="2:15" x14ac:dyDescent="0.3">
      <c r="B10" s="8" t="s">
        <v>7</v>
      </c>
      <c r="C10" s="2" t="s">
        <v>68</v>
      </c>
      <c r="D10" s="2" t="s">
        <v>88</v>
      </c>
      <c r="E10" s="2" t="s">
        <v>66</v>
      </c>
      <c r="F10" s="2" t="s">
        <v>80</v>
      </c>
      <c r="G10" s="2">
        <v>1</v>
      </c>
      <c r="H10" s="40">
        <v>12</v>
      </c>
      <c r="I10" s="5">
        <f>0.03/12</f>
        <v>2.5000000000000001E-3</v>
      </c>
      <c r="J10" s="5">
        <f>0.03/12</f>
        <v>2.5000000000000001E-3</v>
      </c>
      <c r="K10" s="3">
        <f t="shared" si="0"/>
        <v>0.03</v>
      </c>
      <c r="L10" s="3">
        <f t="shared" si="1"/>
        <v>0.03</v>
      </c>
      <c r="M10" s="4">
        <v>0.75</v>
      </c>
      <c r="N10" s="4">
        <v>0</v>
      </c>
      <c r="O10" s="15">
        <f t="shared" si="2"/>
        <v>2.2499999999999999E-2</v>
      </c>
    </row>
    <row r="11" spans="2:15" x14ac:dyDescent="0.3">
      <c r="B11" s="8" t="s">
        <v>7</v>
      </c>
      <c r="C11" s="2" t="s">
        <v>89</v>
      </c>
      <c r="D11" s="2"/>
      <c r="E11" s="2"/>
      <c r="F11" s="2" t="s">
        <v>81</v>
      </c>
      <c r="G11" s="2">
        <v>1</v>
      </c>
      <c r="H11" s="40">
        <v>12</v>
      </c>
      <c r="I11" s="5">
        <f>1.35/12</f>
        <v>0.1125</v>
      </c>
      <c r="J11" s="5">
        <f>1.35/12</f>
        <v>0.1125</v>
      </c>
      <c r="K11" s="3">
        <f t="shared" si="0"/>
        <v>1.35</v>
      </c>
      <c r="L11" s="3">
        <f t="shared" si="1"/>
        <v>1.35</v>
      </c>
      <c r="M11" s="4">
        <v>0.05</v>
      </c>
      <c r="N11" s="4">
        <v>0</v>
      </c>
      <c r="O11" s="15">
        <f t="shared" si="2"/>
        <v>6.7500000000000004E-2</v>
      </c>
    </row>
    <row r="12" spans="2:15" x14ac:dyDescent="0.3">
      <c r="B12" s="8" t="s">
        <v>7</v>
      </c>
      <c r="C12" s="2" t="s">
        <v>90</v>
      </c>
      <c r="D12" s="2"/>
      <c r="E12" s="2"/>
      <c r="F12" s="2" t="s">
        <v>82</v>
      </c>
      <c r="G12" s="2">
        <v>1</v>
      </c>
      <c r="H12" s="40">
        <v>12</v>
      </c>
      <c r="I12" s="5">
        <f>1.92/12</f>
        <v>0.16</v>
      </c>
      <c r="J12" s="5">
        <f>1.92/12</f>
        <v>0.16</v>
      </c>
      <c r="K12" s="3">
        <f t="shared" si="0"/>
        <v>1.92</v>
      </c>
      <c r="L12" s="3">
        <f t="shared" si="1"/>
        <v>1.92</v>
      </c>
      <c r="M12" s="4">
        <v>0.05</v>
      </c>
      <c r="N12" s="4">
        <v>0</v>
      </c>
      <c r="O12" s="15">
        <f t="shared" si="2"/>
        <v>9.6000000000000002E-2</v>
      </c>
    </row>
    <row r="13" spans="2:15" ht="25.5" x14ac:dyDescent="0.3">
      <c r="B13" s="8" t="s">
        <v>7</v>
      </c>
      <c r="C13" s="2"/>
      <c r="D13" s="2"/>
      <c r="E13" s="2"/>
      <c r="F13" s="35" t="s">
        <v>83</v>
      </c>
      <c r="G13" s="2">
        <v>1</v>
      </c>
      <c r="H13" s="40">
        <v>12</v>
      </c>
      <c r="I13" s="5">
        <f>2.82/12</f>
        <v>0.23499999999999999</v>
      </c>
      <c r="J13" s="5">
        <v>0.08</v>
      </c>
      <c r="K13" s="3">
        <f t="shared" si="0"/>
        <v>2.82</v>
      </c>
      <c r="L13" s="3">
        <f t="shared" si="1"/>
        <v>0.96</v>
      </c>
      <c r="M13" s="4">
        <v>0.1</v>
      </c>
      <c r="N13" s="4">
        <v>0</v>
      </c>
      <c r="O13" s="15">
        <f t="shared" si="2"/>
        <v>0.28199999999999997</v>
      </c>
    </row>
    <row r="14" spans="2:15" x14ac:dyDescent="0.3">
      <c r="B14" s="8" t="s">
        <v>7</v>
      </c>
      <c r="C14" s="2"/>
      <c r="D14" s="2"/>
      <c r="E14" s="2"/>
      <c r="F14" s="2" t="s">
        <v>84</v>
      </c>
      <c r="G14" s="2">
        <v>1</v>
      </c>
      <c r="H14" s="40">
        <v>12</v>
      </c>
      <c r="I14" s="5">
        <f>2.47/12</f>
        <v>0.20583333333333334</v>
      </c>
      <c r="J14" s="5">
        <f>2.47/12</f>
        <v>0.20583333333333334</v>
      </c>
      <c r="K14" s="3">
        <f t="shared" si="0"/>
        <v>2.4700000000000002</v>
      </c>
      <c r="L14" s="3">
        <f t="shared" si="1"/>
        <v>2.4700000000000002</v>
      </c>
      <c r="M14" s="4">
        <v>0.05</v>
      </c>
      <c r="N14" s="4">
        <v>0</v>
      </c>
      <c r="O14" s="15">
        <f t="shared" si="2"/>
        <v>0.12350000000000001</v>
      </c>
    </row>
    <row r="15" spans="2:15" ht="25.5" x14ac:dyDescent="0.3">
      <c r="B15" s="8" t="s">
        <v>7</v>
      </c>
      <c r="C15" s="2"/>
      <c r="D15" s="2"/>
      <c r="E15" s="2"/>
      <c r="F15" s="35" t="s">
        <v>85</v>
      </c>
      <c r="G15" s="2">
        <v>1</v>
      </c>
      <c r="H15" s="40">
        <v>12</v>
      </c>
      <c r="I15" s="5">
        <f>6.74/12</f>
        <v>0.56166666666666665</v>
      </c>
      <c r="J15" s="5">
        <f>4.35</f>
        <v>4.3499999999999996</v>
      </c>
      <c r="K15" s="3">
        <f t="shared" si="0"/>
        <v>6.74</v>
      </c>
      <c r="L15" s="3">
        <f t="shared" si="1"/>
        <v>52.199999999999996</v>
      </c>
      <c r="M15" s="4">
        <v>0</v>
      </c>
      <c r="N15" s="4">
        <v>0</v>
      </c>
      <c r="O15" s="15">
        <f t="shared" si="2"/>
        <v>0</v>
      </c>
    </row>
    <row r="16" spans="2:15" x14ac:dyDescent="0.3">
      <c r="B16" s="8" t="s">
        <v>7</v>
      </c>
      <c r="C16" s="2" t="s">
        <v>86</v>
      </c>
      <c r="D16" s="2" t="s">
        <v>87</v>
      </c>
      <c r="E16" s="2" t="s">
        <v>66</v>
      </c>
      <c r="F16" s="35" t="s">
        <v>107</v>
      </c>
      <c r="G16" s="2">
        <v>1</v>
      </c>
      <c r="H16" s="36">
        <v>5</v>
      </c>
      <c r="I16" s="5">
        <v>0.4</v>
      </c>
      <c r="J16" s="5">
        <v>0.4</v>
      </c>
      <c r="K16" s="3">
        <f t="shared" si="0"/>
        <v>2</v>
      </c>
      <c r="L16" s="3">
        <f t="shared" si="1"/>
        <v>2</v>
      </c>
      <c r="M16" s="4">
        <v>0</v>
      </c>
      <c r="N16" s="4">
        <v>0</v>
      </c>
      <c r="O16" s="15">
        <f t="shared" si="2"/>
        <v>0</v>
      </c>
    </row>
    <row r="17" spans="2:15" x14ac:dyDescent="0.3">
      <c r="B17" s="8"/>
      <c r="C17" s="2"/>
      <c r="D17" s="2"/>
      <c r="E17" s="2"/>
      <c r="F17" s="35" t="s">
        <v>108</v>
      </c>
      <c r="G17" s="2">
        <v>1</v>
      </c>
      <c r="H17" s="40">
        <v>12</v>
      </c>
      <c r="I17" s="5">
        <v>0.1208</v>
      </c>
      <c r="J17" s="5">
        <v>0.1208</v>
      </c>
      <c r="K17" s="3">
        <f t="shared" si="0"/>
        <v>1.4496</v>
      </c>
      <c r="L17" s="3">
        <f t="shared" si="1"/>
        <v>1.4496</v>
      </c>
      <c r="M17" s="4">
        <v>0</v>
      </c>
      <c r="N17" s="4">
        <v>0</v>
      </c>
      <c r="O17" s="15">
        <f t="shared" si="2"/>
        <v>0</v>
      </c>
    </row>
    <row r="18" spans="2:15" x14ac:dyDescent="0.3">
      <c r="B18" s="8"/>
      <c r="C18" s="2"/>
      <c r="D18" s="2"/>
      <c r="E18" s="2"/>
      <c r="F18" s="35" t="s">
        <v>109</v>
      </c>
      <c r="G18" s="2">
        <v>1</v>
      </c>
      <c r="H18" s="40">
        <v>12</v>
      </c>
      <c r="I18" s="5">
        <v>0.58330000000000004</v>
      </c>
      <c r="J18" s="5">
        <v>0.70420000000000005</v>
      </c>
      <c r="K18" s="3">
        <f t="shared" si="0"/>
        <v>6.9996000000000009</v>
      </c>
      <c r="L18" s="3">
        <f t="shared" si="1"/>
        <v>8.4504000000000001</v>
      </c>
      <c r="M18" s="4">
        <v>0</v>
      </c>
      <c r="N18" s="4">
        <v>0</v>
      </c>
      <c r="O18" s="15">
        <f t="shared" si="2"/>
        <v>0</v>
      </c>
    </row>
    <row r="19" spans="2:15" x14ac:dyDescent="0.3">
      <c r="B19" s="8" t="s">
        <v>7</v>
      </c>
      <c r="C19" s="2"/>
      <c r="D19" s="2"/>
      <c r="E19" s="2"/>
      <c r="F19" s="35" t="s">
        <v>110</v>
      </c>
      <c r="G19" s="2">
        <v>1</v>
      </c>
      <c r="H19" s="40">
        <v>12</v>
      </c>
      <c r="I19" s="5">
        <v>2.75E-2</v>
      </c>
      <c r="J19" s="5">
        <v>0.71330000000000005</v>
      </c>
      <c r="K19" s="3">
        <f t="shared" si="0"/>
        <v>0.33</v>
      </c>
      <c r="L19" s="3">
        <f t="shared" si="1"/>
        <v>8.5595999999999997</v>
      </c>
      <c r="M19" s="4">
        <v>0</v>
      </c>
      <c r="N19" s="4">
        <v>0</v>
      </c>
      <c r="O19" s="15">
        <f t="shared" si="2"/>
        <v>0</v>
      </c>
    </row>
    <row r="20" spans="2:15" x14ac:dyDescent="0.3">
      <c r="B20" s="8" t="s">
        <v>7</v>
      </c>
      <c r="C20" s="2" t="s">
        <v>16</v>
      </c>
      <c r="D20" s="2" t="s">
        <v>74</v>
      </c>
      <c r="E20" s="2" t="s">
        <v>67</v>
      </c>
      <c r="F20" s="2" t="s">
        <v>75</v>
      </c>
      <c r="G20" s="2">
        <v>1</v>
      </c>
      <c r="H20" s="9">
        <v>3.3</v>
      </c>
      <c r="I20" s="5">
        <v>0.8</v>
      </c>
      <c r="J20" s="5">
        <v>0.85</v>
      </c>
      <c r="K20" s="3">
        <f t="shared" si="0"/>
        <v>2.64</v>
      </c>
      <c r="L20" s="3">
        <f t="shared" si="1"/>
        <v>2.8049999999999997</v>
      </c>
      <c r="M20" s="4">
        <v>0.05</v>
      </c>
      <c r="N20" s="4">
        <v>0</v>
      </c>
      <c r="O20" s="15">
        <f t="shared" si="2"/>
        <v>0.13200000000000001</v>
      </c>
    </row>
    <row r="21" spans="2:15" x14ac:dyDescent="0.3">
      <c r="B21" s="8" t="s">
        <v>7</v>
      </c>
      <c r="C21" s="2"/>
      <c r="D21" s="2"/>
      <c r="E21" s="2"/>
      <c r="F21" s="2" t="s">
        <v>76</v>
      </c>
      <c r="G21" s="2">
        <v>1</v>
      </c>
      <c r="H21" s="9">
        <v>3.3</v>
      </c>
      <c r="I21" s="5">
        <v>5.5E-2</v>
      </c>
      <c r="J21" s="5">
        <v>0.12</v>
      </c>
      <c r="K21" s="3">
        <f t="shared" si="0"/>
        <v>0.18149999999999999</v>
      </c>
      <c r="L21" s="3">
        <f t="shared" si="1"/>
        <v>0.39599999999999996</v>
      </c>
      <c r="M21" s="4">
        <v>0.95</v>
      </c>
      <c r="N21" s="4">
        <v>0</v>
      </c>
      <c r="O21" s="15">
        <f t="shared" si="2"/>
        <v>0.17242499999999999</v>
      </c>
    </row>
    <row r="22" spans="2:15" x14ac:dyDescent="0.3">
      <c r="B22" s="8" t="s">
        <v>7</v>
      </c>
      <c r="C22" s="2" t="s">
        <v>17</v>
      </c>
      <c r="D22" s="2" t="s">
        <v>73</v>
      </c>
      <c r="E22" s="2" t="s">
        <v>67</v>
      </c>
      <c r="F22" s="2" t="s">
        <v>28</v>
      </c>
      <c r="G22" s="2">
        <v>1</v>
      </c>
      <c r="H22" s="36">
        <v>5</v>
      </c>
      <c r="I22" s="5">
        <v>5.0000000000000001E-4</v>
      </c>
      <c r="J22" s="5">
        <v>2E-3</v>
      </c>
      <c r="K22" s="3">
        <f t="shared" si="0"/>
        <v>2.5000000000000001E-3</v>
      </c>
      <c r="L22" s="3">
        <f t="shared" si="1"/>
        <v>0.01</v>
      </c>
      <c r="M22" s="4">
        <v>1</v>
      </c>
      <c r="N22" s="4">
        <v>0</v>
      </c>
      <c r="O22" s="15">
        <f t="shared" si="2"/>
        <v>2.5000000000000001E-3</v>
      </c>
    </row>
    <row r="23" spans="2:15" x14ac:dyDescent="0.3">
      <c r="B23" s="8" t="s">
        <v>7</v>
      </c>
      <c r="C23" s="2" t="s">
        <v>69</v>
      </c>
      <c r="D23" s="2" t="s">
        <v>72</v>
      </c>
      <c r="E23" s="2" t="s">
        <v>67</v>
      </c>
      <c r="F23" s="2" t="s">
        <v>95</v>
      </c>
      <c r="G23" s="2">
        <v>1</v>
      </c>
      <c r="H23" s="36">
        <v>5</v>
      </c>
      <c r="I23" s="5">
        <v>1.0880000000000001</v>
      </c>
      <c r="J23" s="5">
        <v>1.5</v>
      </c>
      <c r="K23" s="3">
        <f t="shared" si="0"/>
        <v>5.44</v>
      </c>
      <c r="L23" s="3">
        <f t="shared" si="1"/>
        <v>7.5</v>
      </c>
      <c r="M23" s="4">
        <v>0.8</v>
      </c>
      <c r="N23" s="4">
        <v>0</v>
      </c>
      <c r="O23" s="15">
        <f t="shared" si="2"/>
        <v>4.3520000000000003</v>
      </c>
    </row>
    <row r="24" spans="2:15" x14ac:dyDescent="0.3">
      <c r="B24" s="8" t="s">
        <v>7</v>
      </c>
      <c r="C24" s="2"/>
      <c r="D24" s="2"/>
      <c r="E24" s="2"/>
      <c r="F24" s="2" t="s">
        <v>94</v>
      </c>
      <c r="G24" s="2">
        <v>1</v>
      </c>
      <c r="H24" s="36">
        <v>5</v>
      </c>
      <c r="I24" s="5">
        <v>1.1719999999999999</v>
      </c>
      <c r="J24" s="5">
        <v>1.5</v>
      </c>
      <c r="K24" s="3">
        <f t="shared" si="0"/>
        <v>5.8599999999999994</v>
      </c>
      <c r="L24" s="3">
        <f t="shared" si="1"/>
        <v>7.5</v>
      </c>
      <c r="M24" s="4">
        <v>0.1</v>
      </c>
      <c r="N24" s="4">
        <v>0</v>
      </c>
      <c r="O24" s="15">
        <f t="shared" si="2"/>
        <v>0.58599999999999997</v>
      </c>
    </row>
    <row r="25" spans="2:15" x14ac:dyDescent="0.3">
      <c r="B25" s="8" t="s">
        <v>7</v>
      </c>
      <c r="C25" s="2"/>
      <c r="D25" s="2"/>
      <c r="E25" s="2"/>
      <c r="F25" s="2" t="s">
        <v>96</v>
      </c>
      <c r="G25" s="2">
        <v>1</v>
      </c>
      <c r="H25" s="36">
        <v>5</v>
      </c>
      <c r="I25" s="5">
        <v>1.1879999999999999</v>
      </c>
      <c r="J25" s="5">
        <v>1.5</v>
      </c>
      <c r="K25" s="3">
        <f t="shared" si="0"/>
        <v>5.9399999999999995</v>
      </c>
      <c r="L25" s="3">
        <f t="shared" si="1"/>
        <v>7.5</v>
      </c>
      <c r="M25" s="4">
        <v>0.1</v>
      </c>
      <c r="N25" s="4">
        <v>0</v>
      </c>
      <c r="O25" s="15">
        <f t="shared" si="2"/>
        <v>0.59399999999999997</v>
      </c>
    </row>
    <row r="26" spans="2:15" x14ac:dyDescent="0.3">
      <c r="B26" s="8" t="s">
        <v>7</v>
      </c>
      <c r="C26" s="2" t="s">
        <v>18</v>
      </c>
      <c r="D26" s="2" t="s">
        <v>71</v>
      </c>
      <c r="E26" s="2" t="s">
        <v>67</v>
      </c>
      <c r="F26" s="1" t="s">
        <v>101</v>
      </c>
      <c r="G26" s="2">
        <v>1</v>
      </c>
      <c r="H26" s="6">
        <v>12</v>
      </c>
      <c r="I26" s="5">
        <v>1.4999999999999999E-4</v>
      </c>
      <c r="J26" s="5">
        <v>1.4999999999999999E-4</v>
      </c>
      <c r="K26" s="3">
        <f t="shared" si="0"/>
        <v>1.8E-3</v>
      </c>
      <c r="L26" s="3">
        <f t="shared" si="1"/>
        <v>1.8E-3</v>
      </c>
      <c r="M26" s="4">
        <v>0.7</v>
      </c>
      <c r="N26" s="4">
        <v>0</v>
      </c>
      <c r="O26" s="15">
        <f t="shared" si="2"/>
        <v>1.2599999999999998E-3</v>
      </c>
    </row>
    <row r="27" spans="2:15" x14ac:dyDescent="0.3">
      <c r="B27" s="8" t="s">
        <v>7</v>
      </c>
      <c r="C27" s="2"/>
      <c r="D27" s="2"/>
      <c r="E27" s="2"/>
      <c r="F27" s="2" t="s">
        <v>27</v>
      </c>
      <c r="G27" s="2">
        <v>1</v>
      </c>
      <c r="H27" s="6">
        <v>12</v>
      </c>
      <c r="I27" s="5">
        <v>1.7000000000000001E-2</v>
      </c>
      <c r="J27" s="5">
        <v>1.7000000000000001E-2</v>
      </c>
      <c r="K27" s="3">
        <f t="shared" si="0"/>
        <v>0.20400000000000001</v>
      </c>
      <c r="L27" s="3">
        <f t="shared" si="1"/>
        <v>0.20400000000000001</v>
      </c>
      <c r="M27" s="4">
        <v>0.05</v>
      </c>
      <c r="N27" s="4">
        <v>0</v>
      </c>
      <c r="O27" s="15">
        <f t="shared" si="2"/>
        <v>1.0200000000000001E-2</v>
      </c>
    </row>
    <row r="28" spans="2:15" x14ac:dyDescent="0.3">
      <c r="B28" s="8" t="s">
        <v>7</v>
      </c>
      <c r="C28" s="2"/>
      <c r="D28" s="2"/>
      <c r="E28" s="2"/>
      <c r="F28" s="2" t="s">
        <v>76</v>
      </c>
      <c r="G28" s="2">
        <v>1</v>
      </c>
      <c r="H28" s="6">
        <v>12</v>
      </c>
      <c r="I28" s="5">
        <v>6.7000000000000004E-2</v>
      </c>
      <c r="J28" s="5">
        <v>6.7000000000000004E-2</v>
      </c>
      <c r="K28" s="3">
        <f t="shared" si="0"/>
        <v>0.80400000000000005</v>
      </c>
      <c r="L28" s="3">
        <f t="shared" si="1"/>
        <v>0.80400000000000005</v>
      </c>
      <c r="M28" s="4">
        <v>0.1</v>
      </c>
      <c r="N28" s="4">
        <v>0</v>
      </c>
      <c r="O28" s="15">
        <f t="shared" si="2"/>
        <v>8.0400000000000013E-2</v>
      </c>
    </row>
    <row r="29" spans="2:15" x14ac:dyDescent="0.3">
      <c r="B29" s="8" t="s">
        <v>7</v>
      </c>
      <c r="C29" s="2"/>
      <c r="D29" s="2"/>
      <c r="E29" s="2"/>
      <c r="F29" s="2" t="s">
        <v>100</v>
      </c>
      <c r="G29" s="2">
        <v>1</v>
      </c>
      <c r="H29" s="6">
        <v>12</v>
      </c>
      <c r="I29" s="5">
        <v>0.05</v>
      </c>
      <c r="J29" s="5">
        <v>0.05</v>
      </c>
      <c r="K29" s="3">
        <f t="shared" si="0"/>
        <v>0.60000000000000009</v>
      </c>
      <c r="L29" s="3">
        <f t="shared" si="1"/>
        <v>0.60000000000000009</v>
      </c>
      <c r="M29" s="4">
        <v>0.05</v>
      </c>
      <c r="N29" s="4">
        <v>0</v>
      </c>
      <c r="O29" s="15">
        <f t="shared" si="2"/>
        <v>3.0000000000000006E-2</v>
      </c>
    </row>
    <row r="30" spans="2:15" x14ac:dyDescent="0.3">
      <c r="B30" s="8" t="s">
        <v>7</v>
      </c>
      <c r="C30" s="2"/>
      <c r="D30" s="2"/>
      <c r="E30" s="2"/>
      <c r="F30" s="2" t="s">
        <v>75</v>
      </c>
      <c r="G30" s="2">
        <v>1</v>
      </c>
      <c r="H30" s="6">
        <v>12</v>
      </c>
      <c r="I30" s="5">
        <v>0.89170000000000005</v>
      </c>
      <c r="J30" s="5">
        <v>0.91669999999999996</v>
      </c>
      <c r="K30" s="3">
        <f t="shared" si="0"/>
        <v>10.7004</v>
      </c>
      <c r="L30" s="3">
        <f t="shared" si="1"/>
        <v>11.000399999999999</v>
      </c>
      <c r="M30" s="4">
        <v>0.1</v>
      </c>
      <c r="N30" s="4">
        <v>0</v>
      </c>
      <c r="O30" s="15">
        <f t="shared" si="2"/>
        <v>1.0700400000000001</v>
      </c>
    </row>
    <row r="31" spans="2:15" x14ac:dyDescent="0.3">
      <c r="B31" s="8" t="s">
        <v>7</v>
      </c>
      <c r="C31" s="2" t="s">
        <v>18</v>
      </c>
      <c r="D31" s="2" t="s">
        <v>70</v>
      </c>
      <c r="E31" s="2" t="s">
        <v>67</v>
      </c>
      <c r="F31" s="1" t="s">
        <v>101</v>
      </c>
      <c r="G31" s="2">
        <v>1</v>
      </c>
      <c r="H31" s="6">
        <v>12</v>
      </c>
      <c r="I31" s="5">
        <v>1.4999999999999999E-4</v>
      </c>
      <c r="J31" s="5">
        <v>1.4999999999999999E-4</v>
      </c>
      <c r="K31" s="3">
        <f t="shared" si="0"/>
        <v>1.8E-3</v>
      </c>
      <c r="L31" s="3">
        <f t="shared" si="1"/>
        <v>1.8E-3</v>
      </c>
      <c r="M31" s="4">
        <v>0.7</v>
      </c>
      <c r="N31" s="4">
        <v>0</v>
      </c>
      <c r="O31" s="15">
        <f t="shared" si="2"/>
        <v>1.2599999999999998E-3</v>
      </c>
    </row>
    <row r="32" spans="2:15" x14ac:dyDescent="0.3">
      <c r="B32" s="8" t="s">
        <v>7</v>
      </c>
      <c r="C32" s="2"/>
      <c r="D32" s="2"/>
      <c r="E32" s="2"/>
      <c r="F32" s="2" t="s">
        <v>27</v>
      </c>
      <c r="G32" s="2">
        <v>1</v>
      </c>
      <c r="H32" s="6">
        <v>12</v>
      </c>
      <c r="I32" s="5">
        <v>1.7000000000000001E-2</v>
      </c>
      <c r="J32" s="5">
        <v>1.7000000000000001E-2</v>
      </c>
      <c r="K32" s="3">
        <f t="shared" si="0"/>
        <v>0.20400000000000001</v>
      </c>
      <c r="L32" s="3">
        <f t="shared" si="1"/>
        <v>0.20400000000000001</v>
      </c>
      <c r="M32" s="4">
        <v>0.05</v>
      </c>
      <c r="N32" s="4">
        <v>0</v>
      </c>
      <c r="O32" s="15">
        <f t="shared" si="2"/>
        <v>1.0200000000000001E-2</v>
      </c>
    </row>
    <row r="33" spans="2:17" x14ac:dyDescent="0.3">
      <c r="B33" s="8" t="s">
        <v>7</v>
      </c>
      <c r="C33" s="2"/>
      <c r="D33" s="2"/>
      <c r="E33" s="2"/>
      <c r="F33" s="2" t="s">
        <v>76</v>
      </c>
      <c r="G33" s="2">
        <v>1</v>
      </c>
      <c r="H33" s="6">
        <v>12</v>
      </c>
      <c r="I33" s="5">
        <v>6.7000000000000004E-2</v>
      </c>
      <c r="J33" s="5">
        <v>6.7000000000000004E-2</v>
      </c>
      <c r="K33" s="3">
        <f t="shared" si="0"/>
        <v>0.80400000000000005</v>
      </c>
      <c r="L33" s="3">
        <f t="shared" si="1"/>
        <v>0.80400000000000005</v>
      </c>
      <c r="M33" s="4">
        <v>0.1</v>
      </c>
      <c r="N33" s="4">
        <v>0</v>
      </c>
      <c r="O33" s="15">
        <f t="shared" si="2"/>
        <v>8.0400000000000013E-2</v>
      </c>
    </row>
    <row r="34" spans="2:17" x14ac:dyDescent="0.3">
      <c r="B34" s="8" t="s">
        <v>7</v>
      </c>
      <c r="C34" s="2"/>
      <c r="D34" s="2"/>
      <c r="E34" s="2"/>
      <c r="F34" s="2" t="s">
        <v>100</v>
      </c>
      <c r="G34" s="2">
        <v>1</v>
      </c>
      <c r="H34" s="6">
        <v>12</v>
      </c>
      <c r="I34" s="5">
        <v>0.05</v>
      </c>
      <c r="J34" s="5">
        <v>0.05</v>
      </c>
      <c r="K34" s="3">
        <f t="shared" si="0"/>
        <v>0.60000000000000009</v>
      </c>
      <c r="L34" s="3">
        <f t="shared" si="1"/>
        <v>0.60000000000000009</v>
      </c>
      <c r="M34" s="4">
        <v>0.05</v>
      </c>
      <c r="N34" s="4">
        <v>0</v>
      </c>
      <c r="O34" s="15">
        <f t="shared" si="2"/>
        <v>3.0000000000000006E-2</v>
      </c>
    </row>
    <row r="35" spans="2:17" x14ac:dyDescent="0.3">
      <c r="B35" s="8" t="s">
        <v>7</v>
      </c>
      <c r="C35" s="2"/>
      <c r="D35" s="2"/>
      <c r="E35" s="2"/>
      <c r="F35" s="2" t="s">
        <v>75</v>
      </c>
      <c r="G35" s="2">
        <v>1</v>
      </c>
      <c r="H35" s="6">
        <v>12</v>
      </c>
      <c r="I35" s="5">
        <v>0.89170000000000005</v>
      </c>
      <c r="J35" s="5">
        <v>0.91669999999999996</v>
      </c>
      <c r="K35" s="3">
        <f t="shared" si="0"/>
        <v>10.7004</v>
      </c>
      <c r="L35" s="3">
        <f t="shared" si="1"/>
        <v>11.000399999999999</v>
      </c>
      <c r="M35" s="4">
        <v>0.1</v>
      </c>
      <c r="N35" s="4">
        <v>0</v>
      </c>
      <c r="O35" s="15">
        <f t="shared" si="2"/>
        <v>1.0700400000000001</v>
      </c>
    </row>
    <row r="36" spans="2:17" x14ac:dyDescent="0.3">
      <c r="B36" s="8" t="s">
        <v>7</v>
      </c>
      <c r="C36" s="2" t="s">
        <v>102</v>
      </c>
      <c r="D36" s="2" t="s">
        <v>103</v>
      </c>
      <c r="E36" s="2" t="s">
        <v>67</v>
      </c>
      <c r="F36" s="2" t="s">
        <v>127</v>
      </c>
      <c r="G36" s="2">
        <v>1</v>
      </c>
      <c r="H36" s="36">
        <v>5</v>
      </c>
      <c r="I36" s="5">
        <f>(0.7+3.4)/5</f>
        <v>0.82</v>
      </c>
      <c r="J36" s="5">
        <f>(0.8+4.3)/5</f>
        <v>1.02</v>
      </c>
      <c r="K36" s="3">
        <f t="shared" si="0"/>
        <v>4.0999999999999996</v>
      </c>
      <c r="L36" s="3">
        <f t="shared" si="1"/>
        <v>5.0999999999999996</v>
      </c>
      <c r="M36" s="4">
        <v>0.95</v>
      </c>
      <c r="N36" s="4">
        <v>0</v>
      </c>
      <c r="O36" s="15">
        <f t="shared" si="2"/>
        <v>3.8949999999999996</v>
      </c>
    </row>
    <row r="37" spans="2:17" x14ac:dyDescent="0.3">
      <c r="B37" s="8" t="s">
        <v>7</v>
      </c>
      <c r="C37" s="2"/>
      <c r="D37" s="2"/>
      <c r="E37" s="2"/>
      <c r="F37" s="1" t="s">
        <v>129</v>
      </c>
      <c r="G37" s="2">
        <v>1</v>
      </c>
      <c r="H37" s="36">
        <v>5</v>
      </c>
      <c r="I37" s="5">
        <f>(2.4+4)/5</f>
        <v>1.28</v>
      </c>
      <c r="J37" s="5">
        <f>(3+5.1)/5</f>
        <v>1.6199999999999999</v>
      </c>
      <c r="K37" s="3">
        <f t="shared" si="0"/>
        <v>6.4</v>
      </c>
      <c r="L37" s="3">
        <f t="shared" si="1"/>
        <v>8.1</v>
      </c>
      <c r="M37" s="4">
        <v>0.05</v>
      </c>
      <c r="N37" s="4">
        <v>0</v>
      </c>
      <c r="O37" s="15">
        <f t="shared" si="2"/>
        <v>0.32000000000000006</v>
      </c>
    </row>
    <row r="38" spans="2:17" x14ac:dyDescent="0.3">
      <c r="B38" s="8" t="s">
        <v>7</v>
      </c>
      <c r="C38" s="2"/>
      <c r="D38" s="2"/>
      <c r="E38" s="2"/>
      <c r="F38" s="2" t="s">
        <v>128</v>
      </c>
      <c r="G38" s="2">
        <v>1</v>
      </c>
      <c r="H38" s="40">
        <v>12</v>
      </c>
      <c r="I38" s="5">
        <f>0/28</f>
        <v>0</v>
      </c>
      <c r="J38" s="5">
        <f>0.1/28</f>
        <v>3.5714285714285718E-3</v>
      </c>
      <c r="K38" s="3">
        <f t="shared" si="0"/>
        <v>0</v>
      </c>
      <c r="L38" s="3">
        <f t="shared" si="1"/>
        <v>4.2857142857142858E-2</v>
      </c>
      <c r="M38" s="4">
        <v>0.95</v>
      </c>
      <c r="N38" s="4">
        <v>0</v>
      </c>
      <c r="O38" s="15">
        <f t="shared" si="2"/>
        <v>0</v>
      </c>
    </row>
    <row r="39" spans="2:17" x14ac:dyDescent="0.3">
      <c r="B39" s="8" t="s">
        <v>7</v>
      </c>
      <c r="C39" s="2"/>
      <c r="D39" s="2"/>
      <c r="E39" s="2"/>
      <c r="F39" s="2" t="s">
        <v>130</v>
      </c>
      <c r="G39" s="2">
        <v>1</v>
      </c>
      <c r="H39" s="40">
        <v>12</v>
      </c>
      <c r="I39" s="5">
        <f>18.1/28</f>
        <v>0.64642857142857146</v>
      </c>
      <c r="J39" s="5">
        <f>25/28</f>
        <v>0.8928571428571429</v>
      </c>
      <c r="K39" s="3">
        <f t="shared" si="0"/>
        <v>7.757142857142858</v>
      </c>
      <c r="L39" s="3">
        <f t="shared" si="1"/>
        <v>10.714285714285715</v>
      </c>
      <c r="M39" s="4">
        <v>0.05</v>
      </c>
      <c r="N39" s="4">
        <v>0</v>
      </c>
      <c r="O39" s="15">
        <f t="shared" si="2"/>
        <v>0.3878571428571429</v>
      </c>
    </row>
    <row r="40" spans="2:17" x14ac:dyDescent="0.3">
      <c r="B40" s="8" t="s">
        <v>7</v>
      </c>
      <c r="C40" s="2" t="s">
        <v>24</v>
      </c>
      <c r="D40" s="2" t="s">
        <v>104</v>
      </c>
      <c r="E40" s="2" t="s">
        <v>23</v>
      </c>
      <c r="F40" s="2" t="s">
        <v>105</v>
      </c>
      <c r="G40" s="2">
        <v>1</v>
      </c>
      <c r="H40" s="34">
        <v>14.8</v>
      </c>
      <c r="I40" s="5">
        <f>(0.165+0.08*3*2+0.1*3.3)/14.8</f>
        <v>6.5878378378378386E-2</v>
      </c>
      <c r="J40" s="5">
        <f>(0.165+0.08*3*2+0.5*3.3)/14.8</f>
        <v>0.15506756756756757</v>
      </c>
      <c r="K40" s="3">
        <f t="shared" si="0"/>
        <v>0.9750000000000002</v>
      </c>
      <c r="L40" s="3">
        <f t="shared" ref="L40:L41" si="3">H40*J40*G40</f>
        <v>2.2949999999999999</v>
      </c>
      <c r="M40" s="4">
        <f t="shared" ref="M40" si="4">1-N40</f>
        <v>1</v>
      </c>
      <c r="N40" s="4">
        <v>0</v>
      </c>
      <c r="O40" s="15">
        <f t="shared" ref="O40:O41" si="5">K40*M40+L40*N40</f>
        <v>0.9750000000000002</v>
      </c>
    </row>
    <row r="41" spans="2:17" x14ac:dyDescent="0.3">
      <c r="B41" s="8" t="s">
        <v>7</v>
      </c>
      <c r="C41" s="2" t="s">
        <v>25</v>
      </c>
      <c r="D41" s="2" t="s">
        <v>106</v>
      </c>
      <c r="E41" s="2" t="s">
        <v>23</v>
      </c>
      <c r="F41" s="2" t="s">
        <v>30</v>
      </c>
      <c r="G41" s="2">
        <v>1</v>
      </c>
      <c r="H41" s="34">
        <v>14.8</v>
      </c>
      <c r="I41" s="5">
        <v>4.0000000000000001E-3</v>
      </c>
      <c r="J41" s="5">
        <v>0.40539999999999998</v>
      </c>
      <c r="K41" s="3">
        <f t="shared" ref="K41" si="6">H41*I41*G41</f>
        <v>5.9200000000000003E-2</v>
      </c>
      <c r="L41" s="3">
        <f t="shared" si="3"/>
        <v>5.9999200000000004</v>
      </c>
      <c r="M41" s="4">
        <v>0</v>
      </c>
      <c r="N41" s="4">
        <v>0.05</v>
      </c>
      <c r="O41" s="15">
        <f t="shared" si="5"/>
        <v>0.29999600000000004</v>
      </c>
    </row>
    <row r="42" spans="2:17" x14ac:dyDescent="0.3">
      <c r="B42" s="12" t="s">
        <v>37</v>
      </c>
      <c r="C42" s="12" t="s">
        <v>41</v>
      </c>
      <c r="D42" s="11">
        <v>20</v>
      </c>
      <c r="J42" s="29"/>
      <c r="M42" s="12" t="s">
        <v>32</v>
      </c>
      <c r="N42" s="12" t="s">
        <v>33</v>
      </c>
      <c r="O42" s="3">
        <f>SUM(O5:O41)/($D$44/100)</f>
        <v>21.534531269841267</v>
      </c>
    </row>
    <row r="43" spans="2:17" x14ac:dyDescent="0.3">
      <c r="B43" s="13"/>
      <c r="C43" s="12" t="s">
        <v>38</v>
      </c>
      <c r="D43" s="39">
        <v>20</v>
      </c>
      <c r="M43" s="12" t="s">
        <v>34</v>
      </c>
      <c r="N43" s="12" t="s">
        <v>112</v>
      </c>
      <c r="O43" s="3">
        <f>(L7*IF(OR(M7&gt;0, N7&gt;0), 1, 0)+L9*IF(OR(M9&gt;0, N9&gt;0), 1, 0)+MAX(L20*IF(OR(M20&gt;0, N20&gt;0), 1, 0), L21*IF(OR(M21&gt;0, N21&gt;0), 1, 0)))/3.3/($D$44/100)</f>
        <v>1.7555555555555553</v>
      </c>
      <c r="P43" s="1" t="s">
        <v>35</v>
      </c>
      <c r="Q43" s="1" t="s">
        <v>36</v>
      </c>
    </row>
    <row r="44" spans="2:17" x14ac:dyDescent="0.3">
      <c r="B44" s="13"/>
      <c r="C44" s="12" t="s">
        <v>39</v>
      </c>
      <c r="D44" s="11">
        <v>90</v>
      </c>
      <c r="M44" s="12"/>
      <c r="N44" s="12" t="s">
        <v>113</v>
      </c>
      <c r="O44" s="3">
        <f>(L6*IF(OR(M6&gt;0, N6&gt;0), 1, 0)+L8*IF(OR(M8&gt;0, N8&gt;0), 1, 0)+L16*IF(OR(M16&gt;0, N16&gt;0), 1, 0)+L22*IF(OR(M22&gt;0, N22&gt;0), 1, 0)+MAX(L23*IF(OR(M23&gt;0, N23&gt;0), 1, 0), L24*IF(OR(M24&gt;0, N24&gt;0), 1, 0), L25*IF(OR(M25&gt;0, N25&gt;0), 1, 0))+MAX(L36*IF(OR(M36&gt;0, N36&gt;0), 1, 0),L37*IF(OR(M37&gt;0, N37&gt;0), 1, 0)))/5/($D$44/100)</f>
        <v>4.0022222222222217</v>
      </c>
      <c r="P44" s="37" t="s">
        <v>35</v>
      </c>
      <c r="Q44" s="1" t="s">
        <v>36</v>
      </c>
    </row>
    <row r="45" spans="2:17" x14ac:dyDescent="0.3">
      <c r="B45" s="13"/>
      <c r="C45" s="12" t="s">
        <v>40</v>
      </c>
      <c r="D45" s="11">
        <v>14.8</v>
      </c>
      <c r="M45" s="12"/>
      <c r="N45" s="12" t="s">
        <v>114</v>
      </c>
      <c r="O45" s="3">
        <f>(MAX(L26*IF(OR(M26&gt;0, N26&gt;0), 1, 0), L27*IF(OR(M27&gt;0, N27&gt;0), 1, 0), L28*IF(OR(M28&gt;0, N28&gt;0), 1, 0), L29*IF(OR(M29&gt;0, N29&gt;0), 1, 0), L30*IF(OR(M30&gt;0, N30&gt;0), 1, 0))+MAX(L31*IF(OR(M31&gt;0, N31&gt;0), 1, 0), L32*IF(OR(M32&gt;0, N32&gt;0), 1, 0), L33*IF(OR(M33&gt;0, N33&gt;0), 1, 0), L34*IF(OR(M34&gt;0, N34&gt;0), 1, 0), L35*IF(OR(M35&gt;0, N35&gt;0), 1, 0)))/12/($D$44/100)</f>
        <v>2.0371111111111109</v>
      </c>
      <c r="P45" s="38" t="s">
        <v>35</v>
      </c>
      <c r="Q45" s="1" t="s">
        <v>36</v>
      </c>
    </row>
    <row r="46" spans="2:17" x14ac:dyDescent="0.3">
      <c r="B46" s="13"/>
      <c r="C46" s="12" t="s">
        <v>47</v>
      </c>
      <c r="D46" s="11">
        <f>IF($D52 &lt; ASIN($D49/($D49+$D50))*180/PI(), (360-2*ASIN((((1/COS($D$52*PI()/180))^2)*((($D$49/($D$49+$D$50))^2-(SIN($D$52*PI()/180))^2)))^0.5)*180/PI())/360*$D$51, $D51)</f>
        <v>4648.3432480072397</v>
      </c>
      <c r="M46" s="12"/>
      <c r="N46" s="12" t="s">
        <v>135</v>
      </c>
      <c r="O46" s="3">
        <f>(L5*IF(OR(M5&gt;0, N5&gt;0), 1, 0)+MAX(L10*IF(OR(M10&gt;0, N10&gt;0), 1, 0), L11*IF(OR(M11&gt;0, N11&gt;0), 1, 0), L12*IF(OR(M12&gt;0, N12&gt;0), 1, 0), L13*IF(OR(M13&gt;0, N13&gt;0), 1, 0), L14*IF(OR(M14&gt;0, N14&gt;0), 1, 0), L15*IF(OR(M15&gt;0, N15&gt;0), 1, 0))+MAX(L17*IF(OR(M17&gt;0, N17&gt;0), 1, 0), L18*IF(OR(M18&gt;0, N18&gt;0), 1, 0), L19*IF(OR(M19&gt;0, N19&gt;0), 1, 0))+MAX(L38*IF(OR(M38&gt;0, N38&gt;0), 1, 0), L39*IF(OR(M39&gt;0, N39&gt;0), 1, 0)))/12/($D$44/100)</f>
        <v>2.8874338624338627</v>
      </c>
      <c r="P46" s="38" t="s">
        <v>62</v>
      </c>
      <c r="Q46" s="1" t="s">
        <v>61</v>
      </c>
    </row>
    <row r="47" spans="2:17" x14ac:dyDescent="0.3">
      <c r="B47" s="13"/>
      <c r="C47" s="12" t="s">
        <v>42</v>
      </c>
      <c r="D47" s="11">
        <f>D51-D46</f>
        <v>1152.8954939512087</v>
      </c>
      <c r="M47" s="12"/>
      <c r="N47" s="12" t="s">
        <v>115</v>
      </c>
      <c r="O47" s="3">
        <f>(L40*IF(OR(M40&gt;0, N40&gt;0), 1, 0)+L41*IF(OR(M41&gt;0, N41&gt;0), 1, 0))/14.8/($D$44/100)</f>
        <v>0.62274174174174179</v>
      </c>
      <c r="P47" s="1" t="s">
        <v>62</v>
      </c>
      <c r="Q47" s="1" t="s">
        <v>61</v>
      </c>
    </row>
    <row r="48" spans="2:17" x14ac:dyDescent="0.3">
      <c r="B48" s="14"/>
      <c r="C48" s="12" t="s">
        <v>48</v>
      </c>
      <c r="D48" s="3">
        <v>398600</v>
      </c>
      <c r="M48" s="12"/>
      <c r="N48" s="12" t="s">
        <v>63</v>
      </c>
      <c r="O48" s="3">
        <f>SUM(O43:O47)</f>
        <v>11.305064493064492</v>
      </c>
      <c r="P48" s="1" t="s">
        <v>119</v>
      </c>
      <c r="Q48" s="1" t="s">
        <v>118</v>
      </c>
    </row>
    <row r="49" spans="2:16" x14ac:dyDescent="0.3">
      <c r="B49" s="14"/>
      <c r="C49" s="12" t="s">
        <v>43</v>
      </c>
      <c r="D49" s="3">
        <v>6378.14</v>
      </c>
      <c r="M49" s="12" t="s">
        <v>60</v>
      </c>
      <c r="N49" s="12" t="s">
        <v>64</v>
      </c>
      <c r="O49" s="3">
        <f>(2.246*0.4866)*(4*1*4*2)*(D46/D51)</f>
        <v>28.022655412759107</v>
      </c>
      <c r="P49" s="1" t="s">
        <v>111</v>
      </c>
    </row>
    <row r="50" spans="2:16" x14ac:dyDescent="0.3">
      <c r="B50" s="14"/>
      <c r="C50" s="12" t="s">
        <v>44</v>
      </c>
      <c r="D50" s="3">
        <v>600</v>
      </c>
      <c r="M50" s="12" t="s">
        <v>59</v>
      </c>
      <c r="N50" s="12" t="s">
        <v>55</v>
      </c>
      <c r="O50" s="3">
        <f>O49-O42</f>
        <v>6.4881241429178402</v>
      </c>
    </row>
    <row r="51" spans="2:16" x14ac:dyDescent="0.3">
      <c r="B51" s="14"/>
      <c r="C51" s="12" t="s">
        <v>45</v>
      </c>
      <c r="D51" s="3">
        <f>2*PI()*SQRT(($D$49+$D$50)^3/$D$48)</f>
        <v>5801.2387419584484</v>
      </c>
      <c r="M51" s="12" t="s">
        <v>58</v>
      </c>
      <c r="N51" s="12" t="s">
        <v>55</v>
      </c>
      <c r="O51" s="3">
        <f>O50/(O49-O50)*100</f>
        <v>30.128931350385805</v>
      </c>
      <c r="P51" s="1" t="s">
        <v>121</v>
      </c>
    </row>
    <row r="52" spans="2:16" x14ac:dyDescent="0.3">
      <c r="B52" s="14"/>
      <c r="C52" s="12" t="s">
        <v>46</v>
      </c>
      <c r="D52" s="3">
        <v>60</v>
      </c>
      <c r="E52" s="1" t="s">
        <v>120</v>
      </c>
      <c r="M52" s="12" t="s">
        <v>57</v>
      </c>
      <c r="N52" s="12" t="s">
        <v>55</v>
      </c>
      <c r="O52" s="3">
        <f>O42*$D$47/3600/($D44/100*$D$42/100)*(1+$D$43/100)</f>
        <v>45.97604456546555</v>
      </c>
    </row>
    <row r="53" spans="2:16" x14ac:dyDescent="0.3">
      <c r="C53" s="10"/>
      <c r="D53" s="7"/>
      <c r="M53" s="12" t="s">
        <v>56</v>
      </c>
      <c r="N53" s="12" t="s">
        <v>55</v>
      </c>
      <c r="O53" s="3">
        <f>O42*$D$47/3600/($D44/100*$D$42/100)*(1+$D$43/100)/$D$45</f>
        <v>3.1064894976665909</v>
      </c>
    </row>
    <row r="55" spans="2:16" x14ac:dyDescent="0.3">
      <c r="N55" s="33" t="s">
        <v>65</v>
      </c>
      <c r="O55" s="7">
        <f>(O49-O42)/O49*100</f>
        <v>23.153138228162724</v>
      </c>
      <c r="P55" s="1" t="s">
        <v>22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3F67-6D79-41D2-8BD0-62018036A62E}">
  <dimension ref="B2:Q55"/>
  <sheetViews>
    <sheetView topLeftCell="D4" zoomScale="85" zoomScaleNormal="85" workbookViewId="0">
      <selection activeCell="N46" sqref="N46:O46"/>
    </sheetView>
  </sheetViews>
  <sheetFormatPr defaultRowHeight="12.75" x14ac:dyDescent="0.3"/>
  <cols>
    <col min="1" max="1" width="9" style="1"/>
    <col min="2" max="2" width="10.625" style="1" customWidth="1"/>
    <col min="3" max="6" width="20.625" style="1" customWidth="1"/>
    <col min="7" max="7" width="10.625" style="1" customWidth="1"/>
    <col min="8" max="15" width="20.625" style="1" customWidth="1"/>
    <col min="16" max="17" width="10.625" style="1" customWidth="1"/>
    <col min="18" max="16384" width="9" style="1"/>
  </cols>
  <sheetData>
    <row r="2" spans="2:15" x14ac:dyDescent="0.3">
      <c r="B2" s="12" t="s">
        <v>5</v>
      </c>
      <c r="C2" s="12" t="s">
        <v>1</v>
      </c>
      <c r="D2" s="12" t="s">
        <v>15</v>
      </c>
      <c r="E2" s="12" t="s">
        <v>0</v>
      </c>
      <c r="F2" s="12" t="s">
        <v>26</v>
      </c>
      <c r="G2" s="12" t="s">
        <v>19</v>
      </c>
      <c r="H2" s="12" t="s">
        <v>2</v>
      </c>
      <c r="I2" s="12" t="s">
        <v>3</v>
      </c>
      <c r="J2" s="12" t="s">
        <v>3</v>
      </c>
      <c r="K2" s="12" t="s">
        <v>4</v>
      </c>
      <c r="L2" s="12" t="s">
        <v>4</v>
      </c>
      <c r="M2" s="12" t="s">
        <v>21</v>
      </c>
      <c r="N2" s="12" t="s">
        <v>21</v>
      </c>
      <c r="O2" s="12" t="s">
        <v>4</v>
      </c>
    </row>
    <row r="3" spans="2:15" x14ac:dyDescent="0.3">
      <c r="B3" s="12" t="s">
        <v>26</v>
      </c>
      <c r="C3" s="12" t="s">
        <v>7</v>
      </c>
      <c r="D3" s="12" t="s">
        <v>7</v>
      </c>
      <c r="E3" s="12" t="s">
        <v>7</v>
      </c>
      <c r="F3" s="12" t="s">
        <v>11</v>
      </c>
      <c r="G3" s="12" t="s">
        <v>7</v>
      </c>
      <c r="H3" s="12" t="s">
        <v>7</v>
      </c>
      <c r="I3" s="12" t="s">
        <v>11</v>
      </c>
      <c r="J3" s="12" t="s">
        <v>12</v>
      </c>
      <c r="K3" s="12" t="s">
        <v>11</v>
      </c>
      <c r="L3" s="12" t="s">
        <v>12</v>
      </c>
      <c r="M3" s="12" t="s">
        <v>11</v>
      </c>
      <c r="N3" s="12" t="s">
        <v>12</v>
      </c>
      <c r="O3" s="12" t="s">
        <v>31</v>
      </c>
    </row>
    <row r="4" spans="2:15" x14ac:dyDescent="0.3">
      <c r="B4" s="12" t="s">
        <v>6</v>
      </c>
      <c r="C4" s="12" t="s">
        <v>7</v>
      </c>
      <c r="D4" s="12" t="s">
        <v>7</v>
      </c>
      <c r="E4" s="12" t="s">
        <v>7</v>
      </c>
      <c r="F4" s="12"/>
      <c r="G4" s="12" t="s">
        <v>20</v>
      </c>
      <c r="H4" s="12" t="s">
        <v>8</v>
      </c>
      <c r="I4" s="12" t="s">
        <v>9</v>
      </c>
      <c r="J4" s="12" t="s">
        <v>9</v>
      </c>
      <c r="K4" s="12" t="s">
        <v>10</v>
      </c>
      <c r="L4" s="12" t="s">
        <v>10</v>
      </c>
      <c r="M4" s="12" t="s">
        <v>22</v>
      </c>
      <c r="N4" s="12" t="s">
        <v>22</v>
      </c>
      <c r="O4" s="12" t="s">
        <v>10</v>
      </c>
    </row>
    <row r="5" spans="2:15" x14ac:dyDescent="0.3">
      <c r="B5" s="8" t="s">
        <v>7</v>
      </c>
      <c r="C5" s="2" t="s">
        <v>93</v>
      </c>
      <c r="D5" s="2" t="s">
        <v>117</v>
      </c>
      <c r="E5" s="2" t="s">
        <v>13</v>
      </c>
      <c r="F5" s="2" t="s">
        <v>29</v>
      </c>
      <c r="G5" s="2">
        <v>1</v>
      </c>
      <c r="H5" s="40">
        <v>12</v>
      </c>
      <c r="I5" s="5">
        <v>1</v>
      </c>
      <c r="J5" s="5">
        <v>1.5</v>
      </c>
      <c r="K5" s="3">
        <f>H5*I5*G5</f>
        <v>12</v>
      </c>
      <c r="L5" s="3">
        <f>H5*J5*G5</f>
        <v>18</v>
      </c>
      <c r="M5" s="4">
        <v>0</v>
      </c>
      <c r="N5" s="4">
        <v>0</v>
      </c>
      <c r="O5" s="15">
        <f>K5*M5+L5*N5</f>
        <v>0</v>
      </c>
    </row>
    <row r="6" spans="2:15" x14ac:dyDescent="0.3">
      <c r="B6" s="8" t="s">
        <v>7</v>
      </c>
      <c r="C6" s="2" t="s">
        <v>97</v>
      </c>
      <c r="D6" s="2" t="s">
        <v>98</v>
      </c>
      <c r="E6" s="2" t="s">
        <v>13</v>
      </c>
      <c r="F6" s="2" t="s">
        <v>28</v>
      </c>
      <c r="G6" s="2">
        <v>1</v>
      </c>
      <c r="H6" s="36">
        <v>5</v>
      </c>
      <c r="I6" s="5">
        <v>0.26</v>
      </c>
      <c r="J6" s="5">
        <v>0.3</v>
      </c>
      <c r="K6" s="3">
        <f t="shared" ref="K6:K41" si="0">H6*I6*G6</f>
        <v>1.3</v>
      </c>
      <c r="L6" s="3">
        <f t="shared" ref="L6:L41" si="1">H6*J6*G6</f>
        <v>1.5</v>
      </c>
      <c r="M6" s="4">
        <v>1</v>
      </c>
      <c r="N6" s="4">
        <v>0</v>
      </c>
      <c r="O6" s="15">
        <f t="shared" ref="O6:O41" si="2">K6*M6+L6*N6</f>
        <v>1.3</v>
      </c>
    </row>
    <row r="7" spans="2:15" x14ac:dyDescent="0.3">
      <c r="B7" s="8" t="s">
        <v>7</v>
      </c>
      <c r="C7" s="2" t="s">
        <v>79</v>
      </c>
      <c r="D7" s="2" t="s">
        <v>77</v>
      </c>
      <c r="E7" s="2" t="s">
        <v>14</v>
      </c>
      <c r="F7" s="2" t="s">
        <v>28</v>
      </c>
      <c r="G7" s="2">
        <v>1</v>
      </c>
      <c r="H7" s="9">
        <v>3.3</v>
      </c>
      <c r="I7" s="5">
        <v>0.15</v>
      </c>
      <c r="J7" s="5">
        <v>0.45</v>
      </c>
      <c r="K7" s="3">
        <f t="shared" si="0"/>
        <v>0.49499999999999994</v>
      </c>
      <c r="L7" s="3">
        <f t="shared" si="1"/>
        <v>1.4849999999999999</v>
      </c>
      <c r="M7" s="4">
        <v>1</v>
      </c>
      <c r="N7" s="4">
        <v>0</v>
      </c>
      <c r="O7" s="15">
        <f t="shared" si="2"/>
        <v>0.49499999999999994</v>
      </c>
    </row>
    <row r="8" spans="2:15" ht="25.5" x14ac:dyDescent="0.3">
      <c r="B8" s="8" t="s">
        <v>7</v>
      </c>
      <c r="C8" s="2" t="s">
        <v>78</v>
      </c>
      <c r="D8" s="35" t="s">
        <v>99</v>
      </c>
      <c r="E8" s="2" t="s">
        <v>14</v>
      </c>
      <c r="F8" s="2" t="s">
        <v>28</v>
      </c>
      <c r="G8" s="2">
        <v>1</v>
      </c>
      <c r="H8" s="36">
        <v>5</v>
      </c>
      <c r="I8" s="5">
        <v>3.4000000000000002E-2</v>
      </c>
      <c r="J8" s="5">
        <v>0.18</v>
      </c>
      <c r="K8" s="3">
        <f t="shared" si="0"/>
        <v>0.17</v>
      </c>
      <c r="L8" s="3">
        <f t="shared" si="1"/>
        <v>0.89999999999999991</v>
      </c>
      <c r="M8" s="4">
        <v>1</v>
      </c>
      <c r="N8" s="4">
        <v>0</v>
      </c>
      <c r="O8" s="15">
        <f t="shared" si="2"/>
        <v>0.17</v>
      </c>
    </row>
    <row r="9" spans="2:15" x14ac:dyDescent="0.3">
      <c r="B9" s="8" t="s">
        <v>7</v>
      </c>
      <c r="C9" s="2" t="s">
        <v>91</v>
      </c>
      <c r="D9" s="2" t="s">
        <v>92</v>
      </c>
      <c r="E9" s="2" t="s">
        <v>66</v>
      </c>
      <c r="F9" s="2" t="s">
        <v>28</v>
      </c>
      <c r="G9" s="2">
        <v>1</v>
      </c>
      <c r="H9" s="9">
        <v>3.3</v>
      </c>
      <c r="I9" s="5">
        <v>0.28000000000000003</v>
      </c>
      <c r="J9" s="5">
        <v>0.28000000000000003</v>
      </c>
      <c r="K9" s="3">
        <f t="shared" si="0"/>
        <v>0.92400000000000004</v>
      </c>
      <c r="L9" s="3">
        <f t="shared" si="1"/>
        <v>0.92400000000000004</v>
      </c>
      <c r="M9" s="4">
        <v>1</v>
      </c>
      <c r="N9" s="4">
        <v>0</v>
      </c>
      <c r="O9" s="15">
        <f t="shared" si="2"/>
        <v>0.92400000000000004</v>
      </c>
    </row>
    <row r="10" spans="2:15" x14ac:dyDescent="0.3">
      <c r="B10" s="8" t="s">
        <v>7</v>
      </c>
      <c r="C10" s="2" t="s">
        <v>68</v>
      </c>
      <c r="D10" s="2" t="s">
        <v>88</v>
      </c>
      <c r="E10" s="2" t="s">
        <v>66</v>
      </c>
      <c r="F10" s="2" t="s">
        <v>80</v>
      </c>
      <c r="G10" s="2">
        <v>1</v>
      </c>
      <c r="H10" s="40">
        <v>12</v>
      </c>
      <c r="I10" s="5">
        <f>0.03/12</f>
        <v>2.5000000000000001E-3</v>
      </c>
      <c r="J10" s="5">
        <f>0.03/12</f>
        <v>2.5000000000000001E-3</v>
      </c>
      <c r="K10" s="3">
        <f t="shared" si="0"/>
        <v>0.03</v>
      </c>
      <c r="L10" s="3">
        <f t="shared" si="1"/>
        <v>0.03</v>
      </c>
      <c r="M10" s="4">
        <v>0.9</v>
      </c>
      <c r="N10" s="4">
        <v>0</v>
      </c>
      <c r="O10" s="15">
        <f t="shared" si="2"/>
        <v>2.7E-2</v>
      </c>
    </row>
    <row r="11" spans="2:15" x14ac:dyDescent="0.3">
      <c r="B11" s="8" t="s">
        <v>7</v>
      </c>
      <c r="C11" s="2" t="s">
        <v>89</v>
      </c>
      <c r="D11" s="2"/>
      <c r="E11" s="2"/>
      <c r="F11" s="2" t="s">
        <v>81</v>
      </c>
      <c r="G11" s="2">
        <v>1</v>
      </c>
      <c r="H11" s="40">
        <v>12</v>
      </c>
      <c r="I11" s="5">
        <f>1.35/12</f>
        <v>0.1125</v>
      </c>
      <c r="J11" s="5">
        <f>1.35/12</f>
        <v>0.1125</v>
      </c>
      <c r="K11" s="3">
        <f t="shared" si="0"/>
        <v>1.35</v>
      </c>
      <c r="L11" s="3">
        <f t="shared" si="1"/>
        <v>1.35</v>
      </c>
      <c r="M11" s="4">
        <v>0.05</v>
      </c>
      <c r="N11" s="4">
        <v>0</v>
      </c>
      <c r="O11" s="15">
        <f t="shared" si="2"/>
        <v>6.7500000000000004E-2</v>
      </c>
    </row>
    <row r="12" spans="2:15" x14ac:dyDescent="0.3">
      <c r="B12" s="8" t="s">
        <v>7</v>
      </c>
      <c r="C12" s="2" t="s">
        <v>90</v>
      </c>
      <c r="D12" s="2"/>
      <c r="E12" s="2"/>
      <c r="F12" s="2" t="s">
        <v>82</v>
      </c>
      <c r="G12" s="2">
        <v>1</v>
      </c>
      <c r="H12" s="40">
        <v>12</v>
      </c>
      <c r="I12" s="5">
        <f>1.92/12</f>
        <v>0.16</v>
      </c>
      <c r="J12" s="5">
        <f>1.92/12</f>
        <v>0.16</v>
      </c>
      <c r="K12" s="3">
        <f t="shared" si="0"/>
        <v>1.92</v>
      </c>
      <c r="L12" s="3">
        <f t="shared" si="1"/>
        <v>1.92</v>
      </c>
      <c r="M12" s="4">
        <v>0.05</v>
      </c>
      <c r="N12" s="4">
        <v>0</v>
      </c>
      <c r="O12" s="15">
        <f t="shared" si="2"/>
        <v>9.6000000000000002E-2</v>
      </c>
    </row>
    <row r="13" spans="2:15" ht="25.5" x14ac:dyDescent="0.3">
      <c r="B13" s="8" t="s">
        <v>7</v>
      </c>
      <c r="C13" s="2"/>
      <c r="D13" s="2"/>
      <c r="E13" s="2"/>
      <c r="F13" s="35" t="s">
        <v>83</v>
      </c>
      <c r="G13" s="2">
        <v>1</v>
      </c>
      <c r="H13" s="40">
        <v>12</v>
      </c>
      <c r="I13" s="5">
        <f>2.82/12</f>
        <v>0.23499999999999999</v>
      </c>
      <c r="J13" s="5">
        <v>0.08</v>
      </c>
      <c r="K13" s="3">
        <f t="shared" si="0"/>
        <v>2.82</v>
      </c>
      <c r="L13" s="3">
        <f t="shared" si="1"/>
        <v>0.96</v>
      </c>
      <c r="M13" s="4">
        <v>0</v>
      </c>
      <c r="N13" s="4">
        <v>0</v>
      </c>
      <c r="O13" s="15">
        <f t="shared" si="2"/>
        <v>0</v>
      </c>
    </row>
    <row r="14" spans="2:15" x14ac:dyDescent="0.3">
      <c r="B14" s="8" t="s">
        <v>7</v>
      </c>
      <c r="C14" s="2"/>
      <c r="D14" s="2"/>
      <c r="E14" s="2"/>
      <c r="F14" s="2" t="s">
        <v>84</v>
      </c>
      <c r="G14" s="2">
        <v>1</v>
      </c>
      <c r="H14" s="40">
        <v>12</v>
      </c>
      <c r="I14" s="5">
        <f>2.47/12</f>
        <v>0.20583333333333334</v>
      </c>
      <c r="J14" s="5">
        <f>2.47/12</f>
        <v>0.20583333333333334</v>
      </c>
      <c r="K14" s="3">
        <f t="shared" si="0"/>
        <v>2.4700000000000002</v>
      </c>
      <c r="L14" s="3">
        <f t="shared" si="1"/>
        <v>2.4700000000000002</v>
      </c>
      <c r="M14" s="4">
        <v>0</v>
      </c>
      <c r="N14" s="4">
        <v>0</v>
      </c>
      <c r="O14" s="15">
        <f t="shared" si="2"/>
        <v>0</v>
      </c>
    </row>
    <row r="15" spans="2:15" ht="25.5" x14ac:dyDescent="0.3">
      <c r="B15" s="8" t="s">
        <v>7</v>
      </c>
      <c r="C15" s="2"/>
      <c r="D15" s="2"/>
      <c r="E15" s="2"/>
      <c r="F15" s="35" t="s">
        <v>85</v>
      </c>
      <c r="G15" s="2">
        <v>1</v>
      </c>
      <c r="H15" s="40">
        <v>12</v>
      </c>
      <c r="I15" s="5">
        <f>6.74/12</f>
        <v>0.56166666666666665</v>
      </c>
      <c r="J15" s="5">
        <f>4.35</f>
        <v>4.3499999999999996</v>
      </c>
      <c r="K15" s="3">
        <f t="shared" si="0"/>
        <v>6.74</v>
      </c>
      <c r="L15" s="3">
        <f t="shared" si="1"/>
        <v>52.199999999999996</v>
      </c>
      <c r="M15" s="4">
        <v>0</v>
      </c>
      <c r="N15" s="4">
        <v>0</v>
      </c>
      <c r="O15" s="15">
        <f t="shared" si="2"/>
        <v>0</v>
      </c>
    </row>
    <row r="16" spans="2:15" x14ac:dyDescent="0.3">
      <c r="B16" s="8" t="s">
        <v>7</v>
      </c>
      <c r="C16" s="2" t="s">
        <v>86</v>
      </c>
      <c r="D16" s="2" t="s">
        <v>87</v>
      </c>
      <c r="E16" s="2" t="s">
        <v>66</v>
      </c>
      <c r="F16" s="35" t="s">
        <v>107</v>
      </c>
      <c r="G16" s="2">
        <v>1</v>
      </c>
      <c r="H16" s="36">
        <v>5</v>
      </c>
      <c r="I16" s="5">
        <v>0.4</v>
      </c>
      <c r="J16" s="5">
        <v>0.4</v>
      </c>
      <c r="K16" s="3">
        <f t="shared" si="0"/>
        <v>2</v>
      </c>
      <c r="L16" s="3">
        <f t="shared" si="1"/>
        <v>2</v>
      </c>
      <c r="M16" s="4">
        <v>0</v>
      </c>
      <c r="N16" s="4">
        <v>0</v>
      </c>
      <c r="O16" s="15">
        <f t="shared" si="2"/>
        <v>0</v>
      </c>
    </row>
    <row r="17" spans="2:15" x14ac:dyDescent="0.3">
      <c r="B17" s="8"/>
      <c r="C17" s="2"/>
      <c r="D17" s="2"/>
      <c r="E17" s="2"/>
      <c r="F17" s="35" t="s">
        <v>108</v>
      </c>
      <c r="G17" s="2">
        <v>1</v>
      </c>
      <c r="H17" s="40">
        <v>12</v>
      </c>
      <c r="I17" s="5">
        <v>0.1208</v>
      </c>
      <c r="J17" s="5">
        <v>0.1208</v>
      </c>
      <c r="K17" s="3">
        <f t="shared" si="0"/>
        <v>1.4496</v>
      </c>
      <c r="L17" s="3">
        <f t="shared" si="1"/>
        <v>1.4496</v>
      </c>
      <c r="M17" s="4">
        <v>0</v>
      </c>
      <c r="N17" s="4">
        <v>0</v>
      </c>
      <c r="O17" s="15">
        <f t="shared" si="2"/>
        <v>0</v>
      </c>
    </row>
    <row r="18" spans="2:15" x14ac:dyDescent="0.3">
      <c r="B18" s="8"/>
      <c r="C18" s="2"/>
      <c r="D18" s="2"/>
      <c r="E18" s="2"/>
      <c r="F18" s="35" t="s">
        <v>109</v>
      </c>
      <c r="G18" s="2">
        <v>1</v>
      </c>
      <c r="H18" s="40">
        <v>12</v>
      </c>
      <c r="I18" s="5">
        <v>0.58330000000000004</v>
      </c>
      <c r="J18" s="5">
        <v>0.70420000000000005</v>
      </c>
      <c r="K18" s="3">
        <f t="shared" si="0"/>
        <v>6.9996000000000009</v>
      </c>
      <c r="L18" s="3">
        <f t="shared" si="1"/>
        <v>8.4504000000000001</v>
      </c>
      <c r="M18" s="4">
        <v>0</v>
      </c>
      <c r="N18" s="4">
        <v>0</v>
      </c>
      <c r="O18" s="15">
        <f t="shared" si="2"/>
        <v>0</v>
      </c>
    </row>
    <row r="19" spans="2:15" x14ac:dyDescent="0.3">
      <c r="B19" s="8" t="s">
        <v>7</v>
      </c>
      <c r="C19" s="2"/>
      <c r="D19" s="2"/>
      <c r="E19" s="2"/>
      <c r="F19" s="35" t="s">
        <v>110</v>
      </c>
      <c r="G19" s="2">
        <v>1</v>
      </c>
      <c r="H19" s="40">
        <v>12</v>
      </c>
      <c r="I19" s="5">
        <v>2.75E-2</v>
      </c>
      <c r="J19" s="5">
        <v>0.71330000000000005</v>
      </c>
      <c r="K19" s="3">
        <f t="shared" si="0"/>
        <v>0.33</v>
      </c>
      <c r="L19" s="3">
        <f t="shared" si="1"/>
        <v>8.5595999999999997</v>
      </c>
      <c r="M19" s="4">
        <v>0</v>
      </c>
      <c r="N19" s="4">
        <v>0</v>
      </c>
      <c r="O19" s="15">
        <f t="shared" si="2"/>
        <v>0</v>
      </c>
    </row>
    <row r="20" spans="2:15" x14ac:dyDescent="0.3">
      <c r="B20" s="8" t="s">
        <v>7</v>
      </c>
      <c r="C20" s="2" t="s">
        <v>16</v>
      </c>
      <c r="D20" s="2" t="s">
        <v>74</v>
      </c>
      <c r="E20" s="2" t="s">
        <v>67</v>
      </c>
      <c r="F20" s="2" t="s">
        <v>75</v>
      </c>
      <c r="G20" s="2">
        <v>1</v>
      </c>
      <c r="H20" s="9">
        <v>3.3</v>
      </c>
      <c r="I20" s="5">
        <v>0.8</v>
      </c>
      <c r="J20" s="5">
        <v>0.85</v>
      </c>
      <c r="K20" s="3">
        <f t="shared" si="0"/>
        <v>2.64</v>
      </c>
      <c r="L20" s="3">
        <f t="shared" si="1"/>
        <v>2.8049999999999997</v>
      </c>
      <c r="M20" s="4">
        <v>0.05</v>
      </c>
      <c r="N20" s="4">
        <v>0</v>
      </c>
      <c r="O20" s="15">
        <f t="shared" si="2"/>
        <v>0.13200000000000001</v>
      </c>
    </row>
    <row r="21" spans="2:15" x14ac:dyDescent="0.3">
      <c r="B21" s="8" t="s">
        <v>7</v>
      </c>
      <c r="C21" s="2"/>
      <c r="D21" s="2"/>
      <c r="E21" s="2"/>
      <c r="F21" s="2" t="s">
        <v>76</v>
      </c>
      <c r="G21" s="2">
        <v>1</v>
      </c>
      <c r="H21" s="9">
        <v>3.3</v>
      </c>
      <c r="I21" s="5">
        <v>5.5E-2</v>
      </c>
      <c r="J21" s="5">
        <v>0.12</v>
      </c>
      <c r="K21" s="3">
        <f t="shared" si="0"/>
        <v>0.18149999999999999</v>
      </c>
      <c r="L21" s="3">
        <f t="shared" si="1"/>
        <v>0.39599999999999996</v>
      </c>
      <c r="M21" s="4">
        <v>0.95</v>
      </c>
      <c r="N21" s="4">
        <v>0</v>
      </c>
      <c r="O21" s="15">
        <f t="shared" si="2"/>
        <v>0.17242499999999999</v>
      </c>
    </row>
    <row r="22" spans="2:15" x14ac:dyDescent="0.3">
      <c r="B22" s="8" t="s">
        <v>7</v>
      </c>
      <c r="C22" s="2" t="s">
        <v>17</v>
      </c>
      <c r="D22" s="2" t="s">
        <v>73</v>
      </c>
      <c r="E22" s="2" t="s">
        <v>67</v>
      </c>
      <c r="F22" s="2" t="s">
        <v>28</v>
      </c>
      <c r="G22" s="2">
        <v>1</v>
      </c>
      <c r="H22" s="36">
        <v>5</v>
      </c>
      <c r="I22" s="5">
        <v>5.0000000000000001E-4</v>
      </c>
      <c r="J22" s="5">
        <v>2E-3</v>
      </c>
      <c r="K22" s="3">
        <f t="shared" si="0"/>
        <v>2.5000000000000001E-3</v>
      </c>
      <c r="L22" s="3">
        <f t="shared" si="1"/>
        <v>0.01</v>
      </c>
      <c r="M22" s="4">
        <v>1</v>
      </c>
      <c r="N22" s="4">
        <v>0</v>
      </c>
      <c r="O22" s="15">
        <f t="shared" si="2"/>
        <v>2.5000000000000001E-3</v>
      </c>
    </row>
    <row r="23" spans="2:15" x14ac:dyDescent="0.3">
      <c r="B23" s="8" t="s">
        <v>7</v>
      </c>
      <c r="C23" s="2" t="s">
        <v>69</v>
      </c>
      <c r="D23" s="2" t="s">
        <v>72</v>
      </c>
      <c r="E23" s="2" t="s">
        <v>67</v>
      </c>
      <c r="F23" s="2" t="s">
        <v>95</v>
      </c>
      <c r="G23" s="2">
        <v>1</v>
      </c>
      <c r="H23" s="36">
        <v>5</v>
      </c>
      <c r="I23" s="5">
        <v>1.0880000000000001</v>
      </c>
      <c r="J23" s="5">
        <v>1.5</v>
      </c>
      <c r="K23" s="3">
        <f t="shared" si="0"/>
        <v>5.44</v>
      </c>
      <c r="L23" s="3">
        <f t="shared" si="1"/>
        <v>7.5</v>
      </c>
      <c r="M23" s="4">
        <v>1</v>
      </c>
      <c r="N23" s="4">
        <v>0</v>
      </c>
      <c r="O23" s="15">
        <f t="shared" si="2"/>
        <v>5.44</v>
      </c>
    </row>
    <row r="24" spans="2:15" x14ac:dyDescent="0.3">
      <c r="B24" s="8" t="s">
        <v>7</v>
      </c>
      <c r="C24" s="2"/>
      <c r="D24" s="2"/>
      <c r="E24" s="2"/>
      <c r="F24" s="2" t="s">
        <v>94</v>
      </c>
      <c r="G24" s="2">
        <v>1</v>
      </c>
      <c r="H24" s="36">
        <v>5</v>
      </c>
      <c r="I24" s="5">
        <v>1.1719999999999999</v>
      </c>
      <c r="J24" s="5">
        <v>1.5</v>
      </c>
      <c r="K24" s="3">
        <f t="shared" si="0"/>
        <v>5.8599999999999994</v>
      </c>
      <c r="L24" s="3">
        <f t="shared" si="1"/>
        <v>7.5</v>
      </c>
      <c r="M24" s="4">
        <v>0</v>
      </c>
      <c r="N24" s="4">
        <v>0</v>
      </c>
      <c r="O24" s="15">
        <f t="shared" si="2"/>
        <v>0</v>
      </c>
    </row>
    <row r="25" spans="2:15" x14ac:dyDescent="0.3">
      <c r="B25" s="8" t="s">
        <v>7</v>
      </c>
      <c r="C25" s="2"/>
      <c r="D25" s="2"/>
      <c r="E25" s="2"/>
      <c r="F25" s="2" t="s">
        <v>96</v>
      </c>
      <c r="G25" s="2">
        <v>1</v>
      </c>
      <c r="H25" s="36">
        <v>5</v>
      </c>
      <c r="I25" s="5">
        <v>1.1879999999999999</v>
      </c>
      <c r="J25" s="5">
        <v>1.5</v>
      </c>
      <c r="K25" s="3">
        <f t="shared" si="0"/>
        <v>5.9399999999999995</v>
      </c>
      <c r="L25" s="3">
        <f t="shared" si="1"/>
        <v>7.5</v>
      </c>
      <c r="M25" s="4">
        <v>0</v>
      </c>
      <c r="N25" s="4">
        <v>0</v>
      </c>
      <c r="O25" s="15">
        <f t="shared" si="2"/>
        <v>0</v>
      </c>
    </row>
    <row r="26" spans="2:15" x14ac:dyDescent="0.3">
      <c r="B26" s="8" t="s">
        <v>7</v>
      </c>
      <c r="C26" s="2" t="s">
        <v>18</v>
      </c>
      <c r="D26" s="2" t="s">
        <v>71</v>
      </c>
      <c r="E26" s="2" t="s">
        <v>67</v>
      </c>
      <c r="F26" s="1" t="s">
        <v>101</v>
      </c>
      <c r="G26" s="2">
        <v>1</v>
      </c>
      <c r="H26" s="6">
        <v>12</v>
      </c>
      <c r="I26" s="5">
        <v>1.4999999999999999E-4</v>
      </c>
      <c r="J26" s="5">
        <v>1.4999999999999999E-4</v>
      </c>
      <c r="K26" s="3">
        <f t="shared" si="0"/>
        <v>1.8E-3</v>
      </c>
      <c r="L26" s="3">
        <f t="shared" si="1"/>
        <v>1.8E-3</v>
      </c>
      <c r="M26" s="4">
        <v>0</v>
      </c>
      <c r="N26" s="4">
        <v>0</v>
      </c>
      <c r="O26" s="15">
        <f t="shared" si="2"/>
        <v>0</v>
      </c>
    </row>
    <row r="27" spans="2:15" x14ac:dyDescent="0.3">
      <c r="B27" s="8" t="s">
        <v>7</v>
      </c>
      <c r="C27" s="2"/>
      <c r="D27" s="2"/>
      <c r="E27" s="2"/>
      <c r="F27" s="2" t="s">
        <v>27</v>
      </c>
      <c r="G27" s="2">
        <v>1</v>
      </c>
      <c r="H27" s="6">
        <v>12</v>
      </c>
      <c r="I27" s="5">
        <v>1.7000000000000001E-2</v>
      </c>
      <c r="J27" s="5">
        <v>1.7000000000000001E-2</v>
      </c>
      <c r="K27" s="3">
        <f t="shared" si="0"/>
        <v>0.20400000000000001</v>
      </c>
      <c r="L27" s="3">
        <f t="shared" si="1"/>
        <v>0.20400000000000001</v>
      </c>
      <c r="M27" s="4">
        <v>0</v>
      </c>
      <c r="N27" s="4">
        <v>0</v>
      </c>
      <c r="O27" s="15">
        <f t="shared" si="2"/>
        <v>0</v>
      </c>
    </row>
    <row r="28" spans="2:15" x14ac:dyDescent="0.3">
      <c r="B28" s="8" t="s">
        <v>7</v>
      </c>
      <c r="C28" s="2"/>
      <c r="D28" s="2"/>
      <c r="E28" s="2"/>
      <c r="F28" s="2" t="s">
        <v>76</v>
      </c>
      <c r="G28" s="2">
        <v>1</v>
      </c>
      <c r="H28" s="6">
        <v>12</v>
      </c>
      <c r="I28" s="5">
        <v>6.7000000000000004E-2</v>
      </c>
      <c r="J28" s="5">
        <v>6.7000000000000004E-2</v>
      </c>
      <c r="K28" s="3">
        <f t="shared" si="0"/>
        <v>0.80400000000000005</v>
      </c>
      <c r="L28" s="3">
        <f t="shared" si="1"/>
        <v>0.80400000000000005</v>
      </c>
      <c r="M28" s="4">
        <v>1</v>
      </c>
      <c r="N28" s="4">
        <v>0</v>
      </c>
      <c r="O28" s="15">
        <f t="shared" si="2"/>
        <v>0.80400000000000005</v>
      </c>
    </row>
    <row r="29" spans="2:15" x14ac:dyDescent="0.3">
      <c r="B29" s="8" t="s">
        <v>7</v>
      </c>
      <c r="C29" s="2"/>
      <c r="D29" s="2"/>
      <c r="E29" s="2"/>
      <c r="F29" s="2" t="s">
        <v>100</v>
      </c>
      <c r="G29" s="2">
        <v>1</v>
      </c>
      <c r="H29" s="6">
        <v>12</v>
      </c>
      <c r="I29" s="5">
        <v>0.05</v>
      </c>
      <c r="J29" s="5">
        <v>0.05</v>
      </c>
      <c r="K29" s="3">
        <f t="shared" si="0"/>
        <v>0.60000000000000009</v>
      </c>
      <c r="L29" s="3">
        <f t="shared" si="1"/>
        <v>0.60000000000000009</v>
      </c>
      <c r="M29" s="4">
        <v>0</v>
      </c>
      <c r="N29" s="4">
        <v>0</v>
      </c>
      <c r="O29" s="15">
        <f t="shared" si="2"/>
        <v>0</v>
      </c>
    </row>
    <row r="30" spans="2:15" x14ac:dyDescent="0.3">
      <c r="B30" s="8" t="s">
        <v>7</v>
      </c>
      <c r="C30" s="2"/>
      <c r="D30" s="2"/>
      <c r="E30" s="2"/>
      <c r="F30" s="2" t="s">
        <v>75</v>
      </c>
      <c r="G30" s="2">
        <v>1</v>
      </c>
      <c r="H30" s="6">
        <v>12</v>
      </c>
      <c r="I30" s="5">
        <v>0.89170000000000005</v>
      </c>
      <c r="J30" s="5">
        <v>0.91669999999999996</v>
      </c>
      <c r="K30" s="3">
        <f t="shared" si="0"/>
        <v>10.7004</v>
      </c>
      <c r="L30" s="3">
        <f t="shared" si="1"/>
        <v>11.000399999999999</v>
      </c>
      <c r="M30" s="4">
        <v>0</v>
      </c>
      <c r="N30" s="4">
        <v>0</v>
      </c>
      <c r="O30" s="15">
        <f t="shared" si="2"/>
        <v>0</v>
      </c>
    </row>
    <row r="31" spans="2:15" x14ac:dyDescent="0.3">
      <c r="B31" s="8" t="s">
        <v>7</v>
      </c>
      <c r="C31" s="2" t="s">
        <v>18</v>
      </c>
      <c r="D31" s="2" t="s">
        <v>70</v>
      </c>
      <c r="E31" s="2" t="s">
        <v>67</v>
      </c>
      <c r="F31" s="1" t="s">
        <v>101</v>
      </c>
      <c r="G31" s="2">
        <v>1</v>
      </c>
      <c r="H31" s="6">
        <v>12</v>
      </c>
      <c r="I31" s="5">
        <v>1.4999999999999999E-4</v>
      </c>
      <c r="J31" s="5">
        <v>1.4999999999999999E-4</v>
      </c>
      <c r="K31" s="3">
        <f t="shared" si="0"/>
        <v>1.8E-3</v>
      </c>
      <c r="L31" s="3">
        <f t="shared" si="1"/>
        <v>1.8E-3</v>
      </c>
      <c r="M31" s="4">
        <v>0</v>
      </c>
      <c r="N31" s="4">
        <v>0</v>
      </c>
      <c r="O31" s="15">
        <f t="shared" si="2"/>
        <v>0</v>
      </c>
    </row>
    <row r="32" spans="2:15" x14ac:dyDescent="0.3">
      <c r="B32" s="8" t="s">
        <v>7</v>
      </c>
      <c r="C32" s="2"/>
      <c r="D32" s="2"/>
      <c r="E32" s="2"/>
      <c r="F32" s="2" t="s">
        <v>27</v>
      </c>
      <c r="G32" s="2">
        <v>1</v>
      </c>
      <c r="H32" s="6">
        <v>12</v>
      </c>
      <c r="I32" s="5">
        <v>1.7000000000000001E-2</v>
      </c>
      <c r="J32" s="5">
        <v>1.7000000000000001E-2</v>
      </c>
      <c r="K32" s="3">
        <f t="shared" si="0"/>
        <v>0.20400000000000001</v>
      </c>
      <c r="L32" s="3">
        <f t="shared" si="1"/>
        <v>0.20400000000000001</v>
      </c>
      <c r="M32" s="4">
        <v>0</v>
      </c>
      <c r="N32" s="4">
        <v>0</v>
      </c>
      <c r="O32" s="15">
        <f t="shared" si="2"/>
        <v>0</v>
      </c>
    </row>
    <row r="33" spans="2:17" x14ac:dyDescent="0.3">
      <c r="B33" s="8" t="s">
        <v>7</v>
      </c>
      <c r="C33" s="2"/>
      <c r="D33" s="2"/>
      <c r="E33" s="2"/>
      <c r="F33" s="2" t="s">
        <v>76</v>
      </c>
      <c r="G33" s="2">
        <v>1</v>
      </c>
      <c r="H33" s="6">
        <v>12</v>
      </c>
      <c r="I33" s="5">
        <v>6.7000000000000004E-2</v>
      </c>
      <c r="J33" s="5">
        <v>6.7000000000000004E-2</v>
      </c>
      <c r="K33" s="3">
        <f t="shared" si="0"/>
        <v>0.80400000000000005</v>
      </c>
      <c r="L33" s="3">
        <f t="shared" si="1"/>
        <v>0.80400000000000005</v>
      </c>
      <c r="M33" s="4">
        <v>1</v>
      </c>
      <c r="N33" s="4">
        <v>0</v>
      </c>
      <c r="O33" s="15">
        <f t="shared" si="2"/>
        <v>0.80400000000000005</v>
      </c>
    </row>
    <row r="34" spans="2:17" x14ac:dyDescent="0.3">
      <c r="B34" s="8" t="s">
        <v>7</v>
      </c>
      <c r="C34" s="2"/>
      <c r="D34" s="2"/>
      <c r="E34" s="2"/>
      <c r="F34" s="2" t="s">
        <v>100</v>
      </c>
      <c r="G34" s="2">
        <v>1</v>
      </c>
      <c r="H34" s="6">
        <v>12</v>
      </c>
      <c r="I34" s="5">
        <v>0.05</v>
      </c>
      <c r="J34" s="5">
        <v>0.05</v>
      </c>
      <c r="K34" s="3">
        <f t="shared" si="0"/>
        <v>0.60000000000000009</v>
      </c>
      <c r="L34" s="3">
        <f t="shared" si="1"/>
        <v>0.60000000000000009</v>
      </c>
      <c r="M34" s="4">
        <v>0</v>
      </c>
      <c r="N34" s="4">
        <v>0</v>
      </c>
      <c r="O34" s="15">
        <f t="shared" si="2"/>
        <v>0</v>
      </c>
    </row>
    <row r="35" spans="2:17" x14ac:dyDescent="0.3">
      <c r="B35" s="8" t="s">
        <v>7</v>
      </c>
      <c r="C35" s="2"/>
      <c r="D35" s="2"/>
      <c r="E35" s="2"/>
      <c r="F35" s="2" t="s">
        <v>75</v>
      </c>
      <c r="G35" s="2">
        <v>1</v>
      </c>
      <c r="H35" s="6">
        <v>12</v>
      </c>
      <c r="I35" s="5">
        <v>0.89170000000000005</v>
      </c>
      <c r="J35" s="5">
        <v>0.91669999999999996</v>
      </c>
      <c r="K35" s="3">
        <f t="shared" si="0"/>
        <v>10.7004</v>
      </c>
      <c r="L35" s="3">
        <f t="shared" si="1"/>
        <v>11.000399999999999</v>
      </c>
      <c r="M35" s="4">
        <v>0</v>
      </c>
      <c r="N35" s="4">
        <v>0</v>
      </c>
      <c r="O35" s="15">
        <f t="shared" si="2"/>
        <v>0</v>
      </c>
    </row>
    <row r="36" spans="2:17" x14ac:dyDescent="0.3">
      <c r="B36" s="8" t="s">
        <v>7</v>
      </c>
      <c r="C36" s="2" t="s">
        <v>102</v>
      </c>
      <c r="D36" s="2" t="s">
        <v>103</v>
      </c>
      <c r="E36" s="2" t="s">
        <v>67</v>
      </c>
      <c r="F36" s="2" t="s">
        <v>127</v>
      </c>
      <c r="G36" s="2">
        <v>1</v>
      </c>
      <c r="H36" s="36">
        <v>5</v>
      </c>
      <c r="I36" s="5">
        <f>(0.7+3.4)/5</f>
        <v>0.82</v>
      </c>
      <c r="J36" s="5">
        <f>(0.8+4.3)/5</f>
        <v>1.02</v>
      </c>
      <c r="K36" s="3">
        <f t="shared" si="0"/>
        <v>4.0999999999999996</v>
      </c>
      <c r="L36" s="3">
        <f t="shared" si="1"/>
        <v>5.0999999999999996</v>
      </c>
      <c r="M36" s="4">
        <v>0</v>
      </c>
      <c r="N36" s="4">
        <v>0</v>
      </c>
      <c r="O36" s="15">
        <f t="shared" si="2"/>
        <v>0</v>
      </c>
    </row>
    <row r="37" spans="2:17" x14ac:dyDescent="0.3">
      <c r="B37" s="8" t="s">
        <v>7</v>
      </c>
      <c r="C37" s="2"/>
      <c r="D37" s="2"/>
      <c r="E37" s="2"/>
      <c r="F37" s="1" t="s">
        <v>129</v>
      </c>
      <c r="G37" s="2">
        <v>1</v>
      </c>
      <c r="H37" s="36">
        <v>5</v>
      </c>
      <c r="I37" s="5">
        <f>(2.4+4)/5</f>
        <v>1.28</v>
      </c>
      <c r="J37" s="5">
        <f>(3+5.1)/5</f>
        <v>1.6199999999999999</v>
      </c>
      <c r="K37" s="3">
        <f t="shared" si="0"/>
        <v>6.4</v>
      </c>
      <c r="L37" s="3">
        <f t="shared" si="1"/>
        <v>8.1</v>
      </c>
      <c r="M37" s="4">
        <v>0</v>
      </c>
      <c r="N37" s="4">
        <v>0</v>
      </c>
      <c r="O37" s="15">
        <f t="shared" si="2"/>
        <v>0</v>
      </c>
    </row>
    <row r="38" spans="2:17" x14ac:dyDescent="0.3">
      <c r="B38" s="8" t="s">
        <v>7</v>
      </c>
      <c r="C38" s="2"/>
      <c r="D38" s="2"/>
      <c r="E38" s="2"/>
      <c r="F38" s="2" t="s">
        <v>128</v>
      </c>
      <c r="G38" s="2">
        <v>1</v>
      </c>
      <c r="H38" s="40">
        <v>12</v>
      </c>
      <c r="I38" s="5">
        <f>0/28</f>
        <v>0</v>
      </c>
      <c r="J38" s="5">
        <f>0.1/28</f>
        <v>3.5714285714285718E-3</v>
      </c>
      <c r="K38" s="3">
        <f t="shared" si="0"/>
        <v>0</v>
      </c>
      <c r="L38" s="3">
        <f t="shared" si="1"/>
        <v>4.2857142857142858E-2</v>
      </c>
      <c r="M38" s="4">
        <v>0</v>
      </c>
      <c r="N38" s="4">
        <v>0</v>
      </c>
      <c r="O38" s="15">
        <f t="shared" si="2"/>
        <v>0</v>
      </c>
    </row>
    <row r="39" spans="2:17" x14ac:dyDescent="0.3">
      <c r="B39" s="8" t="s">
        <v>7</v>
      </c>
      <c r="C39" s="2"/>
      <c r="D39" s="2"/>
      <c r="E39" s="2"/>
      <c r="F39" s="2" t="s">
        <v>130</v>
      </c>
      <c r="G39" s="2">
        <v>1</v>
      </c>
      <c r="H39" s="40">
        <v>12</v>
      </c>
      <c r="I39" s="5">
        <f>18.1/28</f>
        <v>0.64642857142857146</v>
      </c>
      <c r="J39" s="5">
        <f>25/28</f>
        <v>0.8928571428571429</v>
      </c>
      <c r="K39" s="3">
        <f t="shared" si="0"/>
        <v>7.757142857142858</v>
      </c>
      <c r="L39" s="3">
        <f t="shared" si="1"/>
        <v>10.714285714285715</v>
      </c>
      <c r="M39" s="4">
        <v>0</v>
      </c>
      <c r="N39" s="4">
        <v>0</v>
      </c>
      <c r="O39" s="15">
        <f t="shared" si="2"/>
        <v>0</v>
      </c>
    </row>
    <row r="40" spans="2:17" x14ac:dyDescent="0.3">
      <c r="B40" s="8" t="s">
        <v>7</v>
      </c>
      <c r="C40" s="2" t="s">
        <v>24</v>
      </c>
      <c r="D40" s="2" t="s">
        <v>104</v>
      </c>
      <c r="E40" s="2" t="s">
        <v>23</v>
      </c>
      <c r="F40" s="2" t="s">
        <v>105</v>
      </c>
      <c r="G40" s="2">
        <v>1</v>
      </c>
      <c r="H40" s="34">
        <v>14.8</v>
      </c>
      <c r="I40" s="5">
        <f>(0.165+0.08*3*2+0.1*3.3)/14.8</f>
        <v>6.5878378378378386E-2</v>
      </c>
      <c r="J40" s="5">
        <f>(0.165+0.08*3*2+0.5*3.3)/14.8</f>
        <v>0.15506756756756757</v>
      </c>
      <c r="K40" s="3">
        <f t="shared" si="0"/>
        <v>0.9750000000000002</v>
      </c>
      <c r="L40" s="3">
        <f t="shared" si="1"/>
        <v>2.2949999999999999</v>
      </c>
      <c r="M40" s="4">
        <f t="shared" ref="M40" si="3">1-N40</f>
        <v>1</v>
      </c>
      <c r="N40" s="4">
        <v>0</v>
      </c>
      <c r="O40" s="15">
        <f t="shared" si="2"/>
        <v>0.9750000000000002</v>
      </c>
    </row>
    <row r="41" spans="2:17" x14ac:dyDescent="0.3">
      <c r="B41" s="8" t="s">
        <v>7</v>
      </c>
      <c r="C41" s="2" t="s">
        <v>25</v>
      </c>
      <c r="D41" s="2" t="s">
        <v>106</v>
      </c>
      <c r="E41" s="2" t="s">
        <v>23</v>
      </c>
      <c r="F41" s="2" t="s">
        <v>30</v>
      </c>
      <c r="G41" s="2">
        <v>1</v>
      </c>
      <c r="H41" s="34">
        <v>14.8</v>
      </c>
      <c r="I41" s="5">
        <v>4.0000000000000001E-3</v>
      </c>
      <c r="J41" s="5">
        <v>0.40539999999999998</v>
      </c>
      <c r="K41" s="3">
        <f t="shared" si="0"/>
        <v>5.9200000000000003E-2</v>
      </c>
      <c r="L41" s="3">
        <f t="shared" si="1"/>
        <v>5.9999200000000004</v>
      </c>
      <c r="M41" s="4">
        <v>0</v>
      </c>
      <c r="N41" s="4">
        <v>0.05</v>
      </c>
      <c r="O41" s="15">
        <f t="shared" si="2"/>
        <v>0.29999600000000004</v>
      </c>
    </row>
    <row r="42" spans="2:17" x14ac:dyDescent="0.3">
      <c r="B42" s="12" t="s">
        <v>37</v>
      </c>
      <c r="C42" s="12" t="s">
        <v>41</v>
      </c>
      <c r="D42" s="11">
        <v>20</v>
      </c>
      <c r="J42" s="29"/>
      <c r="M42" s="12" t="s">
        <v>32</v>
      </c>
      <c r="N42" s="12" t="s">
        <v>33</v>
      </c>
      <c r="O42" s="3">
        <f>SUM(O5:O41)/($D$44/100)</f>
        <v>13.010467777777778</v>
      </c>
    </row>
    <row r="43" spans="2:17" x14ac:dyDescent="0.3">
      <c r="B43" s="13"/>
      <c r="C43" s="12" t="s">
        <v>38</v>
      </c>
      <c r="D43" s="11">
        <v>40</v>
      </c>
      <c r="M43" s="12" t="s">
        <v>34</v>
      </c>
      <c r="N43" s="12" t="s">
        <v>112</v>
      </c>
      <c r="O43" s="3">
        <f>(L7*IF(OR(M7&gt;0, N7&gt;0), 1, 0)+L9*IF(OR(M9&gt;0, N9&gt;0), 1, 0)+MAX(L20*IF(OR(M20&gt;0, N20&gt;0), 1, 0), L21*IF(OR(M21&gt;0, N21&gt;0), 1, 0)))/3.3/($D$44/100)</f>
        <v>1.7555555555555553</v>
      </c>
      <c r="P43" s="1" t="s">
        <v>35</v>
      </c>
      <c r="Q43" s="1" t="s">
        <v>36</v>
      </c>
    </row>
    <row r="44" spans="2:17" x14ac:dyDescent="0.3">
      <c r="B44" s="13"/>
      <c r="C44" s="12" t="s">
        <v>39</v>
      </c>
      <c r="D44" s="11">
        <v>90</v>
      </c>
      <c r="M44" s="12"/>
      <c r="N44" s="12" t="s">
        <v>113</v>
      </c>
      <c r="O44" s="3">
        <f>(L6*IF(OR(M6&gt;0, N6&gt;0), 1, 0)+L8*IF(OR(M8&gt;0, N8&gt;0), 1, 0)+L16*IF(OR(M16&gt;0, N16&gt;0), 1, 0)+L22*IF(OR(M22&gt;0, N22&gt;0), 1, 0)+MAX(L23*IF(OR(M23&gt;0, N23&gt;0), 1, 0), L24*IF(OR(M24&gt;0, N24&gt;0), 1, 0), L25*IF(OR(M25&gt;0, N25&gt;0), 1, 0))+MAX(L36*IF(OR(M36&gt;0, N36&gt;0), 1, 0),L37*IF(OR(M37&gt;0, N37&gt;0), 1, 0)))/5/($D$44/100)</f>
        <v>2.2022222222222223</v>
      </c>
      <c r="P44" s="37" t="s">
        <v>35</v>
      </c>
      <c r="Q44" s="1" t="s">
        <v>36</v>
      </c>
    </row>
    <row r="45" spans="2:17" x14ac:dyDescent="0.3">
      <c r="B45" s="13"/>
      <c r="C45" s="12" t="s">
        <v>40</v>
      </c>
      <c r="D45" s="11">
        <v>14.8</v>
      </c>
      <c r="M45" s="12"/>
      <c r="N45" s="12" t="s">
        <v>114</v>
      </c>
      <c r="O45" s="3">
        <f>(MAX(L26*IF(OR(M26&gt;0, N26&gt;0), 1, 0), L27*IF(OR(M27&gt;0, N27&gt;0), 1, 0), L28*IF(OR(M28&gt;0, N28&gt;0), 1, 0), L29*IF(OR(M29&gt;0, N29&gt;0), 1, 0), L30*IF(OR(M30&gt;0, N30&gt;0), 1, 0))+MAX(L31*IF(OR(M31&gt;0, N31&gt;0), 1, 0), L32*IF(OR(M32&gt;0, N32&gt;0), 1, 0), L33*IF(OR(M33&gt;0, N33&gt;0), 1, 0), L34*IF(OR(M34&gt;0, N34&gt;0), 1, 0), L35*IF(OR(M35&gt;0, N35&gt;0), 1, 0)))/12/($D$44/100)</f>
        <v>0.1488888888888889</v>
      </c>
      <c r="P45" s="1" t="s">
        <v>35</v>
      </c>
      <c r="Q45" s="1" t="s">
        <v>36</v>
      </c>
    </row>
    <row r="46" spans="2:17" x14ac:dyDescent="0.3">
      <c r="B46" s="13"/>
      <c r="C46" s="12" t="s">
        <v>47</v>
      </c>
      <c r="D46" s="11">
        <f>IF($D52 &lt; ASIN($D49/($D49+$D50))*180/PI(), (360-2*ASIN((((1/COS($D$52*PI()/180))^2)*((($D$49/($D$49+$D$50))^2-(SIN($D$52*PI()/180))^2)))^0.5)*180/PI())/360*$D$51, $D51)</f>
        <v>4648.3432480072397</v>
      </c>
      <c r="M46" s="12"/>
      <c r="N46" s="12" t="s">
        <v>135</v>
      </c>
      <c r="O46" s="3">
        <f>(L5*IF(OR(M5&gt;0, N5&gt;0), 1, 0)+MAX(L10*IF(OR(M10&gt;0, N10&gt;0), 1, 0), L11*IF(OR(M11&gt;0, N11&gt;0), 1, 0), L12*IF(OR(M12&gt;0, N12&gt;0), 1, 0), L13*IF(OR(M13&gt;0, N13&gt;0), 1, 0), L14*IF(OR(M14&gt;0, N14&gt;0), 1, 0), L15*IF(OR(M15&gt;0, N15&gt;0), 1, 0))+MAX(L17*IF(OR(M17&gt;0, N17&gt;0), 1, 0), L18*IF(OR(M18&gt;0, N18&gt;0), 1, 0), L19*IF(OR(M19&gt;0, N19&gt;0), 1, 0))+MAX(L38*IF(OR(M38&gt;0, N38&gt;0), 1, 0), L39*IF(OR(M39&gt;0, N39&gt;0), 1, 0)))/12/($D$44/100)</f>
        <v>0.17777777777777778</v>
      </c>
      <c r="P46" s="1" t="s">
        <v>35</v>
      </c>
      <c r="Q46" s="1" t="s">
        <v>61</v>
      </c>
    </row>
    <row r="47" spans="2:17" x14ac:dyDescent="0.3">
      <c r="B47" s="13"/>
      <c r="C47" s="12" t="s">
        <v>42</v>
      </c>
      <c r="D47" s="11">
        <f>D51-D46</f>
        <v>1152.8954939512087</v>
      </c>
      <c r="M47" s="12"/>
      <c r="N47" s="12" t="s">
        <v>115</v>
      </c>
      <c r="O47" s="3">
        <f>(L40*IF(OR(M40&gt;0, N40&gt;0), 1, 0)+L41*IF(OR(M41&gt;0, N41&gt;0), 1, 0))/14.8/($D$44/100)</f>
        <v>0.62274174174174179</v>
      </c>
      <c r="P47" s="1" t="s">
        <v>62</v>
      </c>
      <c r="Q47" s="1" t="s">
        <v>61</v>
      </c>
    </row>
    <row r="48" spans="2:17" x14ac:dyDescent="0.3">
      <c r="B48" s="14"/>
      <c r="C48" s="12" t="s">
        <v>48</v>
      </c>
      <c r="D48" s="3">
        <v>398600</v>
      </c>
      <c r="M48" s="12"/>
      <c r="N48" s="12" t="s">
        <v>63</v>
      </c>
      <c r="O48" s="3">
        <f>SUM(O43:O47)</f>
        <v>4.9071861861861859</v>
      </c>
      <c r="P48" s="1" t="s">
        <v>119</v>
      </c>
      <c r="Q48" s="1" t="s">
        <v>118</v>
      </c>
    </row>
    <row r="49" spans="2:16" x14ac:dyDescent="0.3">
      <c r="B49" s="14"/>
      <c r="C49" s="12" t="s">
        <v>43</v>
      </c>
      <c r="D49" s="3">
        <v>6378.14</v>
      </c>
      <c r="M49" s="12" t="s">
        <v>60</v>
      </c>
      <c r="N49" s="12" t="s">
        <v>64</v>
      </c>
      <c r="O49" s="3">
        <f>(2.246*0.4866)*(4*1*4*2)*(D46/D51)</f>
        <v>28.022655412759107</v>
      </c>
      <c r="P49" s="1" t="s">
        <v>111</v>
      </c>
    </row>
    <row r="50" spans="2:16" x14ac:dyDescent="0.3">
      <c r="B50" s="14"/>
      <c r="C50" s="12" t="s">
        <v>44</v>
      </c>
      <c r="D50" s="3">
        <v>600</v>
      </c>
      <c r="M50" s="12" t="s">
        <v>59</v>
      </c>
      <c r="N50" s="12" t="s">
        <v>55</v>
      </c>
      <c r="O50" s="3">
        <f>O49-O42</f>
        <v>15.012187634981329</v>
      </c>
    </row>
    <row r="51" spans="2:16" x14ac:dyDescent="0.3">
      <c r="B51" s="14"/>
      <c r="C51" s="12" t="s">
        <v>45</v>
      </c>
      <c r="D51" s="3">
        <f>2*PI()*SQRT(($D$49+$D$50)^3/$D$48)</f>
        <v>5801.2387419584484</v>
      </c>
      <c r="M51" s="12" t="s">
        <v>58</v>
      </c>
      <c r="N51" s="12" t="s">
        <v>55</v>
      </c>
      <c r="O51" s="3">
        <f>O50/(O49-O50)*100</f>
        <v>115.38545647545848</v>
      </c>
      <c r="P51" s="1" t="s">
        <v>116</v>
      </c>
    </row>
    <row r="52" spans="2:16" x14ac:dyDescent="0.3">
      <c r="B52" s="14"/>
      <c r="C52" s="12" t="s">
        <v>46</v>
      </c>
      <c r="D52" s="3">
        <v>60</v>
      </c>
      <c r="E52" s="1" t="s">
        <v>120</v>
      </c>
      <c r="M52" s="12" t="s">
        <v>57</v>
      </c>
      <c r="N52" s="12" t="s">
        <v>55</v>
      </c>
      <c r="O52" s="3">
        <f>O42*$D$47/3600/($D44/100*$D$42/100)*(1+$D$43/100)</f>
        <v>32.406780162463505</v>
      </c>
    </row>
    <row r="53" spans="2:16" x14ac:dyDescent="0.3">
      <c r="C53" s="10"/>
      <c r="D53" s="7"/>
      <c r="M53" s="12" t="s">
        <v>56</v>
      </c>
      <c r="N53" s="12" t="s">
        <v>55</v>
      </c>
      <c r="O53" s="3">
        <f>O42*$D$47/3600/($D44/100*$D$42/100)*(1+$D$43/100)/$D$45</f>
        <v>2.1896473082745609</v>
      </c>
    </row>
    <row r="55" spans="2:16" x14ac:dyDescent="0.3">
      <c r="N55" s="33" t="s">
        <v>65</v>
      </c>
      <c r="O55" s="7">
        <f>(O49-O42)/O49*100</f>
        <v>53.571609877292602</v>
      </c>
      <c r="P55" s="1" t="s">
        <v>22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8C14-7203-46FD-BA8E-564726ECF598}">
  <dimension ref="B2:Q55"/>
  <sheetViews>
    <sheetView topLeftCell="D3" zoomScale="85" zoomScaleNormal="85" workbookViewId="0">
      <selection activeCell="N46" sqref="N46:O46"/>
    </sheetView>
  </sheetViews>
  <sheetFormatPr defaultRowHeight="12.75" x14ac:dyDescent="0.3"/>
  <cols>
    <col min="1" max="1" width="9" style="1"/>
    <col min="2" max="2" width="10.625" style="1" customWidth="1"/>
    <col min="3" max="6" width="20.625" style="1" customWidth="1"/>
    <col min="7" max="7" width="10.625" style="1" customWidth="1"/>
    <col min="8" max="15" width="20.625" style="1" customWidth="1"/>
    <col min="16" max="17" width="10.625" style="1" customWidth="1"/>
    <col min="18" max="16384" width="9" style="1"/>
  </cols>
  <sheetData>
    <row r="2" spans="2:15" x14ac:dyDescent="0.3">
      <c r="B2" s="12" t="s">
        <v>5</v>
      </c>
      <c r="C2" s="12" t="s">
        <v>1</v>
      </c>
      <c r="D2" s="12" t="s">
        <v>15</v>
      </c>
      <c r="E2" s="12" t="s">
        <v>0</v>
      </c>
      <c r="F2" s="12" t="s">
        <v>26</v>
      </c>
      <c r="G2" s="12" t="s">
        <v>19</v>
      </c>
      <c r="H2" s="12" t="s">
        <v>2</v>
      </c>
      <c r="I2" s="12" t="s">
        <v>3</v>
      </c>
      <c r="J2" s="12" t="s">
        <v>3</v>
      </c>
      <c r="K2" s="12" t="s">
        <v>4</v>
      </c>
      <c r="L2" s="12" t="s">
        <v>4</v>
      </c>
      <c r="M2" s="12" t="s">
        <v>21</v>
      </c>
      <c r="N2" s="12" t="s">
        <v>21</v>
      </c>
      <c r="O2" s="12" t="s">
        <v>4</v>
      </c>
    </row>
    <row r="3" spans="2:15" x14ac:dyDescent="0.3">
      <c r="B3" s="12" t="s">
        <v>26</v>
      </c>
      <c r="C3" s="12" t="s">
        <v>7</v>
      </c>
      <c r="D3" s="12" t="s">
        <v>7</v>
      </c>
      <c r="E3" s="12" t="s">
        <v>7</v>
      </c>
      <c r="F3" s="12" t="s">
        <v>11</v>
      </c>
      <c r="G3" s="12" t="s">
        <v>7</v>
      </c>
      <c r="H3" s="12" t="s">
        <v>7</v>
      </c>
      <c r="I3" s="12" t="s">
        <v>11</v>
      </c>
      <c r="J3" s="12" t="s">
        <v>12</v>
      </c>
      <c r="K3" s="12" t="s">
        <v>11</v>
      </c>
      <c r="L3" s="12" t="s">
        <v>12</v>
      </c>
      <c r="M3" s="12" t="s">
        <v>11</v>
      </c>
      <c r="N3" s="12" t="s">
        <v>12</v>
      </c>
      <c r="O3" s="12" t="s">
        <v>31</v>
      </c>
    </row>
    <row r="4" spans="2:15" x14ac:dyDescent="0.3">
      <c r="B4" s="12" t="s">
        <v>6</v>
      </c>
      <c r="C4" s="12" t="s">
        <v>7</v>
      </c>
      <c r="D4" s="12" t="s">
        <v>7</v>
      </c>
      <c r="E4" s="12" t="s">
        <v>7</v>
      </c>
      <c r="F4" s="12"/>
      <c r="G4" s="12" t="s">
        <v>20</v>
      </c>
      <c r="H4" s="12" t="s">
        <v>8</v>
      </c>
      <c r="I4" s="12" t="s">
        <v>9</v>
      </c>
      <c r="J4" s="12" t="s">
        <v>9</v>
      </c>
      <c r="K4" s="12" t="s">
        <v>10</v>
      </c>
      <c r="L4" s="12" t="s">
        <v>10</v>
      </c>
      <c r="M4" s="12" t="s">
        <v>22</v>
      </c>
      <c r="N4" s="12" t="s">
        <v>22</v>
      </c>
      <c r="O4" s="12" t="s">
        <v>10</v>
      </c>
    </row>
    <row r="5" spans="2:15" x14ac:dyDescent="0.3">
      <c r="B5" s="8" t="s">
        <v>7</v>
      </c>
      <c r="C5" s="2" t="s">
        <v>93</v>
      </c>
      <c r="D5" s="2" t="s">
        <v>117</v>
      </c>
      <c r="E5" s="2" t="s">
        <v>13</v>
      </c>
      <c r="F5" s="2" t="s">
        <v>29</v>
      </c>
      <c r="G5" s="2">
        <v>1</v>
      </c>
      <c r="H5" s="40">
        <v>12</v>
      </c>
      <c r="I5" s="5">
        <v>1</v>
      </c>
      <c r="J5" s="5">
        <v>1.5</v>
      </c>
      <c r="K5" s="3">
        <f>H5*I5*G5</f>
        <v>12</v>
      </c>
      <c r="L5" s="3">
        <f>H5*J5*G5</f>
        <v>18</v>
      </c>
      <c r="M5" s="4">
        <v>0</v>
      </c>
      <c r="N5" s="4">
        <v>0</v>
      </c>
      <c r="O5" s="15">
        <f>K5*M5+L5*N5</f>
        <v>0</v>
      </c>
    </row>
    <row r="6" spans="2:15" x14ac:dyDescent="0.3">
      <c r="B6" s="8" t="s">
        <v>7</v>
      </c>
      <c r="C6" s="2" t="s">
        <v>97</v>
      </c>
      <c r="D6" s="2" t="s">
        <v>98</v>
      </c>
      <c r="E6" s="2" t="s">
        <v>13</v>
      </c>
      <c r="F6" s="2" t="s">
        <v>28</v>
      </c>
      <c r="G6" s="2">
        <v>1</v>
      </c>
      <c r="H6" s="36">
        <v>5</v>
      </c>
      <c r="I6" s="5">
        <v>0.26</v>
      </c>
      <c r="J6" s="5">
        <v>0.3</v>
      </c>
      <c r="K6" s="3">
        <f t="shared" ref="K6:K41" si="0">H6*I6*G6</f>
        <v>1.3</v>
      </c>
      <c r="L6" s="3">
        <f t="shared" ref="L6:L41" si="1">H6*J6*G6</f>
        <v>1.5</v>
      </c>
      <c r="M6" s="4">
        <v>1</v>
      </c>
      <c r="N6" s="4">
        <v>0</v>
      </c>
      <c r="O6" s="15">
        <f t="shared" ref="O6:O41" si="2">K6*M6+L6*N6</f>
        <v>1.3</v>
      </c>
    </row>
    <row r="7" spans="2:15" x14ac:dyDescent="0.3">
      <c r="B7" s="8" t="s">
        <v>7</v>
      </c>
      <c r="C7" s="2" t="s">
        <v>79</v>
      </c>
      <c r="D7" s="2" t="s">
        <v>77</v>
      </c>
      <c r="E7" s="2" t="s">
        <v>14</v>
      </c>
      <c r="F7" s="2" t="s">
        <v>28</v>
      </c>
      <c r="G7" s="2">
        <v>1</v>
      </c>
      <c r="H7" s="9">
        <v>3.3</v>
      </c>
      <c r="I7" s="5">
        <v>0.15</v>
      </c>
      <c r="J7" s="5">
        <v>0.45</v>
      </c>
      <c r="K7" s="3">
        <f t="shared" si="0"/>
        <v>0.49499999999999994</v>
      </c>
      <c r="L7" s="3">
        <f t="shared" si="1"/>
        <v>1.4849999999999999</v>
      </c>
      <c r="M7" s="4">
        <v>1</v>
      </c>
      <c r="N7" s="4">
        <v>0</v>
      </c>
      <c r="O7" s="15">
        <f t="shared" si="2"/>
        <v>0.49499999999999994</v>
      </c>
    </row>
    <row r="8" spans="2:15" ht="25.5" x14ac:dyDescent="0.3">
      <c r="B8" s="8" t="s">
        <v>7</v>
      </c>
      <c r="C8" s="2" t="s">
        <v>78</v>
      </c>
      <c r="D8" s="35" t="s">
        <v>99</v>
      </c>
      <c r="E8" s="2" t="s">
        <v>14</v>
      </c>
      <c r="F8" s="2" t="s">
        <v>28</v>
      </c>
      <c r="G8" s="2">
        <v>1</v>
      </c>
      <c r="H8" s="36">
        <v>5</v>
      </c>
      <c r="I8" s="5">
        <v>3.4000000000000002E-2</v>
      </c>
      <c r="J8" s="5">
        <v>0.18</v>
      </c>
      <c r="K8" s="3">
        <f t="shared" si="0"/>
        <v>0.17</v>
      </c>
      <c r="L8" s="3">
        <f t="shared" si="1"/>
        <v>0.89999999999999991</v>
      </c>
      <c r="M8" s="4">
        <v>1</v>
      </c>
      <c r="N8" s="4">
        <v>0</v>
      </c>
      <c r="O8" s="15">
        <f t="shared" si="2"/>
        <v>0.17</v>
      </c>
    </row>
    <row r="9" spans="2:15" x14ac:dyDescent="0.3">
      <c r="B9" s="8" t="s">
        <v>7</v>
      </c>
      <c r="C9" s="2" t="s">
        <v>91</v>
      </c>
      <c r="D9" s="2" t="s">
        <v>92</v>
      </c>
      <c r="E9" s="2" t="s">
        <v>66</v>
      </c>
      <c r="F9" s="2" t="s">
        <v>28</v>
      </c>
      <c r="G9" s="2">
        <v>1</v>
      </c>
      <c r="H9" s="9">
        <v>3.3</v>
      </c>
      <c r="I9" s="5">
        <v>0.28000000000000003</v>
      </c>
      <c r="J9" s="5">
        <v>0.28000000000000003</v>
      </c>
      <c r="K9" s="3">
        <f t="shared" si="0"/>
        <v>0.92400000000000004</v>
      </c>
      <c r="L9" s="3">
        <f t="shared" si="1"/>
        <v>0.92400000000000004</v>
      </c>
      <c r="M9" s="4">
        <v>1</v>
      </c>
      <c r="N9" s="4">
        <v>0</v>
      </c>
      <c r="O9" s="15">
        <f t="shared" si="2"/>
        <v>0.92400000000000004</v>
      </c>
    </row>
    <row r="10" spans="2:15" x14ac:dyDescent="0.3">
      <c r="B10" s="8" t="s">
        <v>7</v>
      </c>
      <c r="C10" s="2" t="s">
        <v>68</v>
      </c>
      <c r="D10" s="2" t="s">
        <v>88</v>
      </c>
      <c r="E10" s="2" t="s">
        <v>66</v>
      </c>
      <c r="F10" s="2" t="s">
        <v>80</v>
      </c>
      <c r="G10" s="2">
        <v>1</v>
      </c>
      <c r="H10" s="40">
        <v>12</v>
      </c>
      <c r="I10" s="5">
        <f>0.03/12</f>
        <v>2.5000000000000001E-3</v>
      </c>
      <c r="J10" s="5">
        <f>0.03/12</f>
        <v>2.5000000000000001E-3</v>
      </c>
      <c r="K10" s="3">
        <f t="shared" si="0"/>
        <v>0.03</v>
      </c>
      <c r="L10" s="3">
        <f t="shared" si="1"/>
        <v>0.03</v>
      </c>
      <c r="M10" s="4">
        <v>0.75</v>
      </c>
      <c r="N10" s="4">
        <v>0</v>
      </c>
      <c r="O10" s="15">
        <f t="shared" si="2"/>
        <v>2.2499999999999999E-2</v>
      </c>
    </row>
    <row r="11" spans="2:15" x14ac:dyDescent="0.3">
      <c r="B11" s="8" t="s">
        <v>7</v>
      </c>
      <c r="C11" s="2" t="s">
        <v>89</v>
      </c>
      <c r="D11" s="2"/>
      <c r="E11" s="2"/>
      <c r="F11" s="2" t="s">
        <v>81</v>
      </c>
      <c r="G11" s="2">
        <v>1</v>
      </c>
      <c r="H11" s="40">
        <v>12</v>
      </c>
      <c r="I11" s="5">
        <f>1.35/12</f>
        <v>0.1125</v>
      </c>
      <c r="J11" s="5">
        <f>1.35/12</f>
        <v>0.1125</v>
      </c>
      <c r="K11" s="3">
        <f t="shared" si="0"/>
        <v>1.35</v>
      </c>
      <c r="L11" s="3">
        <f t="shared" si="1"/>
        <v>1.35</v>
      </c>
      <c r="M11" s="4">
        <v>0.05</v>
      </c>
      <c r="N11" s="4">
        <v>0</v>
      </c>
      <c r="O11" s="15">
        <f t="shared" si="2"/>
        <v>6.7500000000000004E-2</v>
      </c>
    </row>
    <row r="12" spans="2:15" x14ac:dyDescent="0.3">
      <c r="B12" s="8" t="s">
        <v>7</v>
      </c>
      <c r="C12" s="2" t="s">
        <v>90</v>
      </c>
      <c r="D12" s="2"/>
      <c r="E12" s="2"/>
      <c r="F12" s="2" t="s">
        <v>82</v>
      </c>
      <c r="G12" s="2">
        <v>1</v>
      </c>
      <c r="H12" s="40">
        <v>12</v>
      </c>
      <c r="I12" s="5">
        <f>1.92/12</f>
        <v>0.16</v>
      </c>
      <c r="J12" s="5">
        <f>1.92/12</f>
        <v>0.16</v>
      </c>
      <c r="K12" s="3">
        <f t="shared" si="0"/>
        <v>1.92</v>
      </c>
      <c r="L12" s="3">
        <f t="shared" si="1"/>
        <v>1.92</v>
      </c>
      <c r="M12" s="4">
        <v>0.05</v>
      </c>
      <c r="N12" s="4">
        <v>0</v>
      </c>
      <c r="O12" s="15">
        <f t="shared" si="2"/>
        <v>9.6000000000000002E-2</v>
      </c>
    </row>
    <row r="13" spans="2:15" ht="25.5" x14ac:dyDescent="0.3">
      <c r="B13" s="8" t="s">
        <v>7</v>
      </c>
      <c r="C13" s="2"/>
      <c r="D13" s="2"/>
      <c r="E13" s="2"/>
      <c r="F13" s="35" t="s">
        <v>83</v>
      </c>
      <c r="G13" s="2">
        <v>1</v>
      </c>
      <c r="H13" s="40">
        <v>12</v>
      </c>
      <c r="I13" s="5">
        <f>2.82/12</f>
        <v>0.23499999999999999</v>
      </c>
      <c r="J13" s="5">
        <v>0.08</v>
      </c>
      <c r="K13" s="3">
        <f t="shared" si="0"/>
        <v>2.82</v>
      </c>
      <c r="L13" s="3">
        <f t="shared" si="1"/>
        <v>0.96</v>
      </c>
      <c r="M13" s="4">
        <v>0.1</v>
      </c>
      <c r="N13" s="4">
        <v>0</v>
      </c>
      <c r="O13" s="15">
        <f t="shared" si="2"/>
        <v>0.28199999999999997</v>
      </c>
    </row>
    <row r="14" spans="2:15" x14ac:dyDescent="0.3">
      <c r="B14" s="8" t="s">
        <v>7</v>
      </c>
      <c r="C14" s="2"/>
      <c r="D14" s="2"/>
      <c r="E14" s="2"/>
      <c r="F14" s="2" t="s">
        <v>84</v>
      </c>
      <c r="G14" s="2">
        <v>1</v>
      </c>
      <c r="H14" s="40">
        <v>12</v>
      </c>
      <c r="I14" s="5">
        <f>2.47/12</f>
        <v>0.20583333333333334</v>
      </c>
      <c r="J14" s="5">
        <f>2.47/12</f>
        <v>0.20583333333333334</v>
      </c>
      <c r="K14" s="3">
        <f t="shared" si="0"/>
        <v>2.4700000000000002</v>
      </c>
      <c r="L14" s="3">
        <f t="shared" si="1"/>
        <v>2.4700000000000002</v>
      </c>
      <c r="M14" s="4">
        <v>0.05</v>
      </c>
      <c r="N14" s="4">
        <v>0</v>
      </c>
      <c r="O14" s="15">
        <f t="shared" si="2"/>
        <v>0.12350000000000001</v>
      </c>
    </row>
    <row r="15" spans="2:15" ht="25.5" x14ac:dyDescent="0.3">
      <c r="B15" s="8" t="s">
        <v>7</v>
      </c>
      <c r="C15" s="2"/>
      <c r="D15" s="2"/>
      <c r="E15" s="2"/>
      <c r="F15" s="35" t="s">
        <v>85</v>
      </c>
      <c r="G15" s="2">
        <v>1</v>
      </c>
      <c r="H15" s="40">
        <v>12</v>
      </c>
      <c r="I15" s="5">
        <f>6.74/12</f>
        <v>0.56166666666666665</v>
      </c>
      <c r="J15" s="5">
        <f>4.35</f>
        <v>4.3499999999999996</v>
      </c>
      <c r="K15" s="3">
        <f t="shared" si="0"/>
        <v>6.74</v>
      </c>
      <c r="L15" s="3">
        <f t="shared" si="1"/>
        <v>52.199999999999996</v>
      </c>
      <c r="M15" s="4">
        <v>0</v>
      </c>
      <c r="N15" s="4">
        <v>0</v>
      </c>
      <c r="O15" s="15">
        <f t="shared" si="2"/>
        <v>0</v>
      </c>
    </row>
    <row r="16" spans="2:15" x14ac:dyDescent="0.3">
      <c r="B16" s="8" t="s">
        <v>7</v>
      </c>
      <c r="C16" s="2" t="s">
        <v>86</v>
      </c>
      <c r="D16" s="2" t="s">
        <v>87</v>
      </c>
      <c r="E16" s="2" t="s">
        <v>66</v>
      </c>
      <c r="F16" s="35" t="s">
        <v>107</v>
      </c>
      <c r="G16" s="2">
        <v>1</v>
      </c>
      <c r="H16" s="36">
        <v>5</v>
      </c>
      <c r="I16" s="5">
        <v>0.4</v>
      </c>
      <c r="J16" s="5">
        <v>0.4</v>
      </c>
      <c r="K16" s="3">
        <f t="shared" si="0"/>
        <v>2</v>
      </c>
      <c r="L16" s="3">
        <f t="shared" si="1"/>
        <v>2</v>
      </c>
      <c r="M16" s="4">
        <v>0.2</v>
      </c>
      <c r="N16" s="4">
        <v>0</v>
      </c>
      <c r="O16" s="15">
        <f t="shared" si="2"/>
        <v>0.4</v>
      </c>
    </row>
    <row r="17" spans="2:15" x14ac:dyDescent="0.3">
      <c r="B17" s="8"/>
      <c r="C17" s="2"/>
      <c r="D17" s="2"/>
      <c r="E17" s="2"/>
      <c r="F17" s="35" t="s">
        <v>108</v>
      </c>
      <c r="G17" s="2">
        <v>1</v>
      </c>
      <c r="H17" s="40">
        <v>12</v>
      </c>
      <c r="I17" s="5">
        <v>0.1208</v>
      </c>
      <c r="J17" s="5">
        <v>0.1208</v>
      </c>
      <c r="K17" s="3">
        <f t="shared" si="0"/>
        <v>1.4496</v>
      </c>
      <c r="L17" s="3">
        <f t="shared" si="1"/>
        <v>1.4496</v>
      </c>
      <c r="M17" s="4">
        <v>0.05</v>
      </c>
      <c r="N17" s="4">
        <v>0</v>
      </c>
      <c r="O17" s="15">
        <f t="shared" si="2"/>
        <v>7.2480000000000003E-2</v>
      </c>
    </row>
    <row r="18" spans="2:15" x14ac:dyDescent="0.3">
      <c r="B18" s="8"/>
      <c r="C18" s="2"/>
      <c r="D18" s="2"/>
      <c r="E18" s="2"/>
      <c r="F18" s="35" t="s">
        <v>109</v>
      </c>
      <c r="G18" s="2">
        <v>1</v>
      </c>
      <c r="H18" s="40">
        <v>12</v>
      </c>
      <c r="I18" s="5">
        <v>0.58330000000000004</v>
      </c>
      <c r="J18" s="5">
        <v>0.70420000000000005</v>
      </c>
      <c r="K18" s="3">
        <f t="shared" si="0"/>
        <v>6.9996000000000009</v>
      </c>
      <c r="L18" s="3">
        <f t="shared" si="1"/>
        <v>8.4504000000000001</v>
      </c>
      <c r="M18" s="4">
        <v>0.05</v>
      </c>
      <c r="N18" s="4">
        <v>0</v>
      </c>
      <c r="O18" s="15">
        <f t="shared" si="2"/>
        <v>0.34998000000000007</v>
      </c>
    </row>
    <row r="19" spans="2:15" x14ac:dyDescent="0.3">
      <c r="B19" s="8" t="s">
        <v>7</v>
      </c>
      <c r="C19" s="2"/>
      <c r="D19" s="2"/>
      <c r="E19" s="2"/>
      <c r="F19" s="35" t="s">
        <v>110</v>
      </c>
      <c r="G19" s="2">
        <v>1</v>
      </c>
      <c r="H19" s="40">
        <v>12</v>
      </c>
      <c r="I19" s="5">
        <v>2.75E-2</v>
      </c>
      <c r="J19" s="5">
        <v>0.71330000000000005</v>
      </c>
      <c r="K19" s="3">
        <f t="shared" si="0"/>
        <v>0.33</v>
      </c>
      <c r="L19" s="3">
        <f t="shared" si="1"/>
        <v>8.5595999999999997</v>
      </c>
      <c r="M19" s="4">
        <v>0.1</v>
      </c>
      <c r="N19" s="4">
        <v>0</v>
      </c>
      <c r="O19" s="15">
        <f t="shared" si="2"/>
        <v>3.3000000000000002E-2</v>
      </c>
    </row>
    <row r="20" spans="2:15" x14ac:dyDescent="0.3">
      <c r="B20" s="8" t="s">
        <v>7</v>
      </c>
      <c r="C20" s="2" t="s">
        <v>16</v>
      </c>
      <c r="D20" s="2" t="s">
        <v>74</v>
      </c>
      <c r="E20" s="2" t="s">
        <v>67</v>
      </c>
      <c r="F20" s="2" t="s">
        <v>75</v>
      </c>
      <c r="G20" s="2">
        <v>1</v>
      </c>
      <c r="H20" s="9">
        <v>3.3</v>
      </c>
      <c r="I20" s="5">
        <v>0.8</v>
      </c>
      <c r="J20" s="5">
        <v>0.85</v>
      </c>
      <c r="K20" s="3">
        <f t="shared" si="0"/>
        <v>2.64</v>
      </c>
      <c r="L20" s="3">
        <f t="shared" si="1"/>
        <v>2.8049999999999997</v>
      </c>
      <c r="M20" s="4">
        <v>0.05</v>
      </c>
      <c r="N20" s="4">
        <v>0</v>
      </c>
      <c r="O20" s="15">
        <f t="shared" si="2"/>
        <v>0.13200000000000001</v>
      </c>
    </row>
    <row r="21" spans="2:15" x14ac:dyDescent="0.3">
      <c r="B21" s="8" t="s">
        <v>7</v>
      </c>
      <c r="C21" s="2"/>
      <c r="D21" s="2"/>
      <c r="E21" s="2"/>
      <c r="F21" s="2" t="s">
        <v>76</v>
      </c>
      <c r="G21" s="2">
        <v>1</v>
      </c>
      <c r="H21" s="9">
        <v>3.3</v>
      </c>
      <c r="I21" s="5">
        <v>5.5E-2</v>
      </c>
      <c r="J21" s="5">
        <v>0.12</v>
      </c>
      <c r="K21" s="3">
        <f t="shared" si="0"/>
        <v>0.18149999999999999</v>
      </c>
      <c r="L21" s="3">
        <f t="shared" si="1"/>
        <v>0.39599999999999996</v>
      </c>
      <c r="M21" s="4">
        <v>0.95</v>
      </c>
      <c r="N21" s="4">
        <v>0</v>
      </c>
      <c r="O21" s="15">
        <f t="shared" si="2"/>
        <v>0.17242499999999999</v>
      </c>
    </row>
    <row r="22" spans="2:15" x14ac:dyDescent="0.3">
      <c r="B22" s="8" t="s">
        <v>7</v>
      </c>
      <c r="C22" s="2" t="s">
        <v>17</v>
      </c>
      <c r="D22" s="2" t="s">
        <v>73</v>
      </c>
      <c r="E22" s="2" t="s">
        <v>67</v>
      </c>
      <c r="F22" s="2" t="s">
        <v>28</v>
      </c>
      <c r="G22" s="2">
        <v>1</v>
      </c>
      <c r="H22" s="36">
        <v>5</v>
      </c>
      <c r="I22" s="5">
        <v>5.0000000000000001E-4</v>
      </c>
      <c r="J22" s="5">
        <v>2E-3</v>
      </c>
      <c r="K22" s="3">
        <f t="shared" si="0"/>
        <v>2.5000000000000001E-3</v>
      </c>
      <c r="L22" s="3">
        <f t="shared" si="1"/>
        <v>0.01</v>
      </c>
      <c r="M22" s="4">
        <v>1</v>
      </c>
      <c r="N22" s="4">
        <v>0</v>
      </c>
      <c r="O22" s="15">
        <f t="shared" si="2"/>
        <v>2.5000000000000001E-3</v>
      </c>
    </row>
    <row r="23" spans="2:15" x14ac:dyDescent="0.3">
      <c r="B23" s="8" t="s">
        <v>7</v>
      </c>
      <c r="C23" s="2" t="s">
        <v>69</v>
      </c>
      <c r="D23" s="2" t="s">
        <v>72</v>
      </c>
      <c r="E23" s="2" t="s">
        <v>67</v>
      </c>
      <c r="F23" s="2" t="s">
        <v>95</v>
      </c>
      <c r="G23" s="2">
        <v>1</v>
      </c>
      <c r="H23" s="36">
        <v>5</v>
      </c>
      <c r="I23" s="5">
        <v>1.0880000000000001</v>
      </c>
      <c r="J23" s="5">
        <v>1.5</v>
      </c>
      <c r="K23" s="3">
        <f t="shared" si="0"/>
        <v>5.44</v>
      </c>
      <c r="L23" s="3">
        <f t="shared" si="1"/>
        <v>7.5</v>
      </c>
      <c r="M23" s="4">
        <v>0.8</v>
      </c>
      <c r="N23" s="4">
        <v>0</v>
      </c>
      <c r="O23" s="15">
        <f t="shared" si="2"/>
        <v>4.3520000000000003</v>
      </c>
    </row>
    <row r="24" spans="2:15" x14ac:dyDescent="0.3">
      <c r="B24" s="8" t="s">
        <v>7</v>
      </c>
      <c r="C24" s="2"/>
      <c r="D24" s="2"/>
      <c r="E24" s="2"/>
      <c r="F24" s="2" t="s">
        <v>94</v>
      </c>
      <c r="G24" s="2">
        <v>1</v>
      </c>
      <c r="H24" s="36">
        <v>5</v>
      </c>
      <c r="I24" s="5">
        <v>1.1719999999999999</v>
      </c>
      <c r="J24" s="5">
        <v>1.5</v>
      </c>
      <c r="K24" s="3">
        <f t="shared" si="0"/>
        <v>5.8599999999999994</v>
      </c>
      <c r="L24" s="3">
        <f t="shared" si="1"/>
        <v>7.5</v>
      </c>
      <c r="M24" s="4">
        <v>0</v>
      </c>
      <c r="N24" s="4">
        <v>0</v>
      </c>
      <c r="O24" s="15">
        <f t="shared" si="2"/>
        <v>0</v>
      </c>
    </row>
    <row r="25" spans="2:15" x14ac:dyDescent="0.3">
      <c r="B25" s="8" t="s">
        <v>7</v>
      </c>
      <c r="C25" s="2"/>
      <c r="D25" s="2"/>
      <c r="E25" s="2"/>
      <c r="F25" s="2" t="s">
        <v>96</v>
      </c>
      <c r="G25" s="2">
        <v>1</v>
      </c>
      <c r="H25" s="36">
        <v>5</v>
      </c>
      <c r="I25" s="5">
        <v>1.1879999999999999</v>
      </c>
      <c r="J25" s="5">
        <v>1.5</v>
      </c>
      <c r="K25" s="3">
        <f t="shared" si="0"/>
        <v>5.9399999999999995</v>
      </c>
      <c r="L25" s="3">
        <f t="shared" si="1"/>
        <v>7.5</v>
      </c>
      <c r="M25" s="4">
        <v>0.2</v>
      </c>
      <c r="N25" s="4">
        <v>0</v>
      </c>
      <c r="O25" s="15">
        <f t="shared" si="2"/>
        <v>1.1879999999999999</v>
      </c>
    </row>
    <row r="26" spans="2:15" x14ac:dyDescent="0.3">
      <c r="B26" s="8" t="s">
        <v>7</v>
      </c>
      <c r="C26" s="2" t="s">
        <v>18</v>
      </c>
      <c r="D26" s="2" t="s">
        <v>71</v>
      </c>
      <c r="E26" s="2" t="s">
        <v>67</v>
      </c>
      <c r="F26" s="1" t="s">
        <v>101</v>
      </c>
      <c r="G26" s="2">
        <v>1</v>
      </c>
      <c r="H26" s="6">
        <v>12</v>
      </c>
      <c r="I26" s="5">
        <v>1.4999999999999999E-4</v>
      </c>
      <c r="J26" s="5">
        <v>1.4999999999999999E-4</v>
      </c>
      <c r="K26" s="3">
        <f t="shared" si="0"/>
        <v>1.8E-3</v>
      </c>
      <c r="L26" s="3">
        <f t="shared" si="1"/>
        <v>1.8E-3</v>
      </c>
      <c r="M26" s="4">
        <v>0</v>
      </c>
      <c r="N26" s="4">
        <v>0</v>
      </c>
      <c r="O26" s="15">
        <f t="shared" si="2"/>
        <v>0</v>
      </c>
    </row>
    <row r="27" spans="2:15" x14ac:dyDescent="0.3">
      <c r="B27" s="8" t="s">
        <v>7</v>
      </c>
      <c r="C27" s="2"/>
      <c r="D27" s="2"/>
      <c r="E27" s="2"/>
      <c r="F27" s="2" t="s">
        <v>27</v>
      </c>
      <c r="G27" s="2">
        <v>1</v>
      </c>
      <c r="H27" s="6">
        <v>12</v>
      </c>
      <c r="I27" s="5">
        <v>1.7000000000000001E-2</v>
      </c>
      <c r="J27" s="5">
        <v>1.7000000000000001E-2</v>
      </c>
      <c r="K27" s="3">
        <f t="shared" si="0"/>
        <v>0.20400000000000001</v>
      </c>
      <c r="L27" s="3">
        <f t="shared" si="1"/>
        <v>0.20400000000000001</v>
      </c>
      <c r="M27" s="4">
        <v>0</v>
      </c>
      <c r="N27" s="4">
        <v>0</v>
      </c>
      <c r="O27" s="15">
        <f t="shared" si="2"/>
        <v>0</v>
      </c>
    </row>
    <row r="28" spans="2:15" x14ac:dyDescent="0.3">
      <c r="B28" s="8" t="s">
        <v>7</v>
      </c>
      <c r="C28" s="2"/>
      <c r="D28" s="2"/>
      <c r="E28" s="2"/>
      <c r="F28" s="2" t="s">
        <v>76</v>
      </c>
      <c r="G28" s="2">
        <v>1</v>
      </c>
      <c r="H28" s="6">
        <v>12</v>
      </c>
      <c r="I28" s="5">
        <v>6.7000000000000004E-2</v>
      </c>
      <c r="J28" s="5">
        <v>6.7000000000000004E-2</v>
      </c>
      <c r="K28" s="3">
        <f t="shared" si="0"/>
        <v>0.80400000000000005</v>
      </c>
      <c r="L28" s="3">
        <f t="shared" si="1"/>
        <v>0.80400000000000005</v>
      </c>
      <c r="M28" s="4">
        <v>0</v>
      </c>
      <c r="N28" s="4">
        <v>0</v>
      </c>
      <c r="O28" s="15">
        <f t="shared" si="2"/>
        <v>0</v>
      </c>
    </row>
    <row r="29" spans="2:15" x14ac:dyDescent="0.3">
      <c r="B29" s="8" t="s">
        <v>7</v>
      </c>
      <c r="C29" s="2"/>
      <c r="D29" s="2"/>
      <c r="E29" s="2"/>
      <c r="F29" s="2" t="s">
        <v>100</v>
      </c>
      <c r="G29" s="2">
        <v>1</v>
      </c>
      <c r="H29" s="6">
        <v>12</v>
      </c>
      <c r="I29" s="5">
        <v>0.05</v>
      </c>
      <c r="J29" s="5">
        <v>0.05</v>
      </c>
      <c r="K29" s="3">
        <f t="shared" si="0"/>
        <v>0.60000000000000009</v>
      </c>
      <c r="L29" s="3">
        <f t="shared" si="1"/>
        <v>0.60000000000000009</v>
      </c>
      <c r="M29" s="4">
        <v>0</v>
      </c>
      <c r="N29" s="4">
        <v>0</v>
      </c>
      <c r="O29" s="15">
        <f t="shared" si="2"/>
        <v>0</v>
      </c>
    </row>
    <row r="30" spans="2:15" x14ac:dyDescent="0.3">
      <c r="B30" s="8" t="s">
        <v>7</v>
      </c>
      <c r="C30" s="2"/>
      <c r="D30" s="2"/>
      <c r="E30" s="2"/>
      <c r="F30" s="2" t="s">
        <v>75</v>
      </c>
      <c r="G30" s="2">
        <v>1</v>
      </c>
      <c r="H30" s="6">
        <v>12</v>
      </c>
      <c r="I30" s="5">
        <v>0.89170000000000005</v>
      </c>
      <c r="J30" s="5">
        <v>0.91669999999999996</v>
      </c>
      <c r="K30" s="3">
        <f t="shared" si="0"/>
        <v>10.7004</v>
      </c>
      <c r="L30" s="3">
        <f t="shared" si="1"/>
        <v>11.000399999999999</v>
      </c>
      <c r="M30" s="4">
        <v>0</v>
      </c>
      <c r="N30" s="4">
        <v>0</v>
      </c>
      <c r="O30" s="15">
        <f t="shared" si="2"/>
        <v>0</v>
      </c>
    </row>
    <row r="31" spans="2:15" x14ac:dyDescent="0.3">
      <c r="B31" s="8" t="s">
        <v>7</v>
      </c>
      <c r="C31" s="2" t="s">
        <v>18</v>
      </c>
      <c r="D31" s="2" t="s">
        <v>70</v>
      </c>
      <c r="E31" s="2" t="s">
        <v>67</v>
      </c>
      <c r="F31" s="1" t="s">
        <v>101</v>
      </c>
      <c r="G31" s="2">
        <v>1</v>
      </c>
      <c r="H31" s="6">
        <v>12</v>
      </c>
      <c r="I31" s="5">
        <v>1.4999999999999999E-4</v>
      </c>
      <c r="J31" s="5">
        <v>1.4999999999999999E-4</v>
      </c>
      <c r="K31" s="3">
        <f t="shared" si="0"/>
        <v>1.8E-3</v>
      </c>
      <c r="L31" s="3">
        <f t="shared" si="1"/>
        <v>1.8E-3</v>
      </c>
      <c r="M31" s="4">
        <v>0</v>
      </c>
      <c r="N31" s="4">
        <v>0</v>
      </c>
      <c r="O31" s="15">
        <f t="shared" si="2"/>
        <v>0</v>
      </c>
    </row>
    <row r="32" spans="2:15" x14ac:dyDescent="0.3">
      <c r="B32" s="8" t="s">
        <v>7</v>
      </c>
      <c r="C32" s="2"/>
      <c r="D32" s="2"/>
      <c r="E32" s="2"/>
      <c r="F32" s="2" t="s">
        <v>27</v>
      </c>
      <c r="G32" s="2">
        <v>1</v>
      </c>
      <c r="H32" s="6">
        <v>12</v>
      </c>
      <c r="I32" s="5">
        <v>1.7000000000000001E-2</v>
      </c>
      <c r="J32" s="5">
        <v>1.7000000000000001E-2</v>
      </c>
      <c r="K32" s="3">
        <f t="shared" si="0"/>
        <v>0.20400000000000001</v>
      </c>
      <c r="L32" s="3">
        <f t="shared" si="1"/>
        <v>0.20400000000000001</v>
      </c>
      <c r="M32" s="4">
        <v>0</v>
      </c>
      <c r="N32" s="4">
        <v>0</v>
      </c>
      <c r="O32" s="15">
        <f t="shared" si="2"/>
        <v>0</v>
      </c>
    </row>
    <row r="33" spans="2:17" x14ac:dyDescent="0.3">
      <c r="B33" s="8" t="s">
        <v>7</v>
      </c>
      <c r="C33" s="2"/>
      <c r="D33" s="2"/>
      <c r="E33" s="2"/>
      <c r="F33" s="2" t="s">
        <v>76</v>
      </c>
      <c r="G33" s="2">
        <v>1</v>
      </c>
      <c r="H33" s="6">
        <v>12</v>
      </c>
      <c r="I33" s="5">
        <v>6.7000000000000004E-2</v>
      </c>
      <c r="J33" s="5">
        <v>6.7000000000000004E-2</v>
      </c>
      <c r="K33" s="3">
        <f t="shared" si="0"/>
        <v>0.80400000000000005</v>
      </c>
      <c r="L33" s="3">
        <f t="shared" si="1"/>
        <v>0.80400000000000005</v>
      </c>
      <c r="M33" s="4">
        <v>0.75</v>
      </c>
      <c r="N33" s="4">
        <v>0</v>
      </c>
      <c r="O33" s="15">
        <f t="shared" si="2"/>
        <v>0.60299999999999998</v>
      </c>
    </row>
    <row r="34" spans="2:17" x14ac:dyDescent="0.3">
      <c r="B34" s="8" t="s">
        <v>7</v>
      </c>
      <c r="C34" s="2"/>
      <c r="D34" s="2"/>
      <c r="E34" s="2"/>
      <c r="F34" s="2" t="s">
        <v>100</v>
      </c>
      <c r="G34" s="2">
        <v>1</v>
      </c>
      <c r="H34" s="6">
        <v>12</v>
      </c>
      <c r="I34" s="5">
        <v>0.05</v>
      </c>
      <c r="J34" s="5">
        <v>0.05</v>
      </c>
      <c r="K34" s="3">
        <f t="shared" si="0"/>
        <v>0.60000000000000009</v>
      </c>
      <c r="L34" s="3">
        <f t="shared" si="1"/>
        <v>0.60000000000000009</v>
      </c>
      <c r="M34" s="4">
        <v>0.05</v>
      </c>
      <c r="N34" s="4">
        <v>0</v>
      </c>
      <c r="O34" s="15">
        <f t="shared" si="2"/>
        <v>3.0000000000000006E-2</v>
      </c>
    </row>
    <row r="35" spans="2:17" x14ac:dyDescent="0.3">
      <c r="B35" s="8" t="s">
        <v>7</v>
      </c>
      <c r="C35" s="2"/>
      <c r="D35" s="2"/>
      <c r="E35" s="2"/>
      <c r="F35" s="2" t="s">
        <v>75</v>
      </c>
      <c r="G35" s="2">
        <v>1</v>
      </c>
      <c r="H35" s="6">
        <v>12</v>
      </c>
      <c r="I35" s="5">
        <v>0.89170000000000005</v>
      </c>
      <c r="J35" s="5">
        <v>0.91669999999999996</v>
      </c>
      <c r="K35" s="3">
        <f t="shared" si="0"/>
        <v>10.7004</v>
      </c>
      <c r="L35" s="3">
        <f t="shared" si="1"/>
        <v>11.000399999999999</v>
      </c>
      <c r="M35" s="4">
        <v>0.2</v>
      </c>
      <c r="N35" s="4">
        <v>0</v>
      </c>
      <c r="O35" s="15">
        <f t="shared" si="2"/>
        <v>2.1400800000000002</v>
      </c>
    </row>
    <row r="36" spans="2:17" x14ac:dyDescent="0.3">
      <c r="B36" s="8" t="s">
        <v>7</v>
      </c>
      <c r="C36" s="2" t="s">
        <v>102</v>
      </c>
      <c r="D36" s="2" t="s">
        <v>103</v>
      </c>
      <c r="E36" s="2" t="s">
        <v>67</v>
      </c>
      <c r="F36" s="2" t="s">
        <v>127</v>
      </c>
      <c r="G36" s="2">
        <v>1</v>
      </c>
      <c r="H36" s="36">
        <v>5</v>
      </c>
      <c r="I36" s="5">
        <f>(0.7+3.4)/5</f>
        <v>0.82</v>
      </c>
      <c r="J36" s="5">
        <f>(0.8+4.3)/5</f>
        <v>1.02</v>
      </c>
      <c r="K36" s="3">
        <f t="shared" si="0"/>
        <v>4.0999999999999996</v>
      </c>
      <c r="L36" s="3">
        <f t="shared" si="1"/>
        <v>5.0999999999999996</v>
      </c>
      <c r="M36" s="4">
        <v>0</v>
      </c>
      <c r="N36" s="4">
        <v>0</v>
      </c>
      <c r="O36" s="15">
        <f t="shared" si="2"/>
        <v>0</v>
      </c>
    </row>
    <row r="37" spans="2:17" x14ac:dyDescent="0.3">
      <c r="B37" s="8" t="s">
        <v>7</v>
      </c>
      <c r="C37" s="2"/>
      <c r="D37" s="2"/>
      <c r="E37" s="2"/>
      <c r="F37" s="1" t="s">
        <v>129</v>
      </c>
      <c r="G37" s="2">
        <v>1</v>
      </c>
      <c r="H37" s="36">
        <v>5</v>
      </c>
      <c r="I37" s="5">
        <f>(2.4+4)/5</f>
        <v>1.28</v>
      </c>
      <c r="J37" s="5">
        <f>(3+5.1)/5</f>
        <v>1.6199999999999999</v>
      </c>
      <c r="K37" s="3">
        <f t="shared" si="0"/>
        <v>6.4</v>
      </c>
      <c r="L37" s="3">
        <f t="shared" si="1"/>
        <v>8.1</v>
      </c>
      <c r="M37" s="4">
        <v>0</v>
      </c>
      <c r="N37" s="4">
        <v>0</v>
      </c>
      <c r="O37" s="15">
        <f t="shared" si="2"/>
        <v>0</v>
      </c>
    </row>
    <row r="38" spans="2:17" x14ac:dyDescent="0.3">
      <c r="B38" s="8" t="s">
        <v>7</v>
      </c>
      <c r="C38" s="2"/>
      <c r="D38" s="2"/>
      <c r="E38" s="2"/>
      <c r="F38" s="2" t="s">
        <v>128</v>
      </c>
      <c r="G38" s="2">
        <v>1</v>
      </c>
      <c r="H38" s="40">
        <v>12</v>
      </c>
      <c r="I38" s="5">
        <f>0/28</f>
        <v>0</v>
      </c>
      <c r="J38" s="5">
        <f>0.1/28</f>
        <v>3.5714285714285718E-3</v>
      </c>
      <c r="K38" s="3">
        <f t="shared" si="0"/>
        <v>0</v>
      </c>
      <c r="L38" s="3">
        <f t="shared" si="1"/>
        <v>4.2857142857142858E-2</v>
      </c>
      <c r="M38" s="4">
        <v>0</v>
      </c>
      <c r="N38" s="4">
        <v>0</v>
      </c>
      <c r="O38" s="15">
        <f t="shared" si="2"/>
        <v>0</v>
      </c>
    </row>
    <row r="39" spans="2:17" x14ac:dyDescent="0.3">
      <c r="B39" s="8" t="s">
        <v>7</v>
      </c>
      <c r="C39" s="2"/>
      <c r="D39" s="2"/>
      <c r="E39" s="2"/>
      <c r="F39" s="2" t="s">
        <v>130</v>
      </c>
      <c r="G39" s="2">
        <v>1</v>
      </c>
      <c r="H39" s="40">
        <v>12</v>
      </c>
      <c r="I39" s="5">
        <f>18.1/28</f>
        <v>0.64642857142857146</v>
      </c>
      <c r="J39" s="5">
        <f>25/28</f>
        <v>0.8928571428571429</v>
      </c>
      <c r="K39" s="3">
        <f t="shared" si="0"/>
        <v>7.757142857142858</v>
      </c>
      <c r="L39" s="3">
        <f t="shared" si="1"/>
        <v>10.714285714285715</v>
      </c>
      <c r="M39" s="4">
        <v>0</v>
      </c>
      <c r="N39" s="4">
        <v>0</v>
      </c>
      <c r="O39" s="15">
        <f t="shared" si="2"/>
        <v>0</v>
      </c>
    </row>
    <row r="40" spans="2:17" x14ac:dyDescent="0.3">
      <c r="B40" s="8" t="s">
        <v>7</v>
      </c>
      <c r="C40" s="2" t="s">
        <v>24</v>
      </c>
      <c r="D40" s="2" t="s">
        <v>104</v>
      </c>
      <c r="E40" s="2" t="s">
        <v>23</v>
      </c>
      <c r="F40" s="2" t="s">
        <v>105</v>
      </c>
      <c r="G40" s="2">
        <v>1</v>
      </c>
      <c r="H40" s="34">
        <v>14.8</v>
      </c>
      <c r="I40" s="5">
        <f>(0.165+0.08*3*2+0.1*3.3)/14.8</f>
        <v>6.5878378378378386E-2</v>
      </c>
      <c r="J40" s="5">
        <f>(0.165+0.08*3*2+0.5*3.3)/14.8</f>
        <v>0.15506756756756757</v>
      </c>
      <c r="K40" s="3">
        <f t="shared" si="0"/>
        <v>0.9750000000000002</v>
      </c>
      <c r="L40" s="3">
        <f t="shared" si="1"/>
        <v>2.2949999999999999</v>
      </c>
      <c r="M40" s="4">
        <f t="shared" ref="M40" si="3">1-N40</f>
        <v>1</v>
      </c>
      <c r="N40" s="4">
        <v>0</v>
      </c>
      <c r="O40" s="15">
        <f t="shared" si="2"/>
        <v>0.9750000000000002</v>
      </c>
    </row>
    <row r="41" spans="2:17" x14ac:dyDescent="0.3">
      <c r="B41" s="8" t="s">
        <v>7</v>
      </c>
      <c r="C41" s="2" t="s">
        <v>25</v>
      </c>
      <c r="D41" s="2" t="s">
        <v>106</v>
      </c>
      <c r="E41" s="2" t="s">
        <v>23</v>
      </c>
      <c r="F41" s="2" t="s">
        <v>30</v>
      </c>
      <c r="G41" s="2">
        <v>1</v>
      </c>
      <c r="H41" s="34">
        <v>14.8</v>
      </c>
      <c r="I41" s="5">
        <v>4.0000000000000001E-3</v>
      </c>
      <c r="J41" s="5">
        <v>0.40539999999999998</v>
      </c>
      <c r="K41" s="3">
        <f t="shared" si="0"/>
        <v>5.9200000000000003E-2</v>
      </c>
      <c r="L41" s="3">
        <f t="shared" si="1"/>
        <v>5.9999200000000004</v>
      </c>
      <c r="M41" s="4">
        <v>0</v>
      </c>
      <c r="N41" s="4">
        <v>0.05</v>
      </c>
      <c r="O41" s="15">
        <f t="shared" si="2"/>
        <v>0.29999600000000004</v>
      </c>
    </row>
    <row r="42" spans="2:17" x14ac:dyDescent="0.3">
      <c r="B42" s="12" t="s">
        <v>37</v>
      </c>
      <c r="C42" s="12" t="s">
        <v>41</v>
      </c>
      <c r="D42" s="11">
        <v>20</v>
      </c>
      <c r="J42" s="29"/>
      <c r="M42" s="12" t="s">
        <v>32</v>
      </c>
      <c r="N42" s="12" t="s">
        <v>33</v>
      </c>
      <c r="O42" s="3">
        <f>SUM(O5:O41)/($D$44/100)</f>
        <v>15.812178888888887</v>
      </c>
    </row>
    <row r="43" spans="2:17" x14ac:dyDescent="0.3">
      <c r="B43" s="13"/>
      <c r="C43" s="12" t="s">
        <v>38</v>
      </c>
      <c r="D43" s="11">
        <v>40</v>
      </c>
      <c r="M43" s="12" t="s">
        <v>34</v>
      </c>
      <c r="N43" s="12" t="s">
        <v>112</v>
      </c>
      <c r="O43" s="3">
        <f>(L7*IF(OR(M7&gt;0, N7&gt;0), 1, 0)+L9*IF(OR(M9&gt;0, N9&gt;0), 1, 0)+MAX(L20*IF(OR(M20&gt;0, N20&gt;0), 1, 0), L21*IF(OR(M21&gt;0, N21&gt;0), 1, 0)))/3.3/($D$44/100)</f>
        <v>1.7555555555555553</v>
      </c>
      <c r="P43" s="1" t="s">
        <v>35</v>
      </c>
      <c r="Q43" s="1" t="s">
        <v>36</v>
      </c>
    </row>
    <row r="44" spans="2:17" x14ac:dyDescent="0.3">
      <c r="B44" s="13"/>
      <c r="C44" s="12" t="s">
        <v>39</v>
      </c>
      <c r="D44" s="11">
        <v>90</v>
      </c>
      <c r="M44" s="12"/>
      <c r="N44" s="12" t="s">
        <v>113</v>
      </c>
      <c r="O44" s="3">
        <f>(L6*IF(OR(M6&gt;0, N6&gt;0), 1, 0)+L8*IF(OR(M8&gt;0, N8&gt;0), 1, 0)+L16*IF(OR(M16&gt;0, N16&gt;0), 1, 0)+L22*IF(OR(M22&gt;0, N22&gt;0), 1, 0)+MAX(L23*IF(OR(M23&gt;0, N23&gt;0), 1, 0), L24*IF(OR(M24&gt;0, N24&gt;0), 1, 0), L25*IF(OR(M25&gt;0, N25&gt;0), 1, 0))+MAX(L36*IF(OR(M36&gt;0, N36&gt;0), 1, 0),L37*IF(OR(M37&gt;0, N37&gt;0), 1, 0)))/5/($D$44/100)</f>
        <v>2.6466666666666669</v>
      </c>
      <c r="P44" s="37" t="s">
        <v>35</v>
      </c>
      <c r="Q44" s="1" t="s">
        <v>36</v>
      </c>
    </row>
    <row r="45" spans="2:17" x14ac:dyDescent="0.3">
      <c r="B45" s="13"/>
      <c r="C45" s="12" t="s">
        <v>40</v>
      </c>
      <c r="D45" s="11">
        <v>14.8</v>
      </c>
      <c r="M45" s="12"/>
      <c r="N45" s="12" t="s">
        <v>114</v>
      </c>
      <c r="O45" s="3">
        <f>(MAX(L26*IF(OR(M26&gt;0, N26&gt;0), 1, 0), L27*IF(OR(M27&gt;0, N27&gt;0), 1, 0), L28*IF(OR(M28&gt;0, N28&gt;0), 1, 0), L29*IF(OR(M29&gt;0, N29&gt;0), 1, 0), L30*IF(OR(M30&gt;0, N30&gt;0), 1, 0))+MAX(L31*IF(OR(M31&gt;0, N31&gt;0), 1, 0), L32*IF(OR(M32&gt;0, N32&gt;0), 1, 0), L33*IF(OR(M33&gt;0, N33&gt;0), 1, 0), L34*IF(OR(M34&gt;0, N34&gt;0), 1, 0), L35*IF(OR(M35&gt;0, N35&gt;0), 1, 0)))/12/($D$44/100)</f>
        <v>1.0185555555555554</v>
      </c>
      <c r="P45" s="1" t="s">
        <v>35</v>
      </c>
      <c r="Q45" s="1" t="s">
        <v>36</v>
      </c>
    </row>
    <row r="46" spans="2:17" x14ac:dyDescent="0.3">
      <c r="B46" s="13"/>
      <c r="C46" s="12" t="s">
        <v>47</v>
      </c>
      <c r="D46" s="11">
        <f>IF($D52 &lt; ASIN($D49/($D49+$D50))*180/PI(), (360-2*ASIN((((1/COS($D$52*PI()/180))^2)*((($D$49/($D$49+$D$50))^2-(SIN($D$52*PI()/180))^2)))^0.5)*180/PI())/360*$D$51, $D51)</f>
        <v>4648.3432480072397</v>
      </c>
      <c r="M46" s="12"/>
      <c r="N46" s="12" t="s">
        <v>135</v>
      </c>
      <c r="O46" s="3">
        <f>(L5*IF(OR(M5&gt;0, N5&gt;0), 1, 0)+MAX(L10*IF(OR(M10&gt;0, N10&gt;0), 1, 0), L11*IF(OR(M11&gt;0, N11&gt;0), 1, 0), L12*IF(OR(M12&gt;0, N12&gt;0), 1, 0), L13*IF(OR(M13&gt;0, N13&gt;0), 1, 0), L14*IF(OR(M14&gt;0, N14&gt;0), 1, 0), L15*IF(OR(M15&gt;0, N15&gt;0), 1, 0))+MAX(L17*IF(OR(M17&gt;0, N17&gt;0), 1, 0), L18*IF(OR(M18&gt;0, N18&gt;0), 1, 0), L19*IF(OR(M19&gt;0, N19&gt;0), 1, 0))+MAX(L38*IF(OR(M38&gt;0, N38&gt;0), 1, 0), L39*IF(OR(M39&gt;0, N39&gt;0), 1, 0)))/12/($D$44/100)</f>
        <v>1.0212592592592593</v>
      </c>
      <c r="P46" s="1" t="s">
        <v>35</v>
      </c>
      <c r="Q46" s="1" t="s">
        <v>61</v>
      </c>
    </row>
    <row r="47" spans="2:17" x14ac:dyDescent="0.3">
      <c r="B47" s="13"/>
      <c r="C47" s="12" t="s">
        <v>42</v>
      </c>
      <c r="D47" s="11">
        <f>D51-D46</f>
        <v>1152.8954939512087</v>
      </c>
      <c r="M47" s="12"/>
      <c r="N47" s="12" t="s">
        <v>115</v>
      </c>
      <c r="O47" s="3">
        <f>(L40*IF(OR(M40&gt;0, N40&gt;0), 1, 0)+L41*IF(OR(M41&gt;0, N41&gt;0), 1, 0))/14.8/($D$44/100)</f>
        <v>0.62274174174174179</v>
      </c>
      <c r="P47" s="1" t="s">
        <v>62</v>
      </c>
      <c r="Q47" s="1" t="s">
        <v>61</v>
      </c>
    </row>
    <row r="48" spans="2:17" x14ac:dyDescent="0.3">
      <c r="B48" s="14"/>
      <c r="C48" s="12" t="s">
        <v>48</v>
      </c>
      <c r="D48" s="3">
        <v>398600</v>
      </c>
      <c r="M48" s="12"/>
      <c r="N48" s="12" t="s">
        <v>63</v>
      </c>
      <c r="O48" s="3">
        <f>SUM(O43:O47)</f>
        <v>7.0647787787787788</v>
      </c>
      <c r="P48" s="1" t="s">
        <v>119</v>
      </c>
      <c r="Q48" s="1" t="s">
        <v>118</v>
      </c>
    </row>
    <row r="49" spans="2:16" x14ac:dyDescent="0.3">
      <c r="B49" s="14"/>
      <c r="C49" s="12" t="s">
        <v>43</v>
      </c>
      <c r="D49" s="3">
        <v>6378.14</v>
      </c>
      <c r="M49" s="12" t="s">
        <v>60</v>
      </c>
      <c r="N49" s="12" t="s">
        <v>64</v>
      </c>
      <c r="O49" s="3">
        <f>(2.246*0.4866)*(4*1*4*2)*(D46/D51)</f>
        <v>28.022655412759107</v>
      </c>
      <c r="P49" s="1" t="s">
        <v>111</v>
      </c>
    </row>
    <row r="50" spans="2:16" x14ac:dyDescent="0.3">
      <c r="B50" s="14"/>
      <c r="C50" s="12" t="s">
        <v>44</v>
      </c>
      <c r="D50" s="3">
        <v>600</v>
      </c>
      <c r="M50" s="12" t="s">
        <v>59</v>
      </c>
      <c r="N50" s="12" t="s">
        <v>55</v>
      </c>
      <c r="O50" s="3">
        <f>O49-O42</f>
        <v>12.21047652387022</v>
      </c>
    </row>
    <row r="51" spans="2:16" x14ac:dyDescent="0.3">
      <c r="B51" s="14"/>
      <c r="C51" s="12" t="s">
        <v>45</v>
      </c>
      <c r="D51" s="3">
        <f>2*PI()*SQRT(($D$49+$D$50)^3/$D$48)</f>
        <v>5801.2387419584484</v>
      </c>
      <c r="M51" s="12" t="s">
        <v>58</v>
      </c>
      <c r="N51" s="12" t="s">
        <v>55</v>
      </c>
      <c r="O51" s="3">
        <f>O50/(O49-O50)*100</f>
        <v>77.221973073239397</v>
      </c>
      <c r="P51" s="1" t="s">
        <v>121</v>
      </c>
    </row>
    <row r="52" spans="2:16" x14ac:dyDescent="0.3">
      <c r="B52" s="14"/>
      <c r="C52" s="12" t="s">
        <v>46</v>
      </c>
      <c r="D52" s="3">
        <v>60</v>
      </c>
      <c r="E52" s="1" t="s">
        <v>120</v>
      </c>
      <c r="M52" s="12" t="s">
        <v>57</v>
      </c>
      <c r="N52" s="12" t="s">
        <v>55</v>
      </c>
      <c r="O52" s="3">
        <f>O42*$D$47/3600/($D44/100*$D$42/100)*(1+$D$43/100)</f>
        <v>39.385348312917593</v>
      </c>
    </row>
    <row r="53" spans="2:16" x14ac:dyDescent="0.3">
      <c r="C53" s="10"/>
      <c r="D53" s="7"/>
      <c r="M53" s="12" t="s">
        <v>56</v>
      </c>
      <c r="N53" s="12" t="s">
        <v>55</v>
      </c>
      <c r="O53" s="3">
        <f>O42*$D$47/3600/($D44/100*$D$42/100)*(1+$D$43/100)/$D$45</f>
        <v>2.6611721833052426</v>
      </c>
    </row>
    <row r="55" spans="2:16" x14ac:dyDescent="0.3">
      <c r="N55" s="33" t="s">
        <v>65</v>
      </c>
      <c r="O55" s="7">
        <f>(O49-O42)/O49*100</f>
        <v>43.573588384170826</v>
      </c>
      <c r="P55" s="1" t="s">
        <v>22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A9A0B-40DD-4C2C-B133-3ACFBFA01C22}">
  <dimension ref="B2:Q55"/>
  <sheetViews>
    <sheetView topLeftCell="D1" zoomScale="85" zoomScaleNormal="85" workbookViewId="0">
      <selection activeCell="N46" sqref="N46:O46"/>
    </sheetView>
  </sheetViews>
  <sheetFormatPr defaultRowHeight="12.75" x14ac:dyDescent="0.3"/>
  <cols>
    <col min="1" max="1" width="9" style="1"/>
    <col min="2" max="2" width="10.625" style="1" customWidth="1"/>
    <col min="3" max="6" width="20.625" style="1" customWidth="1"/>
    <col min="7" max="7" width="10.625" style="1" customWidth="1"/>
    <col min="8" max="15" width="20.625" style="1" customWidth="1"/>
    <col min="16" max="17" width="10.625" style="1" customWidth="1"/>
    <col min="18" max="16384" width="9" style="1"/>
  </cols>
  <sheetData>
    <row r="2" spans="2:15" x14ac:dyDescent="0.3">
      <c r="B2" s="12" t="s">
        <v>5</v>
      </c>
      <c r="C2" s="12" t="s">
        <v>1</v>
      </c>
      <c r="D2" s="12" t="s">
        <v>15</v>
      </c>
      <c r="E2" s="12" t="s">
        <v>0</v>
      </c>
      <c r="F2" s="12" t="s">
        <v>26</v>
      </c>
      <c r="G2" s="12" t="s">
        <v>19</v>
      </c>
      <c r="H2" s="12" t="s">
        <v>2</v>
      </c>
      <c r="I2" s="12" t="s">
        <v>3</v>
      </c>
      <c r="J2" s="12" t="s">
        <v>3</v>
      </c>
      <c r="K2" s="12" t="s">
        <v>4</v>
      </c>
      <c r="L2" s="12" t="s">
        <v>4</v>
      </c>
      <c r="M2" s="12" t="s">
        <v>21</v>
      </c>
      <c r="N2" s="12" t="s">
        <v>21</v>
      </c>
      <c r="O2" s="12" t="s">
        <v>4</v>
      </c>
    </row>
    <row r="3" spans="2:15" x14ac:dyDescent="0.3">
      <c r="B3" s="12" t="s">
        <v>26</v>
      </c>
      <c r="C3" s="12" t="s">
        <v>7</v>
      </c>
      <c r="D3" s="12" t="s">
        <v>7</v>
      </c>
      <c r="E3" s="12" t="s">
        <v>7</v>
      </c>
      <c r="F3" s="12" t="s">
        <v>11</v>
      </c>
      <c r="G3" s="12" t="s">
        <v>7</v>
      </c>
      <c r="H3" s="12" t="s">
        <v>7</v>
      </c>
      <c r="I3" s="12" t="s">
        <v>11</v>
      </c>
      <c r="J3" s="12" t="s">
        <v>12</v>
      </c>
      <c r="K3" s="12" t="s">
        <v>11</v>
      </c>
      <c r="L3" s="12" t="s">
        <v>12</v>
      </c>
      <c r="M3" s="12" t="s">
        <v>11</v>
      </c>
      <c r="N3" s="12" t="s">
        <v>12</v>
      </c>
      <c r="O3" s="12" t="s">
        <v>31</v>
      </c>
    </row>
    <row r="4" spans="2:15" x14ac:dyDescent="0.3">
      <c r="B4" s="12" t="s">
        <v>6</v>
      </c>
      <c r="C4" s="12" t="s">
        <v>7</v>
      </c>
      <c r="D4" s="12" t="s">
        <v>7</v>
      </c>
      <c r="E4" s="12" t="s">
        <v>7</v>
      </c>
      <c r="F4" s="12"/>
      <c r="G4" s="12" t="s">
        <v>20</v>
      </c>
      <c r="H4" s="12" t="s">
        <v>8</v>
      </c>
      <c r="I4" s="12" t="s">
        <v>9</v>
      </c>
      <c r="J4" s="12" t="s">
        <v>9</v>
      </c>
      <c r="K4" s="12" t="s">
        <v>10</v>
      </c>
      <c r="L4" s="12" t="s">
        <v>10</v>
      </c>
      <c r="M4" s="12" t="s">
        <v>22</v>
      </c>
      <c r="N4" s="12" t="s">
        <v>22</v>
      </c>
      <c r="O4" s="12" t="s">
        <v>10</v>
      </c>
    </row>
    <row r="5" spans="2:15" x14ac:dyDescent="0.3">
      <c r="B5" s="8" t="s">
        <v>7</v>
      </c>
      <c r="C5" s="2" t="s">
        <v>93</v>
      </c>
      <c r="D5" s="2" t="s">
        <v>117</v>
      </c>
      <c r="E5" s="2" t="s">
        <v>13</v>
      </c>
      <c r="F5" s="2" t="s">
        <v>29</v>
      </c>
      <c r="G5" s="2">
        <v>1</v>
      </c>
      <c r="H5" s="40">
        <v>12</v>
      </c>
      <c r="I5" s="5">
        <v>1</v>
      </c>
      <c r="J5" s="5">
        <v>1.5</v>
      </c>
      <c r="K5" s="3">
        <f>H5*I5*G5</f>
        <v>12</v>
      </c>
      <c r="L5" s="3">
        <f>H5*J5*G5</f>
        <v>18</v>
      </c>
      <c r="M5" s="4">
        <v>0</v>
      </c>
      <c r="N5" s="4">
        <v>0</v>
      </c>
      <c r="O5" s="15">
        <f>K5*M5+L5*N5</f>
        <v>0</v>
      </c>
    </row>
    <row r="6" spans="2:15" x14ac:dyDescent="0.3">
      <c r="B6" s="8" t="s">
        <v>7</v>
      </c>
      <c r="C6" s="2" t="s">
        <v>97</v>
      </c>
      <c r="D6" s="2" t="s">
        <v>98</v>
      </c>
      <c r="E6" s="2" t="s">
        <v>13</v>
      </c>
      <c r="F6" s="2" t="s">
        <v>28</v>
      </c>
      <c r="G6" s="2">
        <v>1</v>
      </c>
      <c r="H6" s="36">
        <v>5</v>
      </c>
      <c r="I6" s="5">
        <v>0.26</v>
      </c>
      <c r="J6" s="5">
        <v>0.3</v>
      </c>
      <c r="K6" s="3">
        <f t="shared" ref="K6:K41" si="0">H6*I6*G6</f>
        <v>1.3</v>
      </c>
      <c r="L6" s="3">
        <f t="shared" ref="L6:L41" si="1">H6*J6*G6</f>
        <v>1.5</v>
      </c>
      <c r="M6" s="4">
        <v>1</v>
      </c>
      <c r="N6" s="4">
        <v>0</v>
      </c>
      <c r="O6" s="15">
        <f t="shared" ref="O6:O41" si="2">K6*M6+L6*N6</f>
        <v>1.3</v>
      </c>
    </row>
    <row r="7" spans="2:15" x14ac:dyDescent="0.3">
      <c r="B7" s="8" t="s">
        <v>7</v>
      </c>
      <c r="C7" s="2" t="s">
        <v>79</v>
      </c>
      <c r="D7" s="2" t="s">
        <v>77</v>
      </c>
      <c r="E7" s="2" t="s">
        <v>14</v>
      </c>
      <c r="F7" s="2" t="s">
        <v>28</v>
      </c>
      <c r="G7" s="2">
        <v>1</v>
      </c>
      <c r="H7" s="9">
        <v>3.3</v>
      </c>
      <c r="I7" s="5">
        <v>0.15</v>
      </c>
      <c r="J7" s="5">
        <v>0.45</v>
      </c>
      <c r="K7" s="3">
        <f t="shared" si="0"/>
        <v>0.49499999999999994</v>
      </c>
      <c r="L7" s="3">
        <f t="shared" si="1"/>
        <v>1.4849999999999999</v>
      </c>
      <c r="M7" s="4">
        <v>1</v>
      </c>
      <c r="N7" s="4">
        <v>0</v>
      </c>
      <c r="O7" s="15">
        <f t="shared" si="2"/>
        <v>0.49499999999999994</v>
      </c>
    </row>
    <row r="8" spans="2:15" ht="25.5" x14ac:dyDescent="0.3">
      <c r="B8" s="8" t="s">
        <v>7</v>
      </c>
      <c r="C8" s="2" t="s">
        <v>78</v>
      </c>
      <c r="D8" s="35" t="s">
        <v>99</v>
      </c>
      <c r="E8" s="2" t="s">
        <v>14</v>
      </c>
      <c r="F8" s="2" t="s">
        <v>28</v>
      </c>
      <c r="G8" s="2">
        <v>1</v>
      </c>
      <c r="H8" s="36">
        <v>5</v>
      </c>
      <c r="I8" s="5">
        <v>3.4000000000000002E-2</v>
      </c>
      <c r="J8" s="5">
        <v>0.18</v>
      </c>
      <c r="K8" s="3">
        <f t="shared" si="0"/>
        <v>0.17</v>
      </c>
      <c r="L8" s="3">
        <f t="shared" si="1"/>
        <v>0.89999999999999991</v>
      </c>
      <c r="M8" s="4">
        <v>1</v>
      </c>
      <c r="N8" s="4">
        <v>0</v>
      </c>
      <c r="O8" s="15">
        <f t="shared" si="2"/>
        <v>0.17</v>
      </c>
    </row>
    <row r="9" spans="2:15" x14ac:dyDescent="0.3">
      <c r="B9" s="8" t="s">
        <v>7</v>
      </c>
      <c r="C9" s="2" t="s">
        <v>91</v>
      </c>
      <c r="D9" s="2" t="s">
        <v>92</v>
      </c>
      <c r="E9" s="2" t="s">
        <v>66</v>
      </c>
      <c r="F9" s="2" t="s">
        <v>28</v>
      </c>
      <c r="G9" s="2">
        <v>1</v>
      </c>
      <c r="H9" s="9">
        <v>3.3</v>
      </c>
      <c r="I9" s="5">
        <v>0.28000000000000003</v>
      </c>
      <c r="J9" s="5">
        <v>0.28000000000000003</v>
      </c>
      <c r="K9" s="3">
        <f t="shared" si="0"/>
        <v>0.92400000000000004</v>
      </c>
      <c r="L9" s="3">
        <f t="shared" si="1"/>
        <v>0.92400000000000004</v>
      </c>
      <c r="M9" s="4">
        <v>1</v>
      </c>
      <c r="N9" s="4">
        <v>0</v>
      </c>
      <c r="O9" s="15">
        <f t="shared" si="2"/>
        <v>0.92400000000000004</v>
      </c>
    </row>
    <row r="10" spans="2:15" x14ac:dyDescent="0.3">
      <c r="B10" s="8" t="s">
        <v>7</v>
      </c>
      <c r="C10" s="2" t="s">
        <v>68</v>
      </c>
      <c r="D10" s="2" t="s">
        <v>88</v>
      </c>
      <c r="E10" s="2" t="s">
        <v>66</v>
      </c>
      <c r="F10" s="2" t="s">
        <v>80</v>
      </c>
      <c r="G10" s="2">
        <v>1</v>
      </c>
      <c r="H10" s="40">
        <v>12</v>
      </c>
      <c r="I10" s="5">
        <f>0.03/12</f>
        <v>2.5000000000000001E-3</v>
      </c>
      <c r="J10" s="5">
        <f>0.03/12</f>
        <v>2.5000000000000001E-3</v>
      </c>
      <c r="K10" s="3">
        <f t="shared" si="0"/>
        <v>0.03</v>
      </c>
      <c r="L10" s="3">
        <f t="shared" si="1"/>
        <v>0.03</v>
      </c>
      <c r="M10" s="4">
        <v>0.75</v>
      </c>
      <c r="N10" s="4">
        <v>0</v>
      </c>
      <c r="O10" s="15">
        <f t="shared" si="2"/>
        <v>2.2499999999999999E-2</v>
      </c>
    </row>
    <row r="11" spans="2:15" x14ac:dyDescent="0.3">
      <c r="B11" s="8" t="s">
        <v>7</v>
      </c>
      <c r="C11" s="2" t="s">
        <v>89</v>
      </c>
      <c r="D11" s="2"/>
      <c r="E11" s="2"/>
      <c r="F11" s="2" t="s">
        <v>81</v>
      </c>
      <c r="G11" s="2">
        <v>1</v>
      </c>
      <c r="H11" s="40">
        <v>12</v>
      </c>
      <c r="I11" s="5">
        <f>1.35/12</f>
        <v>0.1125</v>
      </c>
      <c r="J11" s="5">
        <f>1.35/12</f>
        <v>0.1125</v>
      </c>
      <c r="K11" s="3">
        <f t="shared" si="0"/>
        <v>1.35</v>
      </c>
      <c r="L11" s="3">
        <f t="shared" si="1"/>
        <v>1.35</v>
      </c>
      <c r="M11" s="4">
        <v>0.05</v>
      </c>
      <c r="N11" s="4">
        <v>0</v>
      </c>
      <c r="O11" s="15">
        <f t="shared" si="2"/>
        <v>6.7500000000000004E-2</v>
      </c>
    </row>
    <row r="12" spans="2:15" x14ac:dyDescent="0.3">
      <c r="B12" s="8" t="s">
        <v>7</v>
      </c>
      <c r="C12" s="2" t="s">
        <v>90</v>
      </c>
      <c r="D12" s="2"/>
      <c r="E12" s="2"/>
      <c r="F12" s="2" t="s">
        <v>82</v>
      </c>
      <c r="G12" s="2">
        <v>1</v>
      </c>
      <c r="H12" s="40">
        <v>12</v>
      </c>
      <c r="I12" s="5">
        <f>1.92/12</f>
        <v>0.16</v>
      </c>
      <c r="J12" s="5">
        <f>1.92/12</f>
        <v>0.16</v>
      </c>
      <c r="K12" s="3">
        <f t="shared" si="0"/>
        <v>1.92</v>
      </c>
      <c r="L12" s="3">
        <f t="shared" si="1"/>
        <v>1.92</v>
      </c>
      <c r="M12" s="4">
        <v>0.05</v>
      </c>
      <c r="N12" s="4">
        <v>0</v>
      </c>
      <c r="O12" s="15">
        <f t="shared" si="2"/>
        <v>9.6000000000000002E-2</v>
      </c>
    </row>
    <row r="13" spans="2:15" ht="25.5" x14ac:dyDescent="0.3">
      <c r="B13" s="8" t="s">
        <v>7</v>
      </c>
      <c r="C13" s="2"/>
      <c r="D13" s="2"/>
      <c r="E13" s="2"/>
      <c r="F13" s="35" t="s">
        <v>83</v>
      </c>
      <c r="G13" s="2">
        <v>1</v>
      </c>
      <c r="H13" s="40">
        <v>12</v>
      </c>
      <c r="I13" s="5">
        <f>2.82/12</f>
        <v>0.23499999999999999</v>
      </c>
      <c r="J13" s="5">
        <v>0.08</v>
      </c>
      <c r="K13" s="3">
        <f t="shared" si="0"/>
        <v>2.82</v>
      </c>
      <c r="L13" s="3">
        <f t="shared" si="1"/>
        <v>0.96</v>
      </c>
      <c r="M13" s="4">
        <v>0.1</v>
      </c>
      <c r="N13" s="4">
        <v>0</v>
      </c>
      <c r="O13" s="15">
        <f t="shared" si="2"/>
        <v>0.28199999999999997</v>
      </c>
    </row>
    <row r="14" spans="2:15" x14ac:dyDescent="0.3">
      <c r="B14" s="8" t="s">
        <v>7</v>
      </c>
      <c r="C14" s="2"/>
      <c r="D14" s="2"/>
      <c r="E14" s="2"/>
      <c r="F14" s="2" t="s">
        <v>84</v>
      </c>
      <c r="G14" s="2">
        <v>1</v>
      </c>
      <c r="H14" s="40">
        <v>12</v>
      </c>
      <c r="I14" s="5">
        <f>2.47/12</f>
        <v>0.20583333333333334</v>
      </c>
      <c r="J14" s="5">
        <f>2.47/12</f>
        <v>0.20583333333333334</v>
      </c>
      <c r="K14" s="3">
        <f t="shared" si="0"/>
        <v>2.4700000000000002</v>
      </c>
      <c r="L14" s="3">
        <f t="shared" si="1"/>
        <v>2.4700000000000002</v>
      </c>
      <c r="M14" s="4">
        <v>0.05</v>
      </c>
      <c r="N14" s="4">
        <v>0</v>
      </c>
      <c r="O14" s="15">
        <f t="shared" si="2"/>
        <v>0.12350000000000001</v>
      </c>
    </row>
    <row r="15" spans="2:15" ht="25.5" x14ac:dyDescent="0.3">
      <c r="B15" s="8" t="s">
        <v>7</v>
      </c>
      <c r="C15" s="2"/>
      <c r="D15" s="2"/>
      <c r="E15" s="2"/>
      <c r="F15" s="35" t="s">
        <v>85</v>
      </c>
      <c r="G15" s="2">
        <v>1</v>
      </c>
      <c r="H15" s="40">
        <v>12</v>
      </c>
      <c r="I15" s="5">
        <f>6.74/12</f>
        <v>0.56166666666666665</v>
      </c>
      <c r="J15" s="5">
        <f>4.35</f>
        <v>4.3499999999999996</v>
      </c>
      <c r="K15" s="3">
        <f t="shared" si="0"/>
        <v>6.74</v>
      </c>
      <c r="L15" s="3">
        <f t="shared" si="1"/>
        <v>52.199999999999996</v>
      </c>
      <c r="M15" s="4">
        <v>0</v>
      </c>
      <c r="N15" s="4">
        <v>0</v>
      </c>
      <c r="O15" s="15">
        <f t="shared" si="2"/>
        <v>0</v>
      </c>
    </row>
    <row r="16" spans="2:15" x14ac:dyDescent="0.3">
      <c r="B16" s="8" t="s">
        <v>7</v>
      </c>
      <c r="C16" s="2" t="s">
        <v>86</v>
      </c>
      <c r="D16" s="2" t="s">
        <v>87</v>
      </c>
      <c r="E16" s="2" t="s">
        <v>66</v>
      </c>
      <c r="F16" s="35" t="s">
        <v>107</v>
      </c>
      <c r="G16" s="2">
        <v>1</v>
      </c>
      <c r="H16" s="36">
        <v>5</v>
      </c>
      <c r="I16" s="5">
        <v>0.4</v>
      </c>
      <c r="J16" s="5">
        <v>0.4</v>
      </c>
      <c r="K16" s="3">
        <f t="shared" si="0"/>
        <v>2</v>
      </c>
      <c r="L16" s="3">
        <f t="shared" si="1"/>
        <v>2</v>
      </c>
      <c r="M16" s="4">
        <v>0</v>
      </c>
      <c r="N16" s="4">
        <v>0</v>
      </c>
      <c r="O16" s="15">
        <f t="shared" si="2"/>
        <v>0</v>
      </c>
    </row>
    <row r="17" spans="2:15" x14ac:dyDescent="0.3">
      <c r="B17" s="8"/>
      <c r="C17" s="2"/>
      <c r="D17" s="2"/>
      <c r="E17" s="2"/>
      <c r="F17" s="35" t="s">
        <v>108</v>
      </c>
      <c r="G17" s="2">
        <v>1</v>
      </c>
      <c r="H17" s="40">
        <v>12</v>
      </c>
      <c r="I17" s="5">
        <v>0.1208</v>
      </c>
      <c r="J17" s="5">
        <v>0.1208</v>
      </c>
      <c r="K17" s="3">
        <f t="shared" si="0"/>
        <v>1.4496</v>
      </c>
      <c r="L17" s="3">
        <f t="shared" si="1"/>
        <v>1.4496</v>
      </c>
      <c r="M17" s="4">
        <v>0</v>
      </c>
      <c r="N17" s="4">
        <v>0</v>
      </c>
      <c r="O17" s="15">
        <f t="shared" si="2"/>
        <v>0</v>
      </c>
    </row>
    <row r="18" spans="2:15" x14ac:dyDescent="0.3">
      <c r="B18" s="8"/>
      <c r="C18" s="2"/>
      <c r="D18" s="2"/>
      <c r="E18" s="2"/>
      <c r="F18" s="35" t="s">
        <v>109</v>
      </c>
      <c r="G18" s="2">
        <v>1</v>
      </c>
      <c r="H18" s="40">
        <v>12</v>
      </c>
      <c r="I18" s="5">
        <v>0.58330000000000004</v>
      </c>
      <c r="J18" s="5">
        <v>0.70420000000000005</v>
      </c>
      <c r="K18" s="3">
        <f t="shared" si="0"/>
        <v>6.9996000000000009</v>
      </c>
      <c r="L18" s="3">
        <f t="shared" si="1"/>
        <v>8.4504000000000001</v>
      </c>
      <c r="M18" s="4">
        <v>0</v>
      </c>
      <c r="N18" s="4">
        <v>0</v>
      </c>
      <c r="O18" s="15">
        <f t="shared" si="2"/>
        <v>0</v>
      </c>
    </row>
    <row r="19" spans="2:15" x14ac:dyDescent="0.3">
      <c r="B19" s="8" t="s">
        <v>7</v>
      </c>
      <c r="C19" s="2"/>
      <c r="D19" s="2"/>
      <c r="E19" s="2"/>
      <c r="F19" s="35" t="s">
        <v>110</v>
      </c>
      <c r="G19" s="2">
        <v>1</v>
      </c>
      <c r="H19" s="40">
        <v>12</v>
      </c>
      <c r="I19" s="5">
        <v>2.75E-2</v>
      </c>
      <c r="J19" s="5">
        <v>0.71330000000000005</v>
      </c>
      <c r="K19" s="3">
        <f t="shared" si="0"/>
        <v>0.33</v>
      </c>
      <c r="L19" s="3">
        <f t="shared" si="1"/>
        <v>8.5595999999999997</v>
      </c>
      <c r="M19" s="4">
        <v>0</v>
      </c>
      <c r="N19" s="4">
        <v>0</v>
      </c>
      <c r="O19" s="15">
        <f t="shared" si="2"/>
        <v>0</v>
      </c>
    </row>
    <row r="20" spans="2:15" x14ac:dyDescent="0.3">
      <c r="B20" s="8" t="s">
        <v>7</v>
      </c>
      <c r="C20" s="2" t="s">
        <v>16</v>
      </c>
      <c r="D20" s="2" t="s">
        <v>74</v>
      </c>
      <c r="E20" s="2" t="s">
        <v>67</v>
      </c>
      <c r="F20" s="2" t="s">
        <v>75</v>
      </c>
      <c r="G20" s="2">
        <v>1</v>
      </c>
      <c r="H20" s="9">
        <v>3.3</v>
      </c>
      <c r="I20" s="5">
        <v>0.8</v>
      </c>
      <c r="J20" s="5">
        <v>0.85</v>
      </c>
      <c r="K20" s="3">
        <f t="shared" si="0"/>
        <v>2.64</v>
      </c>
      <c r="L20" s="3">
        <f t="shared" si="1"/>
        <v>2.8049999999999997</v>
      </c>
      <c r="M20" s="4">
        <v>0.05</v>
      </c>
      <c r="N20" s="4">
        <v>0</v>
      </c>
      <c r="O20" s="15">
        <f t="shared" si="2"/>
        <v>0.13200000000000001</v>
      </c>
    </row>
    <row r="21" spans="2:15" x14ac:dyDescent="0.3">
      <c r="B21" s="8" t="s">
        <v>7</v>
      </c>
      <c r="C21" s="2"/>
      <c r="D21" s="2"/>
      <c r="E21" s="2"/>
      <c r="F21" s="2" t="s">
        <v>76</v>
      </c>
      <c r="G21" s="2">
        <v>1</v>
      </c>
      <c r="H21" s="9">
        <v>3.3</v>
      </c>
      <c r="I21" s="5">
        <v>5.5E-2</v>
      </c>
      <c r="J21" s="5">
        <v>0.12</v>
      </c>
      <c r="K21" s="3">
        <f t="shared" si="0"/>
        <v>0.18149999999999999</v>
      </c>
      <c r="L21" s="3">
        <f t="shared" si="1"/>
        <v>0.39599999999999996</v>
      </c>
      <c r="M21" s="4">
        <v>0.95</v>
      </c>
      <c r="N21" s="4">
        <v>0</v>
      </c>
      <c r="O21" s="15">
        <f t="shared" si="2"/>
        <v>0.17242499999999999</v>
      </c>
    </row>
    <row r="22" spans="2:15" x14ac:dyDescent="0.3">
      <c r="B22" s="8" t="s">
        <v>7</v>
      </c>
      <c r="C22" s="2" t="s">
        <v>17</v>
      </c>
      <c r="D22" s="2" t="s">
        <v>73</v>
      </c>
      <c r="E22" s="2" t="s">
        <v>67</v>
      </c>
      <c r="F22" s="2" t="s">
        <v>28</v>
      </c>
      <c r="G22" s="2">
        <v>1</v>
      </c>
      <c r="H22" s="36">
        <v>5</v>
      </c>
      <c r="I22" s="5">
        <v>5.0000000000000001E-4</v>
      </c>
      <c r="J22" s="5">
        <v>2E-3</v>
      </c>
      <c r="K22" s="3">
        <f t="shared" si="0"/>
        <v>2.5000000000000001E-3</v>
      </c>
      <c r="L22" s="3">
        <f t="shared" si="1"/>
        <v>0.01</v>
      </c>
      <c r="M22" s="4">
        <v>1</v>
      </c>
      <c r="N22" s="4">
        <v>0</v>
      </c>
      <c r="O22" s="15">
        <f t="shared" si="2"/>
        <v>2.5000000000000001E-3</v>
      </c>
    </row>
    <row r="23" spans="2:15" x14ac:dyDescent="0.3">
      <c r="B23" s="8" t="s">
        <v>7</v>
      </c>
      <c r="C23" s="2" t="s">
        <v>69</v>
      </c>
      <c r="D23" s="2" t="s">
        <v>72</v>
      </c>
      <c r="E23" s="2" t="s">
        <v>67</v>
      </c>
      <c r="F23" s="2" t="s">
        <v>95</v>
      </c>
      <c r="G23" s="2">
        <v>1</v>
      </c>
      <c r="H23" s="36">
        <v>5</v>
      </c>
      <c r="I23" s="5">
        <v>1.0880000000000001</v>
      </c>
      <c r="J23" s="5">
        <v>1.5</v>
      </c>
      <c r="K23" s="3">
        <f t="shared" si="0"/>
        <v>5.44</v>
      </c>
      <c r="L23" s="3">
        <f t="shared" si="1"/>
        <v>7.5</v>
      </c>
      <c r="M23" s="4">
        <v>0.8</v>
      </c>
      <c r="N23" s="4">
        <v>0</v>
      </c>
      <c r="O23" s="15">
        <f t="shared" si="2"/>
        <v>4.3520000000000003</v>
      </c>
    </row>
    <row r="24" spans="2:15" x14ac:dyDescent="0.3">
      <c r="B24" s="8" t="s">
        <v>7</v>
      </c>
      <c r="C24" s="2"/>
      <c r="D24" s="2"/>
      <c r="E24" s="2"/>
      <c r="F24" s="2" t="s">
        <v>94</v>
      </c>
      <c r="G24" s="2">
        <v>1</v>
      </c>
      <c r="H24" s="36">
        <v>5</v>
      </c>
      <c r="I24" s="5">
        <v>1.1719999999999999</v>
      </c>
      <c r="J24" s="5">
        <v>1.5</v>
      </c>
      <c r="K24" s="3">
        <f t="shared" si="0"/>
        <v>5.8599999999999994</v>
      </c>
      <c r="L24" s="3">
        <f t="shared" si="1"/>
        <v>7.5</v>
      </c>
      <c r="M24" s="4">
        <v>0</v>
      </c>
      <c r="N24" s="4">
        <v>0</v>
      </c>
      <c r="O24" s="15">
        <f t="shared" si="2"/>
        <v>0</v>
      </c>
    </row>
    <row r="25" spans="2:15" x14ac:dyDescent="0.3">
      <c r="B25" s="8" t="s">
        <v>7</v>
      </c>
      <c r="C25" s="2"/>
      <c r="D25" s="2"/>
      <c r="E25" s="2"/>
      <c r="F25" s="2" t="s">
        <v>96</v>
      </c>
      <c r="G25" s="2">
        <v>1</v>
      </c>
      <c r="H25" s="36">
        <v>5</v>
      </c>
      <c r="I25" s="5">
        <v>1.1879999999999999</v>
      </c>
      <c r="J25" s="5">
        <v>1.5</v>
      </c>
      <c r="K25" s="3">
        <f t="shared" si="0"/>
        <v>5.9399999999999995</v>
      </c>
      <c r="L25" s="3">
        <f t="shared" si="1"/>
        <v>7.5</v>
      </c>
      <c r="M25" s="4">
        <v>0.2</v>
      </c>
      <c r="N25" s="4">
        <v>0</v>
      </c>
      <c r="O25" s="15">
        <f t="shared" si="2"/>
        <v>1.1879999999999999</v>
      </c>
    </row>
    <row r="26" spans="2:15" x14ac:dyDescent="0.3">
      <c r="B26" s="8" t="s">
        <v>7</v>
      </c>
      <c r="C26" s="2" t="s">
        <v>18</v>
      </c>
      <c r="D26" s="2" t="s">
        <v>71</v>
      </c>
      <c r="E26" s="2" t="s">
        <v>67</v>
      </c>
      <c r="F26" s="1" t="s">
        <v>101</v>
      </c>
      <c r="G26" s="2">
        <v>1</v>
      </c>
      <c r="H26" s="6">
        <v>12</v>
      </c>
      <c r="I26" s="5">
        <v>1.4999999999999999E-4</v>
      </c>
      <c r="J26" s="5">
        <v>1.4999999999999999E-4</v>
      </c>
      <c r="K26" s="3">
        <f t="shared" si="0"/>
        <v>1.8E-3</v>
      </c>
      <c r="L26" s="3">
        <f t="shared" si="1"/>
        <v>1.8E-3</v>
      </c>
      <c r="M26" s="4">
        <v>0</v>
      </c>
      <c r="N26" s="4">
        <v>0</v>
      </c>
      <c r="O26" s="15">
        <f t="shared" si="2"/>
        <v>0</v>
      </c>
    </row>
    <row r="27" spans="2:15" x14ac:dyDescent="0.3">
      <c r="B27" s="8" t="s">
        <v>7</v>
      </c>
      <c r="C27" s="2"/>
      <c r="D27" s="2"/>
      <c r="E27" s="2"/>
      <c r="F27" s="2" t="s">
        <v>27</v>
      </c>
      <c r="G27" s="2">
        <v>1</v>
      </c>
      <c r="H27" s="6">
        <v>12</v>
      </c>
      <c r="I27" s="5">
        <v>1.7000000000000001E-2</v>
      </c>
      <c r="J27" s="5">
        <v>1.7000000000000001E-2</v>
      </c>
      <c r="K27" s="3">
        <f t="shared" si="0"/>
        <v>0.20400000000000001</v>
      </c>
      <c r="L27" s="3">
        <f t="shared" si="1"/>
        <v>0.20400000000000001</v>
      </c>
      <c r="M27" s="4">
        <v>0</v>
      </c>
      <c r="N27" s="4">
        <v>0</v>
      </c>
      <c r="O27" s="15">
        <f t="shared" si="2"/>
        <v>0</v>
      </c>
    </row>
    <row r="28" spans="2:15" x14ac:dyDescent="0.3">
      <c r="B28" s="8" t="s">
        <v>7</v>
      </c>
      <c r="C28" s="2"/>
      <c r="D28" s="2"/>
      <c r="E28" s="2"/>
      <c r="F28" s="2" t="s">
        <v>76</v>
      </c>
      <c r="G28" s="2">
        <v>1</v>
      </c>
      <c r="H28" s="6">
        <v>12</v>
      </c>
      <c r="I28" s="5">
        <v>6.7000000000000004E-2</v>
      </c>
      <c r="J28" s="5">
        <v>6.7000000000000004E-2</v>
      </c>
      <c r="K28" s="3">
        <f t="shared" si="0"/>
        <v>0.80400000000000005</v>
      </c>
      <c r="L28" s="3">
        <f t="shared" si="1"/>
        <v>0.80400000000000005</v>
      </c>
      <c r="M28" s="4">
        <v>0.8</v>
      </c>
      <c r="N28" s="4">
        <v>0</v>
      </c>
      <c r="O28" s="15">
        <f t="shared" si="2"/>
        <v>0.6432000000000001</v>
      </c>
    </row>
    <row r="29" spans="2:15" x14ac:dyDescent="0.3">
      <c r="B29" s="8" t="s">
        <v>7</v>
      </c>
      <c r="C29" s="2"/>
      <c r="D29" s="2"/>
      <c r="E29" s="2"/>
      <c r="F29" s="2" t="s">
        <v>100</v>
      </c>
      <c r="G29" s="2">
        <v>1</v>
      </c>
      <c r="H29" s="6">
        <v>12</v>
      </c>
      <c r="I29" s="5">
        <v>0.05</v>
      </c>
      <c r="J29" s="5">
        <v>0.05</v>
      </c>
      <c r="K29" s="3">
        <f t="shared" si="0"/>
        <v>0.60000000000000009</v>
      </c>
      <c r="L29" s="3">
        <f t="shared" si="1"/>
        <v>0.60000000000000009</v>
      </c>
      <c r="M29" s="4">
        <v>0.05</v>
      </c>
      <c r="N29" s="4">
        <v>0</v>
      </c>
      <c r="O29" s="15">
        <f t="shared" si="2"/>
        <v>3.0000000000000006E-2</v>
      </c>
    </row>
    <row r="30" spans="2:15" x14ac:dyDescent="0.3">
      <c r="B30" s="8" t="s">
        <v>7</v>
      </c>
      <c r="C30" s="2"/>
      <c r="D30" s="2"/>
      <c r="E30" s="2"/>
      <c r="F30" s="2" t="s">
        <v>75</v>
      </c>
      <c r="G30" s="2">
        <v>1</v>
      </c>
      <c r="H30" s="6">
        <v>12</v>
      </c>
      <c r="I30" s="5">
        <v>0.89170000000000005</v>
      </c>
      <c r="J30" s="5">
        <v>0.91669999999999996</v>
      </c>
      <c r="K30" s="3">
        <f t="shared" si="0"/>
        <v>10.7004</v>
      </c>
      <c r="L30" s="3">
        <f t="shared" si="1"/>
        <v>11.000399999999999</v>
      </c>
      <c r="M30" s="4">
        <v>0.15</v>
      </c>
      <c r="N30" s="4">
        <v>0</v>
      </c>
      <c r="O30" s="15">
        <f t="shared" si="2"/>
        <v>1.6050599999999999</v>
      </c>
    </row>
    <row r="31" spans="2:15" x14ac:dyDescent="0.3">
      <c r="B31" s="8" t="s">
        <v>7</v>
      </c>
      <c r="C31" s="2" t="s">
        <v>18</v>
      </c>
      <c r="D31" s="2" t="s">
        <v>70</v>
      </c>
      <c r="E31" s="2" t="s">
        <v>67</v>
      </c>
      <c r="F31" s="1" t="s">
        <v>101</v>
      </c>
      <c r="G31" s="2">
        <v>1</v>
      </c>
      <c r="H31" s="6">
        <v>12</v>
      </c>
      <c r="I31" s="5">
        <v>1.4999999999999999E-4</v>
      </c>
      <c r="J31" s="5">
        <v>1.4999999999999999E-4</v>
      </c>
      <c r="K31" s="3">
        <f t="shared" si="0"/>
        <v>1.8E-3</v>
      </c>
      <c r="L31" s="3">
        <f t="shared" si="1"/>
        <v>1.8E-3</v>
      </c>
      <c r="M31" s="4">
        <v>0</v>
      </c>
      <c r="N31" s="4">
        <v>0</v>
      </c>
      <c r="O31" s="15">
        <f t="shared" si="2"/>
        <v>0</v>
      </c>
    </row>
    <row r="32" spans="2:15" x14ac:dyDescent="0.3">
      <c r="B32" s="8" t="s">
        <v>7</v>
      </c>
      <c r="C32" s="2"/>
      <c r="D32" s="2"/>
      <c r="E32" s="2"/>
      <c r="F32" s="2" t="s">
        <v>27</v>
      </c>
      <c r="G32" s="2">
        <v>1</v>
      </c>
      <c r="H32" s="6">
        <v>12</v>
      </c>
      <c r="I32" s="5">
        <v>1.7000000000000001E-2</v>
      </c>
      <c r="J32" s="5">
        <v>1.7000000000000001E-2</v>
      </c>
      <c r="K32" s="3">
        <f t="shared" si="0"/>
        <v>0.20400000000000001</v>
      </c>
      <c r="L32" s="3">
        <f t="shared" si="1"/>
        <v>0.20400000000000001</v>
      </c>
      <c r="M32" s="4">
        <v>0</v>
      </c>
      <c r="N32" s="4">
        <v>0</v>
      </c>
      <c r="O32" s="15">
        <f t="shared" si="2"/>
        <v>0</v>
      </c>
    </row>
    <row r="33" spans="2:17" x14ac:dyDescent="0.3">
      <c r="B33" s="8" t="s">
        <v>7</v>
      </c>
      <c r="C33" s="2"/>
      <c r="D33" s="2"/>
      <c r="E33" s="2"/>
      <c r="F33" s="2" t="s">
        <v>76</v>
      </c>
      <c r="G33" s="2">
        <v>1</v>
      </c>
      <c r="H33" s="6">
        <v>12</v>
      </c>
      <c r="I33" s="5">
        <v>6.7000000000000004E-2</v>
      </c>
      <c r="J33" s="5">
        <v>6.7000000000000004E-2</v>
      </c>
      <c r="K33" s="3">
        <f t="shared" si="0"/>
        <v>0.80400000000000005</v>
      </c>
      <c r="L33" s="3">
        <f t="shared" si="1"/>
        <v>0.80400000000000005</v>
      </c>
      <c r="M33" s="4">
        <v>1</v>
      </c>
      <c r="N33" s="4">
        <v>0</v>
      </c>
      <c r="O33" s="15">
        <f t="shared" si="2"/>
        <v>0.80400000000000005</v>
      </c>
    </row>
    <row r="34" spans="2:17" x14ac:dyDescent="0.3">
      <c r="B34" s="8" t="s">
        <v>7</v>
      </c>
      <c r="C34" s="2"/>
      <c r="D34" s="2"/>
      <c r="E34" s="2"/>
      <c r="F34" s="2" t="s">
        <v>100</v>
      </c>
      <c r="G34" s="2">
        <v>1</v>
      </c>
      <c r="H34" s="6">
        <v>12</v>
      </c>
      <c r="I34" s="5">
        <v>0.05</v>
      </c>
      <c r="J34" s="5">
        <v>0.05</v>
      </c>
      <c r="K34" s="3">
        <f t="shared" si="0"/>
        <v>0.60000000000000009</v>
      </c>
      <c r="L34" s="3">
        <f t="shared" si="1"/>
        <v>0.60000000000000009</v>
      </c>
      <c r="M34" s="4">
        <v>0</v>
      </c>
      <c r="N34" s="4">
        <v>0</v>
      </c>
      <c r="O34" s="15">
        <f t="shared" si="2"/>
        <v>0</v>
      </c>
    </row>
    <row r="35" spans="2:17" x14ac:dyDescent="0.3">
      <c r="B35" s="8" t="s">
        <v>7</v>
      </c>
      <c r="C35" s="2"/>
      <c r="D35" s="2"/>
      <c r="E35" s="2"/>
      <c r="F35" s="2" t="s">
        <v>75</v>
      </c>
      <c r="G35" s="2">
        <v>1</v>
      </c>
      <c r="H35" s="6">
        <v>12</v>
      </c>
      <c r="I35" s="5">
        <v>0.89170000000000005</v>
      </c>
      <c r="J35" s="5">
        <v>0.91669999999999996</v>
      </c>
      <c r="K35" s="3">
        <f t="shared" si="0"/>
        <v>10.7004</v>
      </c>
      <c r="L35" s="3">
        <f t="shared" si="1"/>
        <v>11.000399999999999</v>
      </c>
      <c r="M35" s="4">
        <v>0</v>
      </c>
      <c r="N35" s="4">
        <v>0</v>
      </c>
      <c r="O35" s="15">
        <f t="shared" si="2"/>
        <v>0</v>
      </c>
    </row>
    <row r="36" spans="2:17" x14ac:dyDescent="0.3">
      <c r="B36" s="8" t="s">
        <v>7</v>
      </c>
      <c r="C36" s="2" t="s">
        <v>102</v>
      </c>
      <c r="D36" s="2" t="s">
        <v>103</v>
      </c>
      <c r="E36" s="2" t="s">
        <v>67</v>
      </c>
      <c r="F36" s="2" t="s">
        <v>127</v>
      </c>
      <c r="G36" s="2">
        <v>1</v>
      </c>
      <c r="H36" s="36">
        <v>5</v>
      </c>
      <c r="I36" s="5">
        <f>(0.7+3.4)/5</f>
        <v>0.82</v>
      </c>
      <c r="J36" s="5">
        <f>(0.8+4.3)/5</f>
        <v>1.02</v>
      </c>
      <c r="K36" s="3">
        <f t="shared" si="0"/>
        <v>4.0999999999999996</v>
      </c>
      <c r="L36" s="3">
        <f t="shared" si="1"/>
        <v>5.0999999999999996</v>
      </c>
      <c r="M36" s="4">
        <v>0.9</v>
      </c>
      <c r="N36" s="4">
        <v>0</v>
      </c>
      <c r="O36" s="15">
        <f t="shared" si="2"/>
        <v>3.69</v>
      </c>
    </row>
    <row r="37" spans="2:17" x14ac:dyDescent="0.3">
      <c r="B37" s="8" t="s">
        <v>7</v>
      </c>
      <c r="C37" s="2"/>
      <c r="D37" s="2"/>
      <c r="E37" s="2"/>
      <c r="F37" s="1" t="s">
        <v>129</v>
      </c>
      <c r="G37" s="2">
        <v>1</v>
      </c>
      <c r="H37" s="36">
        <v>5</v>
      </c>
      <c r="I37" s="5">
        <f>(2.4+4)/5</f>
        <v>1.28</v>
      </c>
      <c r="J37" s="5">
        <f>(3+5.1)/5</f>
        <v>1.6199999999999999</v>
      </c>
      <c r="K37" s="3">
        <f t="shared" si="0"/>
        <v>6.4</v>
      </c>
      <c r="L37" s="3">
        <f t="shared" si="1"/>
        <v>8.1</v>
      </c>
      <c r="M37" s="4">
        <v>0.1</v>
      </c>
      <c r="N37" s="4">
        <v>0</v>
      </c>
      <c r="O37" s="15">
        <f t="shared" si="2"/>
        <v>0.64000000000000012</v>
      </c>
    </row>
    <row r="38" spans="2:17" x14ac:dyDescent="0.3">
      <c r="B38" s="8" t="s">
        <v>7</v>
      </c>
      <c r="C38" s="2"/>
      <c r="D38" s="2"/>
      <c r="E38" s="2"/>
      <c r="F38" s="2" t="s">
        <v>128</v>
      </c>
      <c r="G38" s="2">
        <v>1</v>
      </c>
      <c r="H38" s="40">
        <v>12</v>
      </c>
      <c r="I38" s="5">
        <f>0/28</f>
        <v>0</v>
      </c>
      <c r="J38" s="5">
        <f>0.1/28</f>
        <v>3.5714285714285718E-3</v>
      </c>
      <c r="K38" s="3">
        <f t="shared" si="0"/>
        <v>0</v>
      </c>
      <c r="L38" s="3">
        <f t="shared" si="1"/>
        <v>4.2857142857142858E-2</v>
      </c>
      <c r="M38" s="4">
        <v>0.9</v>
      </c>
      <c r="N38" s="4">
        <v>0</v>
      </c>
      <c r="O38" s="15">
        <f t="shared" si="2"/>
        <v>0</v>
      </c>
    </row>
    <row r="39" spans="2:17" x14ac:dyDescent="0.3">
      <c r="B39" s="8" t="s">
        <v>7</v>
      </c>
      <c r="C39" s="2"/>
      <c r="D39" s="2"/>
      <c r="E39" s="2"/>
      <c r="F39" s="2" t="s">
        <v>130</v>
      </c>
      <c r="G39" s="2">
        <v>1</v>
      </c>
      <c r="H39" s="40">
        <v>12</v>
      </c>
      <c r="I39" s="5">
        <f>18.1/28</f>
        <v>0.64642857142857146</v>
      </c>
      <c r="J39" s="5">
        <f>25/28</f>
        <v>0.8928571428571429</v>
      </c>
      <c r="K39" s="3">
        <f t="shared" si="0"/>
        <v>7.757142857142858</v>
      </c>
      <c r="L39" s="3">
        <f t="shared" si="1"/>
        <v>10.714285714285715</v>
      </c>
      <c r="M39" s="4">
        <v>0.1</v>
      </c>
      <c r="N39" s="4">
        <v>0</v>
      </c>
      <c r="O39" s="15">
        <f t="shared" si="2"/>
        <v>0.7757142857142858</v>
      </c>
    </row>
    <row r="40" spans="2:17" x14ac:dyDescent="0.3">
      <c r="B40" s="8" t="s">
        <v>7</v>
      </c>
      <c r="C40" s="2" t="s">
        <v>24</v>
      </c>
      <c r="D40" s="2" t="s">
        <v>104</v>
      </c>
      <c r="E40" s="2" t="s">
        <v>23</v>
      </c>
      <c r="F40" s="2" t="s">
        <v>105</v>
      </c>
      <c r="G40" s="2">
        <v>1</v>
      </c>
      <c r="H40" s="34">
        <v>14.8</v>
      </c>
      <c r="I40" s="5">
        <f>(0.165+0.08*3*2+0.1*3.3)/14.8</f>
        <v>6.5878378378378386E-2</v>
      </c>
      <c r="J40" s="5">
        <f>(0.165+0.08*3*2+0.5*3.3)/14.8</f>
        <v>0.15506756756756757</v>
      </c>
      <c r="K40" s="3">
        <f t="shared" si="0"/>
        <v>0.9750000000000002</v>
      </c>
      <c r="L40" s="3">
        <f t="shared" si="1"/>
        <v>2.2949999999999999</v>
      </c>
      <c r="M40" s="4">
        <f t="shared" ref="M40" si="3">1-N40</f>
        <v>1</v>
      </c>
      <c r="N40" s="4">
        <v>0</v>
      </c>
      <c r="O40" s="15">
        <f t="shared" si="2"/>
        <v>0.9750000000000002</v>
      </c>
    </row>
    <row r="41" spans="2:17" x14ac:dyDescent="0.3">
      <c r="B41" s="8" t="s">
        <v>7</v>
      </c>
      <c r="C41" s="2" t="s">
        <v>25</v>
      </c>
      <c r="D41" s="2" t="s">
        <v>106</v>
      </c>
      <c r="E41" s="2" t="s">
        <v>23</v>
      </c>
      <c r="F41" s="2" t="s">
        <v>30</v>
      </c>
      <c r="G41" s="2">
        <v>1</v>
      </c>
      <c r="H41" s="34">
        <v>14.8</v>
      </c>
      <c r="I41" s="5">
        <v>4.0000000000000001E-3</v>
      </c>
      <c r="J41" s="5">
        <v>0.40539999999999998</v>
      </c>
      <c r="K41" s="3">
        <f t="shared" si="0"/>
        <v>5.9200000000000003E-2</v>
      </c>
      <c r="L41" s="3">
        <f t="shared" si="1"/>
        <v>5.9999200000000004</v>
      </c>
      <c r="M41" s="4">
        <v>0</v>
      </c>
      <c r="N41" s="4">
        <v>0.05</v>
      </c>
      <c r="O41" s="15">
        <f t="shared" si="2"/>
        <v>0.29999600000000004</v>
      </c>
    </row>
    <row r="42" spans="2:17" x14ac:dyDescent="0.3">
      <c r="B42" s="12" t="s">
        <v>37</v>
      </c>
      <c r="C42" s="12" t="s">
        <v>41</v>
      </c>
      <c r="D42" s="39">
        <v>20</v>
      </c>
      <c r="J42" s="29"/>
      <c r="M42" s="12" t="s">
        <v>32</v>
      </c>
      <c r="N42" s="12" t="s">
        <v>33</v>
      </c>
      <c r="O42" s="3">
        <f>SUM(O5:O41)/($D$44/100)</f>
        <v>20.87821698412699</v>
      </c>
    </row>
    <row r="43" spans="2:17" x14ac:dyDescent="0.3">
      <c r="B43" s="13"/>
      <c r="C43" s="12" t="s">
        <v>38</v>
      </c>
      <c r="D43" s="11">
        <v>40</v>
      </c>
      <c r="M43" s="12" t="s">
        <v>34</v>
      </c>
      <c r="N43" s="12" t="s">
        <v>112</v>
      </c>
      <c r="O43" s="3">
        <f>(L7*IF(OR(M7&gt;0, N7&gt;0), 1, 0)+L9*IF(OR(M9&gt;0, N9&gt;0), 1, 0)+MAX(L20*IF(OR(M20&gt;0, N20&gt;0), 1, 0), L21*IF(OR(M21&gt;0, N21&gt;0), 1, 0)))/3.3/($D$44/100)</f>
        <v>1.7555555555555553</v>
      </c>
      <c r="P43" s="1" t="s">
        <v>35</v>
      </c>
      <c r="Q43" s="1" t="s">
        <v>36</v>
      </c>
    </row>
    <row r="44" spans="2:17" x14ac:dyDescent="0.3">
      <c r="B44" s="13"/>
      <c r="C44" s="12" t="s">
        <v>39</v>
      </c>
      <c r="D44" s="11">
        <v>90</v>
      </c>
      <c r="M44" s="12"/>
      <c r="N44" s="12" t="s">
        <v>113</v>
      </c>
      <c r="O44" s="3">
        <f>(L6*IF(OR(M6&gt;0, N6&gt;0), 1, 0)+L8*IF(OR(M8&gt;0, N8&gt;0), 1, 0)+L16*IF(OR(M16&gt;0, N16&gt;0), 1, 0)+L22*IF(OR(M22&gt;0, N22&gt;0), 1, 0)+MAX(L23*IF(OR(M23&gt;0, N23&gt;0), 1, 0), L24*IF(OR(M24&gt;0, N24&gt;0), 1, 0), L25*IF(OR(M25&gt;0, N25&gt;0), 1, 0))+MAX(L36*IF(OR(M36&gt;0, N36&gt;0), 1, 0),L37*IF(OR(M37&gt;0, N37&gt;0), 1, 0)))/5/($D$44/100)</f>
        <v>4.0022222222222217</v>
      </c>
      <c r="P44" s="37" t="s">
        <v>35</v>
      </c>
      <c r="Q44" s="1" t="s">
        <v>36</v>
      </c>
    </row>
    <row r="45" spans="2:17" x14ac:dyDescent="0.3">
      <c r="B45" s="13"/>
      <c r="C45" s="12" t="s">
        <v>40</v>
      </c>
      <c r="D45" s="11">
        <v>14.8</v>
      </c>
      <c r="M45" s="12"/>
      <c r="N45" s="12" t="s">
        <v>114</v>
      </c>
      <c r="O45" s="3">
        <f>(MAX(L26*IF(OR(M26&gt;0, N26&gt;0), 1, 0), L27*IF(OR(M27&gt;0, N27&gt;0), 1, 0), L28*IF(OR(M28&gt;0, N28&gt;0), 1, 0), L29*IF(OR(M29&gt;0, N29&gt;0), 1, 0), L30*IF(OR(M30&gt;0, N30&gt;0), 1, 0))+MAX(L31*IF(OR(M31&gt;0, N31&gt;0), 1, 0), L32*IF(OR(M32&gt;0, N32&gt;0), 1, 0), L33*IF(OR(M33&gt;0, N33&gt;0), 1, 0), L34*IF(OR(M34&gt;0, N34&gt;0), 1, 0), L35*IF(OR(M35&gt;0, N35&gt;0), 1, 0)))/12/($D$44/100)</f>
        <v>1.093</v>
      </c>
      <c r="P45" s="1" t="s">
        <v>35</v>
      </c>
      <c r="Q45" s="1" t="s">
        <v>36</v>
      </c>
    </row>
    <row r="46" spans="2:17" x14ac:dyDescent="0.3">
      <c r="B46" s="13"/>
      <c r="C46" s="12" t="s">
        <v>47</v>
      </c>
      <c r="D46" s="11">
        <f>IF($D52 &lt; ASIN($D49/($D49+$D50))*180/PI(), (360-2*ASIN((((1/COS($D$52*PI()/180))^2)*((($D$49/($D$49+$D$50))^2-(SIN($D$52*PI()/180))^2)))^0.5)*180/PI())/360*$D$51, $D51)</f>
        <v>4161.8319940288065</v>
      </c>
      <c r="M46" s="12"/>
      <c r="N46" s="12" t="s">
        <v>135</v>
      </c>
      <c r="O46" s="3">
        <f>(L5*IF(OR(M5&gt;0, N5&gt;0), 1, 0)+MAX(L10*IF(OR(M10&gt;0, N10&gt;0), 1, 0), L11*IF(OR(M11&gt;0, N11&gt;0), 1, 0), L12*IF(OR(M12&gt;0, N12&gt;0), 1, 0), L13*IF(OR(M13&gt;0, N13&gt;0), 1, 0), L14*IF(OR(M14&gt;0, N14&gt;0), 1, 0), L15*IF(OR(M15&gt;0, N15&gt;0), 1, 0))+MAX(L17*IF(OR(M17&gt;0, N17&gt;0), 1, 0), L18*IF(OR(M18&gt;0, N18&gt;0), 1, 0), L19*IF(OR(M19&gt;0, N19&gt;0), 1, 0))+MAX(L38*IF(OR(M38&gt;0, N38&gt;0), 1, 0), L39*IF(OR(M39&gt;0, N39&gt;0), 1, 0)))/12/($D$44/100)</f>
        <v>1.2207671957671959</v>
      </c>
      <c r="P46" s="1" t="s">
        <v>35</v>
      </c>
      <c r="Q46" s="1" t="s">
        <v>61</v>
      </c>
    </row>
    <row r="47" spans="2:17" x14ac:dyDescent="0.3">
      <c r="B47" s="13"/>
      <c r="C47" s="12" t="s">
        <v>42</v>
      </c>
      <c r="D47" s="11">
        <f>D51-D46</f>
        <v>1639.4067479296418</v>
      </c>
      <c r="M47" s="12"/>
      <c r="N47" s="12" t="s">
        <v>115</v>
      </c>
      <c r="O47" s="3">
        <f>(L40*IF(OR(M40&gt;0, N40&gt;0), 1, 0)+L41*IF(OR(M41&gt;0, N41&gt;0), 1, 0))/14.8/($D$44/100)</f>
        <v>0.62274174174174179</v>
      </c>
      <c r="P47" s="1" t="s">
        <v>62</v>
      </c>
      <c r="Q47" s="1" t="s">
        <v>61</v>
      </c>
    </row>
    <row r="48" spans="2:17" x14ac:dyDescent="0.3">
      <c r="B48" s="14"/>
      <c r="C48" s="12" t="s">
        <v>48</v>
      </c>
      <c r="D48" s="3">
        <v>398600</v>
      </c>
      <c r="M48" s="12"/>
      <c r="N48" s="12" t="s">
        <v>63</v>
      </c>
      <c r="O48" s="3">
        <f>SUM(O43:O47)</f>
        <v>8.6942867152867152</v>
      </c>
      <c r="P48" s="1" t="s">
        <v>119</v>
      </c>
      <c r="Q48" s="1" t="s">
        <v>118</v>
      </c>
    </row>
    <row r="49" spans="2:16" x14ac:dyDescent="0.3">
      <c r="B49" s="14"/>
      <c r="C49" s="12" t="s">
        <v>43</v>
      </c>
      <c r="D49" s="3">
        <v>6378.14</v>
      </c>
      <c r="M49" s="12" t="s">
        <v>60</v>
      </c>
      <c r="N49" s="12" t="s">
        <v>64</v>
      </c>
      <c r="O49" s="3">
        <f>(2.246*0.4866)*(4*1*4*2)*(D46/D51)</f>
        <v>25.089709952995218</v>
      </c>
      <c r="P49" s="1" t="s">
        <v>111</v>
      </c>
    </row>
    <row r="50" spans="2:16" x14ac:dyDescent="0.3">
      <c r="B50" s="14"/>
      <c r="C50" s="12" t="s">
        <v>44</v>
      </c>
      <c r="D50" s="3">
        <v>600</v>
      </c>
      <c r="M50" s="12" t="s">
        <v>59</v>
      </c>
      <c r="N50" s="12" t="s">
        <v>55</v>
      </c>
      <c r="O50" s="3">
        <f>O49-O42</f>
        <v>4.2114929688682281</v>
      </c>
    </row>
    <row r="51" spans="2:16" x14ac:dyDescent="0.3">
      <c r="B51" s="14"/>
      <c r="C51" s="12" t="s">
        <v>45</v>
      </c>
      <c r="D51" s="3">
        <f>2*PI()*SQRT(($D$49+$D$50)^3/$D$48)</f>
        <v>5801.2387419584484</v>
      </c>
      <c r="M51" s="12" t="s">
        <v>58</v>
      </c>
      <c r="N51" s="12" t="s">
        <v>55</v>
      </c>
      <c r="O51" s="3">
        <f>O50/(O49-O50)*100</f>
        <v>20.171708015440618</v>
      </c>
      <c r="P51" s="1" t="s">
        <v>121</v>
      </c>
    </row>
    <row r="52" spans="2:16" x14ac:dyDescent="0.3">
      <c r="B52" s="14"/>
      <c r="C52" s="12" t="s">
        <v>46</v>
      </c>
      <c r="D52" s="3">
        <v>50</v>
      </c>
      <c r="E52" s="1" t="s">
        <v>120</v>
      </c>
      <c r="M52" s="12" t="s">
        <v>57</v>
      </c>
      <c r="N52" s="12" t="s">
        <v>55</v>
      </c>
      <c r="O52" s="3">
        <f>O42*$D$47/3600/($D44/100*$D$42/100)*(1+$D$43/100)</f>
        <v>73.949144648030654</v>
      </c>
    </row>
    <row r="53" spans="2:16" x14ac:dyDescent="0.3">
      <c r="C53" s="10"/>
      <c r="D53" s="7"/>
      <c r="M53" s="12" t="s">
        <v>56</v>
      </c>
      <c r="N53" s="12" t="s">
        <v>55</v>
      </c>
      <c r="O53" s="3">
        <f>O42*$D$47/3600/($D44/100*$D$42/100)*(1+$D$43/100)/$D$45</f>
        <v>4.9965638275696387</v>
      </c>
    </row>
    <row r="55" spans="2:16" x14ac:dyDescent="0.3">
      <c r="N55" s="33" t="s">
        <v>65</v>
      </c>
      <c r="O55" s="7">
        <f>(O49-O42)/O49*100</f>
        <v>16.785737964919992</v>
      </c>
      <c r="P55" s="1" t="s">
        <v>22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C5DC-236E-4A0A-A3B2-A3DE6BE248A0}">
  <dimension ref="B2:Q55"/>
  <sheetViews>
    <sheetView topLeftCell="A4" zoomScale="85" zoomScaleNormal="85" workbookViewId="0">
      <selection activeCell="D45" sqref="D45"/>
    </sheetView>
  </sheetViews>
  <sheetFormatPr defaultRowHeight="12.75" x14ac:dyDescent="0.3"/>
  <cols>
    <col min="1" max="1" width="9" style="1"/>
    <col min="2" max="2" width="10.625" style="1" customWidth="1"/>
    <col min="3" max="6" width="20.625" style="1" customWidth="1"/>
    <col min="7" max="7" width="10.625" style="1" customWidth="1"/>
    <col min="8" max="15" width="20.625" style="1" customWidth="1"/>
    <col min="16" max="17" width="10.625" style="1" customWidth="1"/>
    <col min="18" max="16384" width="9" style="1"/>
  </cols>
  <sheetData>
    <row r="2" spans="2:15" x14ac:dyDescent="0.3">
      <c r="B2" s="12" t="s">
        <v>5</v>
      </c>
      <c r="C2" s="12" t="s">
        <v>1</v>
      </c>
      <c r="D2" s="12" t="s">
        <v>15</v>
      </c>
      <c r="E2" s="12" t="s">
        <v>0</v>
      </c>
      <c r="F2" s="12" t="s">
        <v>26</v>
      </c>
      <c r="G2" s="12" t="s">
        <v>19</v>
      </c>
      <c r="H2" s="12" t="s">
        <v>2</v>
      </c>
      <c r="I2" s="12" t="s">
        <v>3</v>
      </c>
      <c r="J2" s="12" t="s">
        <v>3</v>
      </c>
      <c r="K2" s="12" t="s">
        <v>4</v>
      </c>
      <c r="L2" s="12" t="s">
        <v>4</v>
      </c>
      <c r="M2" s="12" t="s">
        <v>21</v>
      </c>
      <c r="N2" s="12" t="s">
        <v>21</v>
      </c>
      <c r="O2" s="12" t="s">
        <v>4</v>
      </c>
    </row>
    <row r="3" spans="2:15" x14ac:dyDescent="0.3">
      <c r="B3" s="12" t="s">
        <v>26</v>
      </c>
      <c r="C3" s="12" t="s">
        <v>7</v>
      </c>
      <c r="D3" s="12" t="s">
        <v>7</v>
      </c>
      <c r="E3" s="12" t="s">
        <v>7</v>
      </c>
      <c r="F3" s="12" t="s">
        <v>11</v>
      </c>
      <c r="G3" s="12" t="s">
        <v>7</v>
      </c>
      <c r="H3" s="12" t="s">
        <v>7</v>
      </c>
      <c r="I3" s="12" t="s">
        <v>11</v>
      </c>
      <c r="J3" s="12" t="s">
        <v>12</v>
      </c>
      <c r="K3" s="12" t="s">
        <v>11</v>
      </c>
      <c r="L3" s="12" t="s">
        <v>12</v>
      </c>
      <c r="M3" s="12" t="s">
        <v>11</v>
      </c>
      <c r="N3" s="12" t="s">
        <v>12</v>
      </c>
      <c r="O3" s="12" t="s">
        <v>31</v>
      </c>
    </row>
    <row r="4" spans="2:15" x14ac:dyDescent="0.3">
      <c r="B4" s="12" t="s">
        <v>6</v>
      </c>
      <c r="C4" s="12" t="s">
        <v>7</v>
      </c>
      <c r="D4" s="12" t="s">
        <v>7</v>
      </c>
      <c r="E4" s="12" t="s">
        <v>7</v>
      </c>
      <c r="F4" s="12"/>
      <c r="G4" s="12" t="s">
        <v>20</v>
      </c>
      <c r="H4" s="12" t="s">
        <v>8</v>
      </c>
      <c r="I4" s="12" t="s">
        <v>9</v>
      </c>
      <c r="J4" s="12" t="s">
        <v>9</v>
      </c>
      <c r="K4" s="12" t="s">
        <v>10</v>
      </c>
      <c r="L4" s="12" t="s">
        <v>10</v>
      </c>
      <c r="M4" s="12" t="s">
        <v>22</v>
      </c>
      <c r="N4" s="12" t="s">
        <v>22</v>
      </c>
      <c r="O4" s="12" t="s">
        <v>10</v>
      </c>
    </row>
    <row r="5" spans="2:15" x14ac:dyDescent="0.3">
      <c r="B5" s="8" t="s">
        <v>7</v>
      </c>
      <c r="C5" s="2" t="s">
        <v>93</v>
      </c>
      <c r="D5" s="2" t="s">
        <v>117</v>
      </c>
      <c r="E5" s="2" t="s">
        <v>13</v>
      </c>
      <c r="F5" s="2" t="s">
        <v>29</v>
      </c>
      <c r="G5" s="2">
        <v>1</v>
      </c>
      <c r="H5" s="40">
        <v>12</v>
      </c>
      <c r="I5" s="5">
        <v>1</v>
      </c>
      <c r="J5" s="5">
        <v>1.5</v>
      </c>
      <c r="K5" s="3">
        <f>H5*I5*G5</f>
        <v>12</v>
      </c>
      <c r="L5" s="3">
        <f>H5*J5*G5</f>
        <v>18</v>
      </c>
      <c r="M5" s="4">
        <v>0</v>
      </c>
      <c r="N5" s="4">
        <v>0</v>
      </c>
      <c r="O5" s="15">
        <f>K5*M5+L5*N5</f>
        <v>0</v>
      </c>
    </row>
    <row r="6" spans="2:15" x14ac:dyDescent="0.3">
      <c r="B6" s="8" t="s">
        <v>7</v>
      </c>
      <c r="C6" s="2" t="s">
        <v>97</v>
      </c>
      <c r="D6" s="2" t="s">
        <v>98</v>
      </c>
      <c r="E6" s="2" t="s">
        <v>13</v>
      </c>
      <c r="F6" s="2" t="s">
        <v>28</v>
      </c>
      <c r="G6" s="2">
        <v>1</v>
      </c>
      <c r="H6" s="36">
        <v>5</v>
      </c>
      <c r="I6" s="5">
        <v>0.26</v>
      </c>
      <c r="J6" s="5">
        <v>0.3</v>
      </c>
      <c r="K6" s="3">
        <f t="shared" ref="K6:K41" si="0">H6*I6*G6</f>
        <v>1.3</v>
      </c>
      <c r="L6" s="3">
        <f t="shared" ref="L6:L41" si="1">H6*J6*G6</f>
        <v>1.5</v>
      </c>
      <c r="M6" s="4">
        <v>0</v>
      </c>
      <c r="N6" s="4">
        <v>0</v>
      </c>
      <c r="O6" s="15">
        <f t="shared" ref="O6:O41" si="2">K6*M6+L6*N6</f>
        <v>0</v>
      </c>
    </row>
    <row r="7" spans="2:15" x14ac:dyDescent="0.3">
      <c r="B7" s="8" t="s">
        <v>7</v>
      </c>
      <c r="C7" s="2" t="s">
        <v>79</v>
      </c>
      <c r="D7" s="2" t="s">
        <v>77</v>
      </c>
      <c r="E7" s="2" t="s">
        <v>14</v>
      </c>
      <c r="F7" s="2" t="s">
        <v>28</v>
      </c>
      <c r="G7" s="2">
        <v>1</v>
      </c>
      <c r="H7" s="9">
        <v>3.3</v>
      </c>
      <c r="I7" s="5">
        <v>0.15</v>
      </c>
      <c r="J7" s="5">
        <v>0.45</v>
      </c>
      <c r="K7" s="3">
        <f t="shared" si="0"/>
        <v>0.49499999999999994</v>
      </c>
      <c r="L7" s="3">
        <f t="shared" si="1"/>
        <v>1.4849999999999999</v>
      </c>
      <c r="M7" s="4">
        <v>1</v>
      </c>
      <c r="N7" s="4">
        <v>0</v>
      </c>
      <c r="O7" s="15">
        <f t="shared" si="2"/>
        <v>0.49499999999999994</v>
      </c>
    </row>
    <row r="8" spans="2:15" ht="25.5" x14ac:dyDescent="0.3">
      <c r="B8" s="8" t="s">
        <v>7</v>
      </c>
      <c r="C8" s="2" t="s">
        <v>78</v>
      </c>
      <c r="D8" s="35" t="s">
        <v>99</v>
      </c>
      <c r="E8" s="2" t="s">
        <v>14</v>
      </c>
      <c r="F8" s="2" t="s">
        <v>28</v>
      </c>
      <c r="G8" s="2">
        <v>1</v>
      </c>
      <c r="H8" s="36">
        <v>5</v>
      </c>
      <c r="I8" s="5">
        <v>3.4000000000000002E-2</v>
      </c>
      <c r="J8" s="5">
        <v>0.18</v>
      </c>
      <c r="K8" s="3">
        <f t="shared" si="0"/>
        <v>0.17</v>
      </c>
      <c r="L8" s="3">
        <f t="shared" si="1"/>
        <v>0.89999999999999991</v>
      </c>
      <c r="M8" s="4">
        <v>1</v>
      </c>
      <c r="N8" s="4">
        <v>0</v>
      </c>
      <c r="O8" s="15">
        <f t="shared" si="2"/>
        <v>0.17</v>
      </c>
    </row>
    <row r="9" spans="2:15" x14ac:dyDescent="0.3">
      <c r="B9" s="8" t="s">
        <v>7</v>
      </c>
      <c r="C9" s="2" t="s">
        <v>91</v>
      </c>
      <c r="D9" s="2" t="s">
        <v>92</v>
      </c>
      <c r="E9" s="2" t="s">
        <v>66</v>
      </c>
      <c r="F9" s="2" t="s">
        <v>28</v>
      </c>
      <c r="G9" s="2">
        <v>1</v>
      </c>
      <c r="H9" s="9">
        <v>3.3</v>
      </c>
      <c r="I9" s="5">
        <v>0.28000000000000003</v>
      </c>
      <c r="J9" s="5">
        <v>0.28000000000000003</v>
      </c>
      <c r="K9" s="3">
        <f t="shared" si="0"/>
        <v>0.92400000000000004</v>
      </c>
      <c r="L9" s="3">
        <f t="shared" si="1"/>
        <v>0.92400000000000004</v>
      </c>
      <c r="M9" s="4">
        <v>0</v>
      </c>
      <c r="N9" s="4">
        <v>0</v>
      </c>
      <c r="O9" s="15">
        <f t="shared" si="2"/>
        <v>0</v>
      </c>
    </row>
    <row r="10" spans="2:15" x14ac:dyDescent="0.3">
      <c r="B10" s="8" t="s">
        <v>7</v>
      </c>
      <c r="C10" s="2" t="s">
        <v>68</v>
      </c>
      <c r="D10" s="2" t="s">
        <v>88</v>
      </c>
      <c r="E10" s="2" t="s">
        <v>66</v>
      </c>
      <c r="F10" s="2" t="s">
        <v>80</v>
      </c>
      <c r="G10" s="2">
        <v>1</v>
      </c>
      <c r="H10" s="40">
        <v>12</v>
      </c>
      <c r="I10" s="5">
        <v>1.25E-3</v>
      </c>
      <c r="J10" s="5">
        <v>1.25E-3</v>
      </c>
      <c r="K10" s="3">
        <f t="shared" si="0"/>
        <v>1.4999999999999999E-2</v>
      </c>
      <c r="L10" s="3">
        <f t="shared" si="1"/>
        <v>1.4999999999999999E-2</v>
      </c>
      <c r="M10" s="4">
        <v>0.8</v>
      </c>
      <c r="N10" s="4">
        <v>0</v>
      </c>
      <c r="O10" s="15">
        <f t="shared" si="2"/>
        <v>1.2E-2</v>
      </c>
    </row>
    <row r="11" spans="2:15" x14ac:dyDescent="0.3">
      <c r="B11" s="8" t="s">
        <v>7</v>
      </c>
      <c r="C11" s="2" t="s">
        <v>89</v>
      </c>
      <c r="D11" s="2"/>
      <c r="E11" s="2"/>
      <c r="F11" s="2" t="s">
        <v>81</v>
      </c>
      <c r="G11" s="2">
        <v>1</v>
      </c>
      <c r="H11" s="40">
        <v>12</v>
      </c>
      <c r="I11" s="5">
        <v>5.6250000000000001E-2</v>
      </c>
      <c r="J11" s="5">
        <v>5.6250000000000001E-2</v>
      </c>
      <c r="K11" s="3">
        <f t="shared" si="0"/>
        <v>0.67500000000000004</v>
      </c>
      <c r="L11" s="3">
        <f t="shared" si="1"/>
        <v>0.67500000000000004</v>
      </c>
      <c r="M11" s="4">
        <v>0.1</v>
      </c>
      <c r="N11" s="4">
        <v>0</v>
      </c>
      <c r="O11" s="15">
        <f t="shared" si="2"/>
        <v>6.7500000000000004E-2</v>
      </c>
    </row>
    <row r="12" spans="2:15" x14ac:dyDescent="0.3">
      <c r="B12" s="8" t="s">
        <v>7</v>
      </c>
      <c r="C12" s="2" t="s">
        <v>90</v>
      </c>
      <c r="D12" s="2"/>
      <c r="E12" s="2"/>
      <c r="F12" s="2" t="s">
        <v>82</v>
      </c>
      <c r="G12" s="2">
        <v>1</v>
      </c>
      <c r="H12" s="40">
        <v>12</v>
      </c>
      <c r="I12" s="5">
        <v>8.9169999999999999E-2</v>
      </c>
      <c r="J12" s="5">
        <v>8.9169999999999999E-2</v>
      </c>
      <c r="K12" s="3">
        <f t="shared" si="0"/>
        <v>1.0700400000000001</v>
      </c>
      <c r="L12" s="3">
        <f t="shared" si="1"/>
        <v>1.0700400000000001</v>
      </c>
      <c r="M12" s="4">
        <v>0.1</v>
      </c>
      <c r="N12" s="4">
        <v>0</v>
      </c>
      <c r="O12" s="15">
        <f t="shared" si="2"/>
        <v>0.10700400000000002</v>
      </c>
    </row>
    <row r="13" spans="2:15" ht="25.5" x14ac:dyDescent="0.3">
      <c r="B13" s="8" t="s">
        <v>7</v>
      </c>
      <c r="C13" s="2"/>
      <c r="D13" s="2"/>
      <c r="E13" s="2"/>
      <c r="F13" s="35" t="s">
        <v>83</v>
      </c>
      <c r="G13" s="2">
        <v>1</v>
      </c>
      <c r="H13" s="40">
        <v>12</v>
      </c>
      <c r="I13" s="5">
        <v>0.08</v>
      </c>
      <c r="J13" s="5">
        <v>0.08</v>
      </c>
      <c r="K13" s="3">
        <f t="shared" si="0"/>
        <v>0.96</v>
      </c>
      <c r="L13" s="3">
        <f t="shared" si="1"/>
        <v>0.96</v>
      </c>
      <c r="M13" s="4">
        <v>0</v>
      </c>
      <c r="N13" s="4">
        <v>0</v>
      </c>
      <c r="O13" s="15">
        <f t="shared" si="2"/>
        <v>0</v>
      </c>
    </row>
    <row r="14" spans="2:15" x14ac:dyDescent="0.3">
      <c r="B14" s="8" t="s">
        <v>7</v>
      </c>
      <c r="C14" s="2"/>
      <c r="D14" s="2"/>
      <c r="E14" s="2"/>
      <c r="F14" s="2" t="s">
        <v>84</v>
      </c>
      <c r="G14" s="2">
        <v>1</v>
      </c>
      <c r="H14" s="40">
        <v>12</v>
      </c>
      <c r="I14" s="5">
        <v>0.11749999999999999</v>
      </c>
      <c r="J14" s="5">
        <v>0.11749999999999999</v>
      </c>
      <c r="K14" s="3">
        <f t="shared" si="0"/>
        <v>1.41</v>
      </c>
      <c r="L14" s="3">
        <f t="shared" si="1"/>
        <v>1.41</v>
      </c>
      <c r="M14" s="4">
        <v>0</v>
      </c>
      <c r="N14" s="4">
        <v>0</v>
      </c>
      <c r="O14" s="15">
        <f t="shared" si="2"/>
        <v>0</v>
      </c>
    </row>
    <row r="15" spans="2:15" ht="25.5" x14ac:dyDescent="0.3">
      <c r="B15" s="8" t="s">
        <v>7</v>
      </c>
      <c r="C15" s="2"/>
      <c r="D15" s="2"/>
      <c r="E15" s="2"/>
      <c r="F15" s="35" t="s">
        <v>85</v>
      </c>
      <c r="G15" s="2">
        <v>1</v>
      </c>
      <c r="H15" s="40">
        <v>12</v>
      </c>
      <c r="I15" s="5">
        <v>0.10290000000000001</v>
      </c>
      <c r="J15" s="5">
        <v>2.1749999999999998</v>
      </c>
      <c r="K15" s="3">
        <f t="shared" si="0"/>
        <v>1.2348000000000001</v>
      </c>
      <c r="L15" s="3">
        <f t="shared" si="1"/>
        <v>26.099999999999998</v>
      </c>
      <c r="M15" s="4">
        <v>0</v>
      </c>
      <c r="N15" s="4">
        <v>0</v>
      </c>
      <c r="O15" s="15">
        <f t="shared" si="2"/>
        <v>0</v>
      </c>
    </row>
    <row r="16" spans="2:15" x14ac:dyDescent="0.3">
      <c r="B16" s="8" t="s">
        <v>7</v>
      </c>
      <c r="C16" s="2" t="s">
        <v>86</v>
      </c>
      <c r="D16" s="2" t="s">
        <v>87</v>
      </c>
      <c r="E16" s="2" t="s">
        <v>66</v>
      </c>
      <c r="F16" s="35" t="s">
        <v>107</v>
      </c>
      <c r="G16" s="2">
        <v>1</v>
      </c>
      <c r="H16" s="36">
        <v>5</v>
      </c>
      <c r="I16" s="5">
        <v>0.4</v>
      </c>
      <c r="J16" s="5">
        <v>0.4</v>
      </c>
      <c r="K16" s="3">
        <f t="shared" si="0"/>
        <v>2</v>
      </c>
      <c r="L16" s="3">
        <f t="shared" si="1"/>
        <v>2</v>
      </c>
      <c r="M16" s="4">
        <v>0</v>
      </c>
      <c r="N16" s="4">
        <v>0</v>
      </c>
      <c r="O16" s="15">
        <f t="shared" si="2"/>
        <v>0</v>
      </c>
    </row>
    <row r="17" spans="2:15" x14ac:dyDescent="0.3">
      <c r="B17" s="8"/>
      <c r="C17" s="2"/>
      <c r="D17" s="2"/>
      <c r="E17" s="2"/>
      <c r="F17" s="35" t="s">
        <v>108</v>
      </c>
      <c r="G17" s="2">
        <v>1</v>
      </c>
      <c r="H17" s="40">
        <v>12</v>
      </c>
      <c r="I17" s="5">
        <v>0.1208</v>
      </c>
      <c r="J17" s="5">
        <v>0.1208</v>
      </c>
      <c r="K17" s="3">
        <f t="shared" si="0"/>
        <v>1.4496</v>
      </c>
      <c r="L17" s="3">
        <f t="shared" si="1"/>
        <v>1.4496</v>
      </c>
      <c r="M17" s="4">
        <v>0</v>
      </c>
      <c r="N17" s="4">
        <v>0</v>
      </c>
      <c r="O17" s="15">
        <f t="shared" si="2"/>
        <v>0</v>
      </c>
    </row>
    <row r="18" spans="2:15" x14ac:dyDescent="0.3">
      <c r="B18" s="8"/>
      <c r="C18" s="2"/>
      <c r="D18" s="2"/>
      <c r="E18" s="2"/>
      <c r="F18" s="35" t="s">
        <v>109</v>
      </c>
      <c r="G18" s="2">
        <v>1</v>
      </c>
      <c r="H18" s="40">
        <v>12</v>
      </c>
      <c r="I18" s="5">
        <v>0.58330000000000004</v>
      </c>
      <c r="J18" s="5">
        <v>0.70420000000000005</v>
      </c>
      <c r="K18" s="3">
        <f t="shared" si="0"/>
        <v>6.9996000000000009</v>
      </c>
      <c r="L18" s="3">
        <f t="shared" si="1"/>
        <v>8.4504000000000001</v>
      </c>
      <c r="M18" s="4">
        <v>0</v>
      </c>
      <c r="N18" s="4">
        <v>0</v>
      </c>
      <c r="O18" s="15">
        <f t="shared" si="2"/>
        <v>0</v>
      </c>
    </row>
    <row r="19" spans="2:15" x14ac:dyDescent="0.3">
      <c r="B19" s="8" t="s">
        <v>7</v>
      </c>
      <c r="C19" s="2"/>
      <c r="D19" s="2"/>
      <c r="E19" s="2"/>
      <c r="F19" s="35" t="s">
        <v>110</v>
      </c>
      <c r="G19" s="2">
        <v>1</v>
      </c>
      <c r="H19" s="40">
        <v>12</v>
      </c>
      <c r="I19" s="5">
        <v>2.75E-2</v>
      </c>
      <c r="J19" s="5">
        <v>0.71330000000000005</v>
      </c>
      <c r="K19" s="3">
        <f t="shared" si="0"/>
        <v>0.33</v>
      </c>
      <c r="L19" s="3">
        <f t="shared" si="1"/>
        <v>8.5595999999999997</v>
      </c>
      <c r="M19" s="4">
        <v>0</v>
      </c>
      <c r="N19" s="4">
        <v>0</v>
      </c>
      <c r="O19" s="15">
        <f t="shared" si="2"/>
        <v>0</v>
      </c>
    </row>
    <row r="20" spans="2:15" x14ac:dyDescent="0.3">
      <c r="B20" s="8" t="s">
        <v>7</v>
      </c>
      <c r="C20" s="2" t="s">
        <v>16</v>
      </c>
      <c r="D20" s="2" t="s">
        <v>74</v>
      </c>
      <c r="E20" s="2" t="s">
        <v>67</v>
      </c>
      <c r="F20" s="2" t="s">
        <v>75</v>
      </c>
      <c r="G20" s="2">
        <v>1</v>
      </c>
      <c r="H20" s="9">
        <v>3.3</v>
      </c>
      <c r="I20" s="5">
        <v>0.8</v>
      </c>
      <c r="J20" s="5">
        <v>0.85</v>
      </c>
      <c r="K20" s="3">
        <f t="shared" si="0"/>
        <v>2.64</v>
      </c>
      <c r="L20" s="3">
        <f t="shared" si="1"/>
        <v>2.8049999999999997</v>
      </c>
      <c r="M20" s="4">
        <v>0.05</v>
      </c>
      <c r="N20" s="4">
        <v>0</v>
      </c>
      <c r="O20" s="15">
        <f t="shared" si="2"/>
        <v>0.13200000000000001</v>
      </c>
    </row>
    <row r="21" spans="2:15" x14ac:dyDescent="0.3">
      <c r="B21" s="8" t="s">
        <v>7</v>
      </c>
      <c r="C21" s="2"/>
      <c r="D21" s="2"/>
      <c r="E21" s="2"/>
      <c r="F21" s="2" t="s">
        <v>76</v>
      </c>
      <c r="G21" s="2">
        <v>1</v>
      </c>
      <c r="H21" s="9">
        <v>3.3</v>
      </c>
      <c r="I21" s="5">
        <v>5.5E-2</v>
      </c>
      <c r="J21" s="5">
        <v>0.12</v>
      </c>
      <c r="K21" s="3">
        <f t="shared" si="0"/>
        <v>0.18149999999999999</v>
      </c>
      <c r="L21" s="3">
        <f t="shared" si="1"/>
        <v>0.39599999999999996</v>
      </c>
      <c r="M21" s="4">
        <v>0.95</v>
      </c>
      <c r="N21" s="4">
        <v>0</v>
      </c>
      <c r="O21" s="15">
        <f t="shared" si="2"/>
        <v>0.17242499999999999</v>
      </c>
    </row>
    <row r="22" spans="2:15" x14ac:dyDescent="0.3">
      <c r="B22" s="8" t="s">
        <v>7</v>
      </c>
      <c r="C22" s="2" t="s">
        <v>17</v>
      </c>
      <c r="D22" s="2" t="s">
        <v>73</v>
      </c>
      <c r="E22" s="2" t="s">
        <v>67</v>
      </c>
      <c r="F22" s="2" t="s">
        <v>28</v>
      </c>
      <c r="G22" s="2">
        <v>1</v>
      </c>
      <c r="H22" s="36">
        <v>5</v>
      </c>
      <c r="I22" s="5">
        <v>5.0000000000000001E-4</v>
      </c>
      <c r="J22" s="5">
        <v>2E-3</v>
      </c>
      <c r="K22" s="3">
        <f>H22*I22*G22</f>
        <v>2.5000000000000001E-3</v>
      </c>
      <c r="L22" s="3">
        <f t="shared" si="1"/>
        <v>0.01</v>
      </c>
      <c r="M22" s="4">
        <v>1</v>
      </c>
      <c r="N22" s="4">
        <v>0</v>
      </c>
      <c r="O22" s="15">
        <f t="shared" si="2"/>
        <v>2.5000000000000001E-3</v>
      </c>
    </row>
    <row r="23" spans="2:15" x14ac:dyDescent="0.3">
      <c r="B23" s="8" t="s">
        <v>7</v>
      </c>
      <c r="C23" s="2" t="s">
        <v>69</v>
      </c>
      <c r="D23" s="2" t="s">
        <v>72</v>
      </c>
      <c r="E23" s="2" t="s">
        <v>67</v>
      </c>
      <c r="F23" s="2" t="s">
        <v>95</v>
      </c>
      <c r="G23" s="2">
        <v>1</v>
      </c>
      <c r="H23" s="36">
        <v>5</v>
      </c>
      <c r="I23" s="5">
        <v>1.0880000000000001</v>
      </c>
      <c r="J23" s="5">
        <v>1.5</v>
      </c>
      <c r="K23" s="3">
        <f t="shared" si="0"/>
        <v>5.44</v>
      </c>
      <c r="L23" s="3">
        <f t="shared" si="1"/>
        <v>7.5</v>
      </c>
      <c r="M23" s="4">
        <v>0</v>
      </c>
      <c r="N23" s="4">
        <v>0</v>
      </c>
      <c r="O23" s="15">
        <f t="shared" si="2"/>
        <v>0</v>
      </c>
    </row>
    <row r="24" spans="2:15" x14ac:dyDescent="0.3">
      <c r="B24" s="8" t="s">
        <v>7</v>
      </c>
      <c r="C24" s="2"/>
      <c r="D24" s="2"/>
      <c r="E24" s="2"/>
      <c r="F24" s="2" t="s">
        <v>94</v>
      </c>
      <c r="G24" s="2">
        <v>1</v>
      </c>
      <c r="H24" s="36">
        <v>5</v>
      </c>
      <c r="I24" s="5">
        <v>1.1719999999999999</v>
      </c>
      <c r="J24" s="5">
        <v>1.5</v>
      </c>
      <c r="K24" s="3">
        <f t="shared" si="0"/>
        <v>5.8599999999999994</v>
      </c>
      <c r="L24" s="3">
        <f t="shared" si="1"/>
        <v>7.5</v>
      </c>
      <c r="M24" s="4">
        <v>0</v>
      </c>
      <c r="N24" s="4">
        <v>0</v>
      </c>
      <c r="O24" s="15">
        <f t="shared" si="2"/>
        <v>0</v>
      </c>
    </row>
    <row r="25" spans="2:15" x14ac:dyDescent="0.3">
      <c r="B25" s="8" t="s">
        <v>7</v>
      </c>
      <c r="C25" s="2"/>
      <c r="D25" s="2"/>
      <c r="E25" s="2"/>
      <c r="F25" s="2" t="s">
        <v>96</v>
      </c>
      <c r="G25" s="2">
        <v>1</v>
      </c>
      <c r="H25" s="36">
        <v>5</v>
      </c>
      <c r="I25" s="5">
        <v>1.1879999999999999</v>
      </c>
      <c r="J25" s="5">
        <v>1.5</v>
      </c>
      <c r="K25" s="3">
        <f t="shared" si="0"/>
        <v>5.9399999999999995</v>
      </c>
      <c r="L25" s="3">
        <f t="shared" si="1"/>
        <v>7.5</v>
      </c>
      <c r="M25" s="4">
        <v>0</v>
      </c>
      <c r="N25" s="4">
        <v>0</v>
      </c>
      <c r="O25" s="15">
        <f t="shared" si="2"/>
        <v>0</v>
      </c>
    </row>
    <row r="26" spans="2:15" x14ac:dyDescent="0.3">
      <c r="B26" s="8" t="s">
        <v>7</v>
      </c>
      <c r="C26" s="2" t="s">
        <v>18</v>
      </c>
      <c r="D26" s="2" t="s">
        <v>71</v>
      </c>
      <c r="E26" s="2" t="s">
        <v>67</v>
      </c>
      <c r="F26" s="1" t="s">
        <v>101</v>
      </c>
      <c r="G26" s="2">
        <v>1</v>
      </c>
      <c r="H26" s="6">
        <v>12</v>
      </c>
      <c r="I26" s="5">
        <v>1.4999999999999999E-4</v>
      </c>
      <c r="J26" s="5">
        <v>1.4999999999999999E-4</v>
      </c>
      <c r="K26" s="3">
        <f t="shared" si="0"/>
        <v>1.8E-3</v>
      </c>
      <c r="L26" s="3">
        <f t="shared" si="1"/>
        <v>1.8E-3</v>
      </c>
      <c r="M26" s="4">
        <v>1</v>
      </c>
      <c r="N26" s="4">
        <v>0</v>
      </c>
      <c r="O26" s="15">
        <f t="shared" si="2"/>
        <v>1.8E-3</v>
      </c>
    </row>
    <row r="27" spans="2:15" x14ac:dyDescent="0.3">
      <c r="B27" s="8" t="s">
        <v>7</v>
      </c>
      <c r="C27" s="2"/>
      <c r="D27" s="2"/>
      <c r="E27" s="2"/>
      <c r="F27" s="2" t="s">
        <v>27</v>
      </c>
      <c r="G27" s="2">
        <v>1</v>
      </c>
      <c r="H27" s="6">
        <v>12</v>
      </c>
      <c r="I27" s="5">
        <v>1.7000000000000001E-2</v>
      </c>
      <c r="J27" s="5">
        <v>1.7000000000000001E-2</v>
      </c>
      <c r="K27" s="3">
        <f t="shared" si="0"/>
        <v>0.20400000000000001</v>
      </c>
      <c r="L27" s="3">
        <f t="shared" si="1"/>
        <v>0.20400000000000001</v>
      </c>
      <c r="M27" s="4">
        <v>0</v>
      </c>
      <c r="N27" s="4">
        <v>0</v>
      </c>
      <c r="O27" s="15">
        <f t="shared" si="2"/>
        <v>0</v>
      </c>
    </row>
    <row r="28" spans="2:15" x14ac:dyDescent="0.3">
      <c r="B28" s="8" t="s">
        <v>7</v>
      </c>
      <c r="C28" s="2"/>
      <c r="D28" s="2"/>
      <c r="E28" s="2"/>
      <c r="F28" s="2" t="s">
        <v>76</v>
      </c>
      <c r="G28" s="2">
        <v>1</v>
      </c>
      <c r="H28" s="6">
        <v>12</v>
      </c>
      <c r="I28" s="5">
        <v>6.7000000000000004E-2</v>
      </c>
      <c r="J28" s="5">
        <v>6.7000000000000004E-2</v>
      </c>
      <c r="K28" s="3">
        <f t="shared" si="0"/>
        <v>0.80400000000000005</v>
      </c>
      <c r="L28" s="3">
        <f t="shared" si="1"/>
        <v>0.80400000000000005</v>
      </c>
      <c r="M28" s="4">
        <v>0</v>
      </c>
      <c r="N28" s="4">
        <v>0</v>
      </c>
      <c r="O28" s="15">
        <f t="shared" si="2"/>
        <v>0</v>
      </c>
    </row>
    <row r="29" spans="2:15" x14ac:dyDescent="0.3">
      <c r="B29" s="8" t="s">
        <v>7</v>
      </c>
      <c r="C29" s="2"/>
      <c r="D29" s="2"/>
      <c r="E29" s="2"/>
      <c r="F29" s="2" t="s">
        <v>100</v>
      </c>
      <c r="G29" s="2">
        <v>1</v>
      </c>
      <c r="H29" s="6">
        <v>12</v>
      </c>
      <c r="I29" s="5">
        <v>0.05</v>
      </c>
      <c r="J29" s="5">
        <v>0.05</v>
      </c>
      <c r="K29" s="3">
        <f t="shared" si="0"/>
        <v>0.60000000000000009</v>
      </c>
      <c r="L29" s="3">
        <f t="shared" si="1"/>
        <v>0.60000000000000009</v>
      </c>
      <c r="M29" s="4">
        <v>0</v>
      </c>
      <c r="N29" s="4">
        <v>0</v>
      </c>
      <c r="O29" s="15">
        <f t="shared" si="2"/>
        <v>0</v>
      </c>
    </row>
    <row r="30" spans="2:15" x14ac:dyDescent="0.3">
      <c r="B30" s="8" t="s">
        <v>7</v>
      </c>
      <c r="C30" s="2"/>
      <c r="D30" s="2"/>
      <c r="E30" s="2"/>
      <c r="F30" s="2" t="s">
        <v>75</v>
      </c>
      <c r="G30" s="2">
        <v>1</v>
      </c>
      <c r="H30" s="6">
        <v>12</v>
      </c>
      <c r="I30" s="5">
        <v>0.89170000000000005</v>
      </c>
      <c r="J30" s="5">
        <v>0.91669999999999996</v>
      </c>
      <c r="K30" s="3">
        <f t="shared" si="0"/>
        <v>10.7004</v>
      </c>
      <c r="L30" s="3">
        <f t="shared" si="1"/>
        <v>11.000399999999999</v>
      </c>
      <c r="M30" s="4">
        <v>0</v>
      </c>
      <c r="N30" s="4">
        <v>0</v>
      </c>
      <c r="O30" s="15">
        <f t="shared" si="2"/>
        <v>0</v>
      </c>
    </row>
    <row r="31" spans="2:15" x14ac:dyDescent="0.3">
      <c r="B31" s="8" t="s">
        <v>7</v>
      </c>
      <c r="C31" s="2" t="s">
        <v>18</v>
      </c>
      <c r="D31" s="2" t="s">
        <v>70</v>
      </c>
      <c r="E31" s="2" t="s">
        <v>67</v>
      </c>
      <c r="F31" s="1" t="s">
        <v>101</v>
      </c>
      <c r="G31" s="2">
        <v>1</v>
      </c>
      <c r="H31" s="6">
        <v>12</v>
      </c>
      <c r="I31" s="5">
        <v>1.4999999999999999E-4</v>
      </c>
      <c r="J31" s="5">
        <v>1.4999999999999999E-4</v>
      </c>
      <c r="K31" s="3">
        <f t="shared" si="0"/>
        <v>1.8E-3</v>
      </c>
      <c r="L31" s="3">
        <f t="shared" si="1"/>
        <v>1.8E-3</v>
      </c>
      <c r="M31" s="4">
        <v>1</v>
      </c>
      <c r="N31" s="4">
        <v>0</v>
      </c>
      <c r="O31" s="15">
        <f t="shared" si="2"/>
        <v>1.8E-3</v>
      </c>
    </row>
    <row r="32" spans="2:15" x14ac:dyDescent="0.3">
      <c r="B32" s="8" t="s">
        <v>7</v>
      </c>
      <c r="C32" s="2"/>
      <c r="D32" s="2"/>
      <c r="E32" s="2"/>
      <c r="F32" s="2" t="s">
        <v>27</v>
      </c>
      <c r="G32" s="2">
        <v>1</v>
      </c>
      <c r="H32" s="6">
        <v>12</v>
      </c>
      <c r="I32" s="5">
        <v>1.7000000000000001E-2</v>
      </c>
      <c r="J32" s="5">
        <v>1.7000000000000001E-2</v>
      </c>
      <c r="K32" s="3">
        <f t="shared" si="0"/>
        <v>0.20400000000000001</v>
      </c>
      <c r="L32" s="3">
        <f t="shared" si="1"/>
        <v>0.20400000000000001</v>
      </c>
      <c r="M32" s="4">
        <v>0</v>
      </c>
      <c r="N32" s="4">
        <v>0</v>
      </c>
      <c r="O32" s="15">
        <f t="shared" si="2"/>
        <v>0</v>
      </c>
    </row>
    <row r="33" spans="2:17" x14ac:dyDescent="0.3">
      <c r="B33" s="8" t="s">
        <v>7</v>
      </c>
      <c r="C33" s="2"/>
      <c r="D33" s="2"/>
      <c r="E33" s="2"/>
      <c r="F33" s="2" t="s">
        <v>76</v>
      </c>
      <c r="G33" s="2">
        <v>1</v>
      </c>
      <c r="H33" s="6">
        <v>12</v>
      </c>
      <c r="I33" s="5">
        <v>6.7000000000000004E-2</v>
      </c>
      <c r="J33" s="5">
        <v>6.7000000000000004E-2</v>
      </c>
      <c r="K33" s="3">
        <f t="shared" si="0"/>
        <v>0.80400000000000005</v>
      </c>
      <c r="L33" s="3">
        <f t="shared" si="1"/>
        <v>0.80400000000000005</v>
      </c>
      <c r="M33" s="4">
        <v>0</v>
      </c>
      <c r="N33" s="4">
        <v>0</v>
      </c>
      <c r="O33" s="15">
        <f t="shared" si="2"/>
        <v>0</v>
      </c>
    </row>
    <row r="34" spans="2:17" x14ac:dyDescent="0.3">
      <c r="B34" s="8" t="s">
        <v>7</v>
      </c>
      <c r="C34" s="2"/>
      <c r="D34" s="2"/>
      <c r="E34" s="2"/>
      <c r="F34" s="2" t="s">
        <v>100</v>
      </c>
      <c r="G34" s="2">
        <v>1</v>
      </c>
      <c r="H34" s="6">
        <v>12</v>
      </c>
      <c r="I34" s="5">
        <v>0.05</v>
      </c>
      <c r="J34" s="5">
        <v>0.05</v>
      </c>
      <c r="K34" s="3">
        <f t="shared" si="0"/>
        <v>0.60000000000000009</v>
      </c>
      <c r="L34" s="3">
        <f t="shared" si="1"/>
        <v>0.60000000000000009</v>
      </c>
      <c r="M34" s="4">
        <v>0</v>
      </c>
      <c r="N34" s="4">
        <v>0</v>
      </c>
      <c r="O34" s="15">
        <f t="shared" si="2"/>
        <v>0</v>
      </c>
    </row>
    <row r="35" spans="2:17" x14ac:dyDescent="0.3">
      <c r="B35" s="8" t="s">
        <v>7</v>
      </c>
      <c r="C35" s="2"/>
      <c r="D35" s="2"/>
      <c r="E35" s="2"/>
      <c r="F35" s="2" t="s">
        <v>75</v>
      </c>
      <c r="G35" s="2">
        <v>1</v>
      </c>
      <c r="H35" s="6">
        <v>12</v>
      </c>
      <c r="I35" s="5">
        <v>0.89170000000000005</v>
      </c>
      <c r="J35" s="5">
        <v>0.91669999999999996</v>
      </c>
      <c r="K35" s="3">
        <f t="shared" si="0"/>
        <v>10.7004</v>
      </c>
      <c r="L35" s="3">
        <f t="shared" si="1"/>
        <v>11.000399999999999</v>
      </c>
      <c r="M35" s="4">
        <v>0</v>
      </c>
      <c r="N35" s="4">
        <v>0</v>
      </c>
      <c r="O35" s="15">
        <f t="shared" si="2"/>
        <v>0</v>
      </c>
    </row>
    <row r="36" spans="2:17" x14ac:dyDescent="0.3">
      <c r="B36" s="8" t="s">
        <v>7</v>
      </c>
      <c r="C36" s="2" t="s">
        <v>102</v>
      </c>
      <c r="D36" s="2" t="s">
        <v>103</v>
      </c>
      <c r="E36" s="2" t="s">
        <v>67</v>
      </c>
      <c r="F36" s="2" t="s">
        <v>127</v>
      </c>
      <c r="G36" s="2">
        <v>1</v>
      </c>
      <c r="H36" s="36">
        <v>5</v>
      </c>
      <c r="I36" s="5">
        <f>(0.7+3.4)/5</f>
        <v>0.82</v>
      </c>
      <c r="J36" s="5">
        <f>(0.8+4.3)/5</f>
        <v>1.02</v>
      </c>
      <c r="K36" s="3">
        <f t="shared" si="0"/>
        <v>4.0999999999999996</v>
      </c>
      <c r="L36" s="3">
        <f t="shared" si="1"/>
        <v>5.0999999999999996</v>
      </c>
      <c r="M36" s="4">
        <v>0</v>
      </c>
      <c r="N36" s="4">
        <v>0</v>
      </c>
      <c r="O36" s="15">
        <f t="shared" si="2"/>
        <v>0</v>
      </c>
    </row>
    <row r="37" spans="2:17" x14ac:dyDescent="0.3">
      <c r="B37" s="8" t="s">
        <v>7</v>
      </c>
      <c r="C37" s="2"/>
      <c r="D37" s="2"/>
      <c r="E37" s="2"/>
      <c r="F37" s="1" t="s">
        <v>129</v>
      </c>
      <c r="G37" s="2">
        <v>1</v>
      </c>
      <c r="H37" s="36">
        <v>5</v>
      </c>
      <c r="I37" s="5">
        <f>(2.4+4)/5</f>
        <v>1.28</v>
      </c>
      <c r="J37" s="5">
        <f>(3+5.1)/5</f>
        <v>1.6199999999999999</v>
      </c>
      <c r="K37" s="3">
        <f t="shared" si="0"/>
        <v>6.4</v>
      </c>
      <c r="L37" s="3">
        <f t="shared" si="1"/>
        <v>8.1</v>
      </c>
      <c r="M37" s="4">
        <v>0</v>
      </c>
      <c r="N37" s="4">
        <v>0</v>
      </c>
      <c r="O37" s="15">
        <f t="shared" si="2"/>
        <v>0</v>
      </c>
    </row>
    <row r="38" spans="2:17" x14ac:dyDescent="0.3">
      <c r="B38" s="8" t="s">
        <v>7</v>
      </c>
      <c r="C38" s="2"/>
      <c r="D38" s="2"/>
      <c r="E38" s="2"/>
      <c r="F38" s="2" t="s">
        <v>128</v>
      </c>
      <c r="G38" s="2">
        <v>1</v>
      </c>
      <c r="H38" s="40">
        <v>12</v>
      </c>
      <c r="I38" s="5">
        <f>0/28</f>
        <v>0</v>
      </c>
      <c r="J38" s="5">
        <f>0.1/28</f>
        <v>3.5714285714285718E-3</v>
      </c>
      <c r="K38" s="3">
        <f t="shared" si="0"/>
        <v>0</v>
      </c>
      <c r="L38" s="3">
        <f t="shared" si="1"/>
        <v>4.2857142857142858E-2</v>
      </c>
      <c r="M38" s="4">
        <v>0</v>
      </c>
      <c r="N38" s="4">
        <v>0</v>
      </c>
      <c r="O38" s="15">
        <f t="shared" si="2"/>
        <v>0</v>
      </c>
    </row>
    <row r="39" spans="2:17" x14ac:dyDescent="0.3">
      <c r="B39" s="8" t="s">
        <v>7</v>
      </c>
      <c r="C39" s="2"/>
      <c r="D39" s="2"/>
      <c r="E39" s="2"/>
      <c r="F39" s="2" t="s">
        <v>130</v>
      </c>
      <c r="G39" s="2">
        <v>1</v>
      </c>
      <c r="H39" s="40">
        <v>12</v>
      </c>
      <c r="I39" s="5">
        <f>18.1/28</f>
        <v>0.64642857142857146</v>
      </c>
      <c r="J39" s="5">
        <f>25/28</f>
        <v>0.8928571428571429</v>
      </c>
      <c r="K39" s="3">
        <f t="shared" si="0"/>
        <v>7.757142857142858</v>
      </c>
      <c r="L39" s="3">
        <f t="shared" si="1"/>
        <v>10.714285714285715</v>
      </c>
      <c r="M39" s="4">
        <v>0</v>
      </c>
      <c r="N39" s="4">
        <v>0</v>
      </c>
      <c r="O39" s="15">
        <f t="shared" si="2"/>
        <v>0</v>
      </c>
    </row>
    <row r="40" spans="2:17" x14ac:dyDescent="0.3">
      <c r="B40" s="8" t="s">
        <v>7</v>
      </c>
      <c r="C40" s="2" t="s">
        <v>24</v>
      </c>
      <c r="D40" s="2" t="s">
        <v>104</v>
      </c>
      <c r="E40" s="2" t="s">
        <v>23</v>
      </c>
      <c r="F40" s="2" t="s">
        <v>105</v>
      </c>
      <c r="G40" s="2">
        <v>1</v>
      </c>
      <c r="H40" s="34">
        <v>14.8</v>
      </c>
      <c r="I40" s="5">
        <f>(0.165+0.08*3*2+0.1*3.3)/14.8</f>
        <v>6.5878378378378386E-2</v>
      </c>
      <c r="J40" s="5">
        <f>(0.165+0.08*3*2+0.5*3.3)/14.8</f>
        <v>0.15506756756756757</v>
      </c>
      <c r="K40" s="3">
        <f t="shared" si="0"/>
        <v>0.9750000000000002</v>
      </c>
      <c r="L40" s="3">
        <f t="shared" si="1"/>
        <v>2.2949999999999999</v>
      </c>
      <c r="M40" s="4">
        <f t="shared" ref="M40" si="3">1-N40</f>
        <v>1</v>
      </c>
      <c r="N40" s="4">
        <v>0</v>
      </c>
      <c r="O40" s="15">
        <f t="shared" si="2"/>
        <v>0.9750000000000002</v>
      </c>
    </row>
    <row r="41" spans="2:17" x14ac:dyDescent="0.3">
      <c r="B41" s="8" t="s">
        <v>7</v>
      </c>
      <c r="C41" s="2" t="s">
        <v>25</v>
      </c>
      <c r="D41" s="2" t="s">
        <v>106</v>
      </c>
      <c r="E41" s="2" t="s">
        <v>23</v>
      </c>
      <c r="F41" s="2" t="s">
        <v>30</v>
      </c>
      <c r="G41" s="2">
        <v>1</v>
      </c>
      <c r="H41" s="34">
        <v>14.8</v>
      </c>
      <c r="I41" s="5">
        <v>4.0000000000000001E-3</v>
      </c>
      <c r="J41" s="5">
        <v>0.40539999999999998</v>
      </c>
      <c r="K41" s="3">
        <f t="shared" si="0"/>
        <v>5.9200000000000003E-2</v>
      </c>
      <c r="L41" s="3">
        <f t="shared" si="1"/>
        <v>5.9999200000000004</v>
      </c>
      <c r="M41" s="4">
        <v>0</v>
      </c>
      <c r="N41" s="4">
        <v>0</v>
      </c>
      <c r="O41" s="15">
        <f t="shared" si="2"/>
        <v>0</v>
      </c>
    </row>
    <row r="42" spans="2:17" x14ac:dyDescent="0.3">
      <c r="B42" s="12" t="s">
        <v>37</v>
      </c>
      <c r="C42" s="12" t="s">
        <v>41</v>
      </c>
      <c r="D42" s="11">
        <v>20</v>
      </c>
      <c r="J42" s="29"/>
      <c r="M42" s="12" t="s">
        <v>32</v>
      </c>
      <c r="N42" s="12" t="s">
        <v>33</v>
      </c>
      <c r="O42" s="3">
        <f>SUM(O5:O41)/($D$44/100)</f>
        <v>2.3744766666666668</v>
      </c>
    </row>
    <row r="43" spans="2:17" x14ac:dyDescent="0.3">
      <c r="B43" s="13"/>
      <c r="C43" s="12" t="s">
        <v>38</v>
      </c>
      <c r="D43" s="11">
        <v>40</v>
      </c>
      <c r="M43" s="12" t="s">
        <v>34</v>
      </c>
      <c r="N43" s="12" t="s">
        <v>112</v>
      </c>
      <c r="O43" s="3">
        <f>(L7*IF(OR(M7&gt;0, N7&gt;0), 1, 0)+L9*IF(OR(M9&gt;0, N9&gt;0), 1, 0)+MAX(L20*IF(OR(M20&gt;0, N20&gt;0), 1, 0), L21*IF(OR(M21&gt;0, N21&gt;0), 1, 0)))/3.3/($D$44/100)</f>
        <v>1.4444444444444442</v>
      </c>
      <c r="P43" s="1" t="s">
        <v>35</v>
      </c>
      <c r="Q43" s="1" t="s">
        <v>36</v>
      </c>
    </row>
    <row r="44" spans="2:17" x14ac:dyDescent="0.3">
      <c r="B44" s="13"/>
      <c r="C44" s="12" t="s">
        <v>39</v>
      </c>
      <c r="D44" s="11">
        <v>90</v>
      </c>
      <c r="M44" s="12"/>
      <c r="N44" s="12" t="s">
        <v>113</v>
      </c>
      <c r="O44" s="3">
        <f>(L6*IF(OR(M6&gt;0, N6&gt;0), 1, 0)+L8*IF(OR(M8&gt;0, N8&gt;0), 1, 0)+L16*IF(OR(M16&gt;0, N16&gt;0), 1, 0)+L22*IF(OR(M22&gt;0, N22&gt;0), 1, 0)+MAX(L23*IF(OR(M23&gt;0, N23&gt;0), 1, 0), L24*IF(OR(M24&gt;0, N24&gt;0), 1, 0), L25*IF(OR(M25&gt;0, N25&gt;0), 1, 0))+MAX(L36*IF(OR(M36&gt;0, N36&gt;0), 1, 0),L37*IF(OR(M37&gt;0, N37&gt;0), 1, 0)))/5/($D$44/100)</f>
        <v>0.20222222222222222</v>
      </c>
      <c r="P44" s="1" t="s">
        <v>35</v>
      </c>
      <c r="Q44" s="1" t="s">
        <v>36</v>
      </c>
    </row>
    <row r="45" spans="2:17" x14ac:dyDescent="0.3">
      <c r="B45" s="13"/>
      <c r="C45" s="12" t="s">
        <v>40</v>
      </c>
      <c r="D45" s="11">
        <v>14.8</v>
      </c>
      <c r="M45" s="12"/>
      <c r="N45" s="12" t="s">
        <v>114</v>
      </c>
      <c r="O45" s="41">
        <f>(MAX(L26*IF(OR(M26&gt;0, N26&gt;0), 1, 0), L27*IF(OR(M27&gt;0, N27&gt;0), 1, 0), L28*IF(OR(M28&gt;0, N28&gt;0), 1, 0), L29*IF(OR(M29&gt;0, N29&gt;0), 1, 0), L30*IF(OR(M30&gt;0, N30&gt;0), 1, 0))+MAX(L31*IF(OR(M31&gt;0, N31&gt;0), 1, 0), L32*IF(OR(M32&gt;0, N32&gt;0), 1, 0), L33*IF(OR(M33&gt;0, N33&gt;0), 1, 0), L34*IF(OR(M34&gt;0, N34&gt;0), 1, 0), L35*IF(OR(M35&gt;0, N35&gt;0), 1, 0)))/12/($D$44/100)</f>
        <v>3.3333333333333332E-4</v>
      </c>
      <c r="P45" s="1" t="s">
        <v>35</v>
      </c>
      <c r="Q45" s="1" t="s">
        <v>36</v>
      </c>
    </row>
    <row r="46" spans="2:17" x14ac:dyDescent="0.3">
      <c r="B46" s="13"/>
      <c r="C46" s="12" t="s">
        <v>47</v>
      </c>
      <c r="D46" s="11">
        <f>IF($D52 &lt; ASIN($D49/($D49+$D50))*180/PI(), (360-2*ASIN((((1/COS($D$52*PI()/180))^2)*((($D$49/($D$49+$D$50))^2-(SIN($D$52*PI()/180))^2)))^0.5)*180/PI())/360*$D$51, $D51)</f>
        <v>4648.3432480072397</v>
      </c>
      <c r="M46" s="12"/>
      <c r="N46" s="12" t="s">
        <v>135</v>
      </c>
      <c r="O46" s="3">
        <f>(L5*IF(OR(M5&gt;0, N5&gt;0), 1, 0)+MAX(L10*IF(OR(M10&gt;0, N10&gt;0), 1, 0), L11*IF(OR(M11&gt;0, N11&gt;0), 1, 0), L12*IF(OR(M12&gt;0, N12&gt;0), 1, 0), L13*IF(OR(M13&gt;0, N13&gt;0), 1, 0), L14*IF(OR(M14&gt;0, N14&gt;0), 1, 0), L15*IF(OR(M15&gt;0, N15&gt;0), 1, 0))+MAX(L17*IF(OR(M17&gt;0, N17&gt;0), 1, 0), L18*IF(OR(M18&gt;0, N18&gt;0), 1, 0), L19*IF(OR(M19&gt;0, N19&gt;0), 1, 0))+MAX(L38*IF(OR(M38&gt;0, N38&gt;0), 1, 0), L39*IF(OR(M39&gt;0, N39&gt;0), 1, 0)))/12/($D$44/100)</f>
        <v>9.9077777777777792E-2</v>
      </c>
      <c r="P46" s="1" t="s">
        <v>35</v>
      </c>
      <c r="Q46" s="1" t="s">
        <v>61</v>
      </c>
    </row>
    <row r="47" spans="2:17" x14ac:dyDescent="0.3">
      <c r="B47" s="13"/>
      <c r="C47" s="12" t="s">
        <v>42</v>
      </c>
      <c r="D47" s="11">
        <f>D51-D46</f>
        <v>1152.8954939512087</v>
      </c>
      <c r="M47" s="12"/>
      <c r="N47" s="12" t="s">
        <v>115</v>
      </c>
      <c r="O47" s="3">
        <f>(L40*IF(OR(M40&gt;0, N40&gt;0), 1, 0)+L41*IF(OR(M41&gt;0, N41&gt;0), 1, 0))/14.8/($D$44/100)</f>
        <v>0.17229729729729729</v>
      </c>
      <c r="P47" s="1" t="s">
        <v>62</v>
      </c>
      <c r="Q47" s="1" t="s">
        <v>61</v>
      </c>
    </row>
    <row r="48" spans="2:17" x14ac:dyDescent="0.3">
      <c r="B48" s="14"/>
      <c r="C48" s="12" t="s">
        <v>48</v>
      </c>
      <c r="D48" s="3">
        <v>398600</v>
      </c>
      <c r="M48" s="12"/>
      <c r="N48" s="12" t="s">
        <v>63</v>
      </c>
      <c r="O48" s="3">
        <f>SUM(O43:O47)</f>
        <v>1.918375075075075</v>
      </c>
      <c r="P48" s="1" t="s">
        <v>119</v>
      </c>
      <c r="Q48" s="1" t="s">
        <v>118</v>
      </c>
    </row>
    <row r="49" spans="2:16" x14ac:dyDescent="0.3">
      <c r="B49" s="14"/>
      <c r="C49" s="12" t="s">
        <v>43</v>
      </c>
      <c r="D49" s="3">
        <v>6378.14</v>
      </c>
      <c r="M49" s="12" t="s">
        <v>60</v>
      </c>
      <c r="N49" s="12" t="s">
        <v>64</v>
      </c>
      <c r="O49" s="3">
        <f>(2.246*0.4866)*(4*1*4*2)*(D46/D51)</f>
        <v>28.022655412759107</v>
      </c>
      <c r="P49" s="1" t="s">
        <v>111</v>
      </c>
    </row>
    <row r="50" spans="2:16" x14ac:dyDescent="0.3">
      <c r="B50" s="14"/>
      <c r="C50" s="12" t="s">
        <v>44</v>
      </c>
      <c r="D50" s="3">
        <v>600</v>
      </c>
      <c r="M50" s="12" t="s">
        <v>59</v>
      </c>
      <c r="N50" s="12" t="s">
        <v>55</v>
      </c>
      <c r="O50" s="3">
        <f>O49-O42</f>
        <v>25.648178746092441</v>
      </c>
    </row>
    <row r="51" spans="2:16" x14ac:dyDescent="0.3">
      <c r="B51" s="14"/>
      <c r="C51" s="12" t="s">
        <v>45</v>
      </c>
      <c r="D51" s="3">
        <f>2*PI()*SQRT(($D$49+$D$50)^3/$D$48)</f>
        <v>5801.2387419584484</v>
      </c>
      <c r="M51" s="12" t="s">
        <v>58</v>
      </c>
      <c r="N51" s="12" t="s">
        <v>55</v>
      </c>
      <c r="O51" s="3">
        <f>O50/(O49-O50)*100</f>
        <v>1080.1613301215473</v>
      </c>
      <c r="P51" s="1" t="s">
        <v>116</v>
      </c>
    </row>
    <row r="52" spans="2:16" x14ac:dyDescent="0.3">
      <c r="B52" s="14"/>
      <c r="C52" s="12" t="s">
        <v>46</v>
      </c>
      <c r="D52" s="3">
        <v>60</v>
      </c>
      <c r="E52" s="1" t="s">
        <v>120</v>
      </c>
      <c r="M52" s="12" t="s">
        <v>57</v>
      </c>
      <c r="N52" s="12" t="s">
        <v>55</v>
      </c>
      <c r="O52" s="3">
        <f>O42*$D$47/3600/($D44/100*$D$42/100)*(1+$D$43/100)</f>
        <v>5.9144025143351859</v>
      </c>
    </row>
    <row r="53" spans="2:16" x14ac:dyDescent="0.3">
      <c r="C53" s="10"/>
      <c r="D53" s="7"/>
      <c r="M53" s="12" t="s">
        <v>56</v>
      </c>
      <c r="N53" s="12" t="s">
        <v>55</v>
      </c>
      <c r="O53" s="3">
        <f>O42*$D$47/3600/($D44/100*$D$42/100)*(1+$D$43/100)/$D$45</f>
        <v>0.39962179150913418</v>
      </c>
    </row>
    <row r="55" spans="2:16" x14ac:dyDescent="0.3">
      <c r="N55" s="33" t="s">
        <v>65</v>
      </c>
      <c r="O55" s="7">
        <f>(O49-O42)/O49*100</f>
        <v>91.526582218237834</v>
      </c>
      <c r="P55" s="1" t="s">
        <v>22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Revision</vt:lpstr>
      <vt:lpstr>LEOP (Detumbling)</vt:lpstr>
      <vt:lpstr>NOP (FSO &amp; RF ISL)</vt:lpstr>
      <vt:lpstr>NOP (FSO &amp; RF ISL &amp; UDL)</vt:lpstr>
      <vt:lpstr>NOP (Stand-by)</vt:lpstr>
      <vt:lpstr>NOP (RF ISL &amp; Maneuver)</vt:lpstr>
      <vt:lpstr>NOP (RF UDL)</vt:lpstr>
      <vt:lpstr>Emergency (Charging)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Geuk-Nam Kim</dc:creator>
  <cp:lastModifiedBy>won soyoung</cp:lastModifiedBy>
  <dcterms:created xsi:type="dcterms:W3CDTF">2020-08-19T00:31:11Z</dcterms:created>
  <dcterms:modified xsi:type="dcterms:W3CDTF">2022-05-03T04:48:54Z</dcterms:modified>
</cp:coreProperties>
</file>