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G:\내 드라이브\한화시스템_레이저대즐링\1.Design\WBS\"/>
    </mc:Choice>
  </mc:AlternateContent>
  <xr:revisionPtr revIDLastSave="0" documentId="13_ncr:1_{DD211641-5035-4B4B-9993-DCCFB538BDF8}" xr6:coauthVersionLast="47" xr6:coauthVersionMax="47" xr10:uidLastSave="{00000000-0000-0000-0000-000000000000}"/>
  <bookViews>
    <workbookView xWindow="-103" yWindow="-103" windowWidth="33120" windowHeight="182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72" i="1" l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12" i="1"/>
  <c r="M12" i="1"/>
  <c r="L13" i="1"/>
  <c r="M13" i="1"/>
  <c r="L14" i="1"/>
  <c r="M14" i="1"/>
  <c r="L15" i="1"/>
  <c r="M15" i="1"/>
  <c r="L16" i="1"/>
  <c r="M16" i="1"/>
  <c r="L17" i="1"/>
  <c r="M17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M153" i="1"/>
  <c r="L153" i="1"/>
  <c r="M143" i="1"/>
  <c r="L143" i="1"/>
  <c r="M18" i="1"/>
  <c r="L18" i="1"/>
  <c r="M11" i="1"/>
  <c r="L11" i="1"/>
  <c r="L271" i="1"/>
  <c r="L54" i="1"/>
  <c r="L26" i="1"/>
  <c r="L2" i="1"/>
  <c r="M26" i="1"/>
  <c r="M54" i="1"/>
  <c r="M271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tc={3F6627BD-BBB9-4678-AF5D-AE23B55EB45F}</author>
  </authors>
  <commentList>
    <comment ref="H195" authorId="0" shapeId="0" xr:uid="{3F6627BD-BBB9-4678-AF5D-AE23B55EB4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태양전지판 면적, 각 서브시스템별 소비 전력 및 작동 주기 (요구/제한조건),</t>
      </text>
    </comment>
  </commentList>
</comments>
</file>

<file path=xl/sharedStrings.xml><?xml version="1.0" encoding="utf-8"?>
<sst xmlns="http://schemas.openxmlformats.org/spreadsheetml/2006/main" count="1035" uniqueCount="866">
  <si>
    <t>ID</t>
    <phoneticPr fontId="2" type="noConversion"/>
  </si>
  <si>
    <t>LEVEL 1</t>
    <phoneticPr fontId="2" type="noConversion"/>
  </si>
  <si>
    <t>LEVEL 2</t>
    <phoneticPr fontId="2" type="noConversion"/>
  </si>
  <si>
    <t>LEVEL 3</t>
    <phoneticPr fontId="2" type="noConversion"/>
  </si>
  <si>
    <t>LEVEL 4</t>
    <phoneticPr fontId="2" type="noConversion"/>
  </si>
  <si>
    <t>LEVEL 5</t>
    <phoneticPr fontId="2" type="noConversion"/>
  </si>
  <si>
    <t>LEVEL 6</t>
    <phoneticPr fontId="2" type="noConversion"/>
  </si>
  <si>
    <t>활동내용</t>
    <phoneticPr fontId="2" type="noConversion"/>
  </si>
  <si>
    <t>비고</t>
    <phoneticPr fontId="2" type="noConversion"/>
  </si>
  <si>
    <t>사업관리</t>
    <phoneticPr fontId="2" type="noConversion"/>
  </si>
  <si>
    <t>위험관리</t>
    <phoneticPr fontId="2" type="noConversion"/>
  </si>
  <si>
    <t>예산관리</t>
    <phoneticPr fontId="2" type="noConversion"/>
  </si>
  <si>
    <t>평가준비</t>
    <phoneticPr fontId="2" type="noConversion"/>
  </si>
  <si>
    <t>보고서</t>
    <phoneticPr fontId="2" type="noConversion"/>
  </si>
  <si>
    <t>월간 진행 현황보고서</t>
    <phoneticPr fontId="2" type="noConversion"/>
  </si>
  <si>
    <t>분기별 진행 현황보고서</t>
    <phoneticPr fontId="2" type="noConversion"/>
  </si>
  <si>
    <t>중간 보고서</t>
    <phoneticPr fontId="2" type="noConversion"/>
  </si>
  <si>
    <t>결과 보고서</t>
    <phoneticPr fontId="2" type="noConversion"/>
  </si>
  <si>
    <t>성과</t>
    <phoneticPr fontId="2" type="noConversion"/>
  </si>
  <si>
    <t>논문</t>
    <phoneticPr fontId="2" type="noConversion"/>
  </si>
  <si>
    <t>EQM</t>
    <phoneticPr fontId="2" type="noConversion"/>
  </si>
  <si>
    <t>FM</t>
    <phoneticPr fontId="2" type="noConversion"/>
  </si>
  <si>
    <t>진도점검</t>
    <phoneticPr fontId="2" type="noConversion"/>
  </si>
  <si>
    <t>SDR</t>
    <phoneticPr fontId="2" type="noConversion"/>
  </si>
  <si>
    <t>위성체 COTS 부품 계약 완료</t>
    <phoneticPr fontId="2" type="noConversion"/>
  </si>
  <si>
    <t>임무 정의 및 시스템 개념 설계 완료</t>
    <phoneticPr fontId="2" type="noConversion"/>
  </si>
  <si>
    <t>PDR</t>
    <phoneticPr fontId="2" type="noConversion"/>
  </si>
  <si>
    <t>시스템 예비 설계 완료</t>
    <phoneticPr fontId="2" type="noConversion"/>
  </si>
  <si>
    <t>발사체 조사</t>
    <phoneticPr fontId="2" type="noConversion"/>
  </si>
  <si>
    <t>CDR</t>
    <phoneticPr fontId="2" type="noConversion"/>
  </si>
  <si>
    <t>시스템 상세 설계 완료</t>
    <phoneticPr fontId="2" type="noConversion"/>
  </si>
  <si>
    <t>TRR</t>
    <phoneticPr fontId="2" type="noConversion"/>
  </si>
  <si>
    <t>시스템 조립 및 시험 준비 완료</t>
    <phoneticPr fontId="2" type="noConversion"/>
  </si>
  <si>
    <t>PSR</t>
    <phoneticPr fontId="2" type="noConversion"/>
  </si>
  <si>
    <t>위성 배송 절차 준비 완료</t>
    <phoneticPr fontId="2" type="noConversion"/>
  </si>
  <si>
    <t>발사관 장착 준비 완료</t>
    <phoneticPr fontId="2" type="noConversion"/>
  </si>
  <si>
    <t>계약 및 등록</t>
    <phoneticPr fontId="2" type="noConversion"/>
  </si>
  <si>
    <t>발사 캠페인</t>
    <phoneticPr fontId="2" type="noConversion"/>
  </si>
  <si>
    <t>발사체 선정</t>
    <phoneticPr fontId="2" type="noConversion"/>
  </si>
  <si>
    <t>발사체 계약</t>
    <phoneticPr fontId="2" type="noConversion"/>
  </si>
  <si>
    <t>주파수 등록</t>
    <phoneticPr fontId="2" type="noConversion"/>
  </si>
  <si>
    <t>UHF 주파수 등록</t>
    <phoneticPr fontId="2" type="noConversion"/>
  </si>
  <si>
    <t>S-band 주파수 등록</t>
    <phoneticPr fontId="2" type="noConversion"/>
  </si>
  <si>
    <t>우주국/지구국 등록</t>
    <phoneticPr fontId="2" type="noConversion"/>
  </si>
  <si>
    <t>우주물체 등록</t>
    <phoneticPr fontId="2" type="noConversion"/>
  </si>
  <si>
    <t>시험국 등록</t>
    <phoneticPr fontId="2" type="noConversion"/>
  </si>
  <si>
    <t>지상국 등록</t>
    <phoneticPr fontId="2" type="noConversion"/>
  </si>
  <si>
    <t>PAYS</t>
    <phoneticPr fontId="3" type="noConversion"/>
  </si>
  <si>
    <t>H/W Design and Development</t>
    <phoneticPr fontId="3" type="noConversion"/>
  </si>
  <si>
    <t>Requirements</t>
    <phoneticPr fontId="3" type="noConversion"/>
  </si>
  <si>
    <t>Define Requirements Level 3</t>
    <phoneticPr fontId="3" type="noConversion"/>
  </si>
  <si>
    <t>목적: system level 요구조건 정의
투입재료: REQ 표
결과물: level 3 REQ 표</t>
    <phoneticPr fontId="3" type="noConversion"/>
  </si>
  <si>
    <t>Allocation of Requirements to Level 4</t>
    <phoneticPr fontId="3" type="noConversion"/>
  </si>
  <si>
    <t>목적: subsystem leve 요구조건 정의
투입재료: level 3 요구조건
결과물: level 4 REQ 표</t>
    <phoneticPr fontId="3" type="noConversion"/>
  </si>
  <si>
    <t>Allocation of Requirements to Level 5</t>
    <phoneticPr fontId="3" type="noConversion"/>
  </si>
  <si>
    <t>목적: part or module 요구조건 정의
투입재료: level 4 요구조건 
결과물: level 5 REQ 표</t>
    <phoneticPr fontId="3" type="noConversion"/>
  </si>
  <si>
    <t>Verification Definition</t>
    <phoneticPr fontId="3" type="noConversion"/>
  </si>
  <si>
    <t>Define Verification Level 3</t>
    <phoneticPr fontId="3" type="noConversion"/>
  </si>
  <si>
    <t>목적: system level 검증 방식 정의
투입재료: level 3 요구조건
결과물: level 3 REQ 표</t>
    <phoneticPr fontId="3" type="noConversion"/>
  </si>
  <si>
    <t>Define Verification Level 4</t>
    <phoneticPr fontId="3" type="noConversion"/>
  </si>
  <si>
    <t>목적: subsystem level 검증 방식 정의
투입재료: level 4 요구조건
결과물: level 4 REQ 표</t>
    <phoneticPr fontId="3" type="noConversion"/>
  </si>
  <si>
    <t>Define Verification Level 5</t>
    <phoneticPr fontId="3" type="noConversion"/>
  </si>
  <si>
    <t>목적: parts or module 검증 방식 정의
투입재료: level 5 요구조건
결과물: level 5 REQ 표</t>
    <phoneticPr fontId="3" type="noConversion"/>
  </si>
  <si>
    <t>H/W Selection</t>
    <phoneticPr fontId="3" type="noConversion"/>
  </si>
  <si>
    <t>Search Photodiode</t>
    <phoneticPr fontId="3" type="noConversion"/>
  </si>
  <si>
    <t>목적: Photodiode spec. 사전 조사
투입재료: PAYS REQ 표
결과물: 제조사 별 사용가능 Photodiode list 및 spec.</t>
    <phoneticPr fontId="3" type="noConversion"/>
  </si>
  <si>
    <t>Select Photodiode</t>
    <phoneticPr fontId="3" type="noConversion"/>
  </si>
  <si>
    <t>목적: 사용할 Photodiode 선정
투입재료: 제조사 별 사용가능 Photodiode list 및 spec., 궤도 상에서의 총 광력에 의한 광전류 데이터
결과물: 최종 Photodiode 제품</t>
    <phoneticPr fontId="3" type="noConversion"/>
  </si>
  <si>
    <t xml:space="preserve">Budget management </t>
    <phoneticPr fontId="3" type="noConversion"/>
  </si>
  <si>
    <t>Photodiode Max light Level</t>
    <phoneticPr fontId="3" type="noConversion"/>
  </si>
  <si>
    <t>필터 장착 여부 판단</t>
    <phoneticPr fontId="3" type="noConversion"/>
  </si>
  <si>
    <t>목적: 포토다이오드에 입사되는 Max. light Level 설정
투입재료: 포토다이오드에 입사되는 총 광력, Photodiode 요구조건
결과물: max. light level</t>
    <phoneticPr fontId="3" type="noConversion"/>
  </si>
  <si>
    <t>out.Voltage sensitivity</t>
    <phoneticPr fontId="3" type="noConversion"/>
  </si>
  <si>
    <t>목적: 포토다이오드 광 감지 민감도 설정
투입재료: 궤도 상에서의 총 광력에 의한 광전류 데이터, Photodiode 요구조건
결과물: out.Voltage sensing 단위</t>
    <phoneticPr fontId="3" type="noConversion"/>
  </si>
  <si>
    <t>Preliminary Design</t>
    <phoneticPr fontId="3" type="noConversion"/>
  </si>
  <si>
    <t>Light power Analysis</t>
    <phoneticPr fontId="3" type="noConversion"/>
  </si>
  <si>
    <t>SLR 레이저 조사</t>
    <phoneticPr fontId="3" type="noConversion"/>
  </si>
  <si>
    <t>목적: 포토다이오드에 입사되는 광 파악
투입재료: SLR 레이저 자료 조사
결과물: SLR 레이저 파장 및 광 파워 데이터 시트</t>
    <phoneticPr fontId="3" type="noConversion"/>
  </si>
  <si>
    <t>지구 복사 조도 데이터 조사</t>
    <phoneticPr fontId="3" type="noConversion"/>
  </si>
  <si>
    <t>목적: 포토다이오드에 입사되는 광 파악
투입재료: 지구 복사 조도 자료 조사
결과물: 지구 복사 조도의 광 파워 데이터 시트</t>
    <phoneticPr fontId="3" type="noConversion"/>
  </si>
  <si>
    <t>SLR 레이저 파워 환산 및 SLR 광력에 의한 광전류 분석</t>
    <phoneticPr fontId="3" type="noConversion"/>
  </si>
  <si>
    <t>목적: SLR 광력에 의한 광전류 분석
투입재료: SLR 레이저 파장 및 광 파워 데이터 시트
결과물: Matlab code 및 SLR 레이저에 의한 광전류 데이터</t>
    <phoneticPr fontId="3" type="noConversion"/>
  </si>
  <si>
    <t xml:space="preserve">파장에 따른 지구 복사 조도에 의한 광전류 분석 </t>
    <phoneticPr fontId="3" type="noConversion"/>
  </si>
  <si>
    <t>목적: 지구 복사 조도에 의한 광전류 분석
투입재료: 지구 복사 조도의 광 파워 데이터 시트
결과물: Matlab code 및 지구 복사 조도에 의한 광전류 데이터</t>
    <phoneticPr fontId="3" type="noConversion"/>
  </si>
  <si>
    <t>궤도 상에 입사되는 총 광력에 의한 광전류 분석</t>
    <phoneticPr fontId="3" type="noConversion"/>
  </si>
  <si>
    <t>목적: 궤도 상에 입사되는 총 광력에 의한 광전류 분석
투입재료: GMAT프로그램, 선행 광전류 데이터, Matlab code
결과물: 궤도 상에서의 총 광력에 의한 광전류 데이터</t>
    <phoneticPr fontId="3" type="noConversion"/>
  </si>
  <si>
    <t xml:space="preserve">총 광력에 의한 광전류 분석 S/W 신뢰성 검증 </t>
    <phoneticPr fontId="3" type="noConversion"/>
  </si>
  <si>
    <t xml:space="preserve">포토다이오드 상세 요구조건 결정 </t>
    <phoneticPr fontId="3" type="noConversion"/>
  </si>
  <si>
    <t>목적: 포토다이오드 최종 spec. 선정
투입재료: 궤도 상에서 총 광력에 의한 광전류 데이터
결과물: 사용할 Photodiode 요구조건, REQ Level 3, 4의 TBD 값</t>
    <phoneticPr fontId="3" type="noConversion"/>
  </si>
  <si>
    <t>Laser detector circuit manufacture</t>
    <phoneticPr fontId="3" type="noConversion"/>
  </si>
  <si>
    <t>레이저 감지 회로 제작에 대한 사전 조사</t>
    <phoneticPr fontId="3" type="noConversion"/>
  </si>
  <si>
    <t>목적: 레이저 감지 회로 제작 준비
투입재료: Photoidode 요구조건, 우주부품 개발 프로세스
결과물: 레이저 감지 회로 제작 가능 업체 list</t>
    <phoneticPr fontId="3" type="noConversion"/>
  </si>
  <si>
    <t>Critical Design</t>
    <phoneticPr fontId="3" type="noConversion"/>
  </si>
  <si>
    <t>Laser detector circuit design</t>
    <phoneticPr fontId="3" type="noConversion"/>
  </si>
  <si>
    <t>회로 출력전압 민감도 설계</t>
    <phoneticPr fontId="3" type="noConversion"/>
  </si>
  <si>
    <t>목적: 레이저 감지 회로 설계
투입재료: 궤도 상에서 총 광력에 의한 광전류 데이터, 사용할 Photodiode 요구조건
결과물: 레이저 감지 회로 요구조건 및 구성요소</t>
    <phoneticPr fontId="3" type="noConversion"/>
  </si>
  <si>
    <t>PCB 설계</t>
    <phoneticPr fontId="3" type="noConversion"/>
  </si>
  <si>
    <t>목적: 레이저 감지 회로 PCB 설계
투입재료: 레이저 감지 회로 요구조건 및 구성요소
결과물: PCB 회로도</t>
    <phoneticPr fontId="3" type="noConversion"/>
  </si>
  <si>
    <t>레이저 감지 회로 제작</t>
    <phoneticPr fontId="3" type="noConversion"/>
  </si>
  <si>
    <t>목적: 레이저 감지 회로 제작
투입재료: PCB 회로도, 레이저 감지 회로 제작 가능 업체 list
결과물: 레이저 감지 회로 EQM, FM</t>
    <phoneticPr fontId="3" type="noConversion"/>
  </si>
  <si>
    <t>Verification Test</t>
    <phoneticPr fontId="3" type="noConversion"/>
  </si>
  <si>
    <t>Photodiode sensitivity Test</t>
    <phoneticPr fontId="3" type="noConversion"/>
  </si>
  <si>
    <t>레이저 감지 회로의 광력에 대한 출력전압 성능 시험 준비</t>
    <phoneticPr fontId="3" type="noConversion"/>
  </si>
  <si>
    <t>시험 절사서 작성</t>
    <phoneticPr fontId="3" type="noConversion"/>
  </si>
  <si>
    <t>목적: 포토다이오드 회로 성능 시험을 위한 시험 절사서 작성
투입재료: REQ 문서
결과물: 레이저 감지 회로의 광력에 대한 출력전압 성능 시험 절차서</t>
    <phoneticPr fontId="3" type="noConversion"/>
  </si>
  <si>
    <t>시험을 위한 장비 구입</t>
    <phoneticPr fontId="3" type="noConversion"/>
  </si>
  <si>
    <t>목적: 포토다이오드 회로 성능 시험을 위한 필요 물품 구입
투입재료: 레이저 감지 회로의 광력에 대한 출력전압 성능 시험 절차서
결과물: 시험 장비 구입 품목</t>
    <phoneticPr fontId="3" type="noConversion"/>
  </si>
  <si>
    <t>레이저 감지 회로의 광력에 대한 출력전압 성능 시험</t>
    <phoneticPr fontId="3" type="noConversion"/>
  </si>
  <si>
    <t>목적: 레이저 감지 회로 H/W의 신뢰성 검증
투입재료: 레이저 감지 회로의 광력에 대한 출력전압 성능 시험 절차서, 궤도 상에서의 총 광력에 의한 광전류 데이터, 시험 장비, 레이저 감지 회로 EQM
결과물: 레이저 감지 회로의 광력에 대한 출력전압 성능 시험 결과</t>
    <phoneticPr fontId="3" type="noConversion"/>
  </si>
  <si>
    <t>레이저 감지 회로의 광력에 대한 출력전압 성능 시험 보고서 작성</t>
    <phoneticPr fontId="3" type="noConversion"/>
  </si>
  <si>
    <t>목적: 레이저 감지 회로의 광력에 대한 출력전압 성능 시험 보고서 작성
투입재료: 레이저 감지 회로의 광력에 대한 출력전압 성능 시험 결과
결과물: 레이저 감지 회로의 광력에 대한 출력전압 성능 시험 보고서</t>
    <phoneticPr fontId="3" type="noConversion"/>
  </si>
  <si>
    <t>Space Environment Test</t>
    <phoneticPr fontId="3" type="noConversion"/>
  </si>
  <si>
    <t>방사선 시험</t>
    <phoneticPr fontId="3" type="noConversion"/>
  </si>
  <si>
    <t>목적: 우주부품 검증
투입재료: 레이저 감지 회로 EQM, 방사선 요구조건
결과물: 방사선 시험 성적서</t>
    <phoneticPr fontId="3" type="noConversion"/>
  </si>
  <si>
    <t>Final Performance Test</t>
    <phoneticPr fontId="3" type="noConversion"/>
  </si>
  <si>
    <t>목적: 방사선 시험 후 정상 작동 여부 판단
투입재료: 레이저 감지 회로의 광력에 대한 출력전압 성능 시험 절차서, 광전류 데이터, 시험 장비, 방사선 시험 후 레이저 감지 회로 EQM
결과물: 레이저 감지 회로의 광력에 대한 출력전압 성능 시험 결과</t>
    <phoneticPr fontId="3" type="noConversion"/>
  </si>
  <si>
    <t>목적: 방사선 시험 후 정상 작동 여부 판단에 대한 보고서 작성
투입재료: 레이저 감지 회로의 광력에 대한 출력전압 성능 시험 결과, 방사선 시험 후 레이저 감지 회로 EQM
결과물: 방사선 시험 후, 레이저 감지 회로의 광력에 대한 출력전압 성능 시험 보고서</t>
    <phoneticPr fontId="3" type="noConversion"/>
  </si>
  <si>
    <t>목적: part or module 요구조건 정의
투입재료: level 3~4 요구조건 
결과물: level 5 REQ 표</t>
    <phoneticPr fontId="3" type="noConversion"/>
  </si>
  <si>
    <t>PAYR</t>
    <phoneticPr fontId="3" type="noConversion"/>
  </si>
  <si>
    <t>H/W Design &amp; Development</t>
    <phoneticPr fontId="3" type="noConversion"/>
  </si>
  <si>
    <t>Benchmarking</t>
    <phoneticPr fontId="3" type="noConversion"/>
  </si>
  <si>
    <t>Deploying Mechanism</t>
    <phoneticPr fontId="3" type="noConversion"/>
  </si>
  <si>
    <t>CanX-7</t>
    <phoneticPr fontId="3" type="noConversion"/>
  </si>
  <si>
    <t>목적: CanX-7 Deploying Mechanism 조사
투입재료: CanX-7 Drag Sail 자료
결과물: CanX-7 Deploying Mechanism 정리 문서</t>
    <phoneticPr fontId="3" type="noConversion"/>
  </si>
  <si>
    <t>Canyval-C</t>
    <phoneticPr fontId="3" type="noConversion"/>
  </si>
  <si>
    <t>목적: Canyval-C Deploying Mechanism 조사
투입재료: Canyval-C Drag Sail 자료
결과물: Canyval-C Deploying Mechanism 정리 문서</t>
    <phoneticPr fontId="3" type="noConversion"/>
  </si>
  <si>
    <t>Solid Modelling</t>
    <phoneticPr fontId="3" type="noConversion"/>
  </si>
  <si>
    <t>Reel</t>
    <phoneticPr fontId="3" type="noConversion"/>
  </si>
  <si>
    <t>Reel axle</t>
    <phoneticPr fontId="3" type="noConversion"/>
  </si>
  <si>
    <t>Roller</t>
    <phoneticPr fontId="3" type="noConversion"/>
  </si>
  <si>
    <t>Roller axle</t>
    <phoneticPr fontId="3" type="noConversion"/>
  </si>
  <si>
    <t>Roller enclosure</t>
  </si>
  <si>
    <t>Housing</t>
    <phoneticPr fontId="3" type="noConversion"/>
  </si>
  <si>
    <t>Sail Cartridge</t>
    <phoneticPr fontId="3" type="noConversion"/>
  </si>
  <si>
    <t>Sail Cartridge Door</t>
    <phoneticPr fontId="3" type="noConversion"/>
  </si>
  <si>
    <t>Damper</t>
    <phoneticPr fontId="3" type="noConversion"/>
  </si>
  <si>
    <t>Tape Spring</t>
    <phoneticPr fontId="3" type="noConversion"/>
  </si>
  <si>
    <t xml:space="preserve">Roller Position </t>
    <phoneticPr fontId="3" type="noConversion"/>
  </si>
  <si>
    <t xml:space="preserve">Coiled Spring </t>
    <phoneticPr fontId="3" type="noConversion"/>
  </si>
  <si>
    <t>Test</t>
    <phoneticPr fontId="3" type="noConversion"/>
  </si>
  <si>
    <t>Prototype Model</t>
    <phoneticPr fontId="3" type="noConversion"/>
  </si>
  <si>
    <t>Interface</t>
    <phoneticPr fontId="3" type="noConversion"/>
  </si>
  <si>
    <t>Mechanical</t>
    <phoneticPr fontId="3" type="noConversion"/>
  </si>
  <si>
    <t>Connection between Reflector module and cubesat structure</t>
    <phoneticPr fontId="3" type="noConversion"/>
  </si>
  <si>
    <t>Connection between Roller and Roller enclosure</t>
    <phoneticPr fontId="3" type="noConversion"/>
  </si>
  <si>
    <t>Connection between Roller enclousre and housing</t>
    <phoneticPr fontId="3" type="noConversion"/>
  </si>
  <si>
    <t>Connection between Reel and Damper</t>
    <phoneticPr fontId="3" type="noConversion"/>
  </si>
  <si>
    <t>Connection between Reel and Housing</t>
    <phoneticPr fontId="3" type="noConversion"/>
  </si>
  <si>
    <t>Connection between Reel and Tape spring</t>
    <phoneticPr fontId="3" type="noConversion"/>
  </si>
  <si>
    <t>Sail Cartridge
Internal Connection</t>
    <phoneticPr fontId="3" type="noConversion"/>
  </si>
  <si>
    <t>Connection between Sail and Sail Cartridge</t>
    <phoneticPr fontId="3" type="noConversion"/>
  </si>
  <si>
    <t>Reflector Module &lt;-&gt;
Sail Cartridge</t>
    <phoneticPr fontId="3" type="noConversion"/>
  </si>
  <si>
    <t>Sail &lt;-&gt; Tape Spring Boom</t>
    <phoneticPr fontId="3" type="noConversion"/>
  </si>
  <si>
    <t>How Connect the Sail?</t>
    <phoneticPr fontId="3" type="noConversion"/>
  </si>
  <si>
    <t>Electrical</t>
    <phoneticPr fontId="3" type="noConversion"/>
  </si>
  <si>
    <t>EPS와 박막전개장치 간 연결</t>
    <phoneticPr fontId="3" type="noConversion"/>
  </si>
  <si>
    <t>OBC와 박막전개장치 간 연결</t>
    <phoneticPr fontId="3" type="noConversion"/>
  </si>
  <si>
    <t>Budget</t>
    <phoneticPr fontId="3" type="noConversion"/>
  </si>
  <si>
    <t>Mass</t>
    <phoneticPr fontId="3" type="noConversion"/>
  </si>
  <si>
    <t>Reflector Module</t>
  </si>
  <si>
    <t xml:space="preserve">Sail </t>
    <phoneticPr fontId="3" type="noConversion"/>
  </si>
  <si>
    <t>Integrated Module</t>
    <phoneticPr fontId="3" type="noConversion"/>
  </si>
  <si>
    <t>Power</t>
    <phoneticPr fontId="3" type="noConversion"/>
  </si>
  <si>
    <t>Sail</t>
    <phoneticPr fontId="3" type="noConversion"/>
  </si>
  <si>
    <t>Connecting components</t>
    <phoneticPr fontId="3" type="noConversion"/>
  </si>
  <si>
    <t>Fabrication Process</t>
    <phoneticPr fontId="3" type="noConversion"/>
  </si>
  <si>
    <t>Rewind GSE</t>
    <phoneticPr fontId="3" type="noConversion"/>
  </si>
  <si>
    <t>Force Analysis</t>
    <phoneticPr fontId="3" type="noConversion"/>
  </si>
  <si>
    <t>Torque Analysis</t>
    <phoneticPr fontId="3" type="noConversion"/>
  </si>
  <si>
    <t>Reel enclosure</t>
    <phoneticPr fontId="3" type="noConversion"/>
  </si>
  <si>
    <t>Roller &amp; Roller Enclosure</t>
    <phoneticPr fontId="3" type="noConversion"/>
  </si>
  <si>
    <t>Tape Spring Attachment</t>
    <phoneticPr fontId="3" type="noConversion"/>
  </si>
  <si>
    <t>Components</t>
    <phoneticPr fontId="3" type="noConversion"/>
  </si>
  <si>
    <t>Torque Analysis</t>
  </si>
  <si>
    <t>Rewind Test</t>
    <phoneticPr fontId="3" type="noConversion"/>
  </si>
  <si>
    <t>Standard Deployment Test</t>
    <phoneticPr fontId="3" type="noConversion"/>
  </si>
  <si>
    <t>Repeated Deployment Test</t>
    <phoneticPr fontId="3" type="noConversion"/>
  </si>
  <si>
    <t>Mechanism Design
&amp; Analysis</t>
    <phoneticPr fontId="3" type="noConversion"/>
  </si>
  <si>
    <t>Rewinding Mechanism</t>
    <phoneticPr fontId="3" type="noConversion"/>
  </si>
  <si>
    <t>Burn-Wire Mechanism</t>
    <phoneticPr fontId="3" type="noConversion"/>
  </si>
  <si>
    <t>Door Open Mechanism</t>
    <phoneticPr fontId="3" type="noConversion"/>
  </si>
  <si>
    <t>Sail Storage Method</t>
    <phoneticPr fontId="3" type="noConversion"/>
  </si>
  <si>
    <t>Thermal Analysis</t>
    <phoneticPr fontId="3" type="noConversion"/>
  </si>
  <si>
    <t>Thermal Ambient Analysis</t>
    <phoneticPr fontId="3" type="noConversion"/>
  </si>
  <si>
    <t>Hot Soak</t>
    <phoneticPr fontId="3" type="noConversion"/>
  </si>
  <si>
    <t>Hot Start</t>
    <phoneticPr fontId="3" type="noConversion"/>
  </si>
  <si>
    <t>Cold Soak</t>
    <phoneticPr fontId="3" type="noConversion"/>
  </si>
  <si>
    <t>Cold Start</t>
    <phoneticPr fontId="3" type="noConversion"/>
  </si>
  <si>
    <t>Sail Stirs and Cylces</t>
    <phoneticPr fontId="3" type="noConversion"/>
  </si>
  <si>
    <t>Thermal Vacuum Analysis</t>
    <phoneticPr fontId="3" type="noConversion"/>
  </si>
  <si>
    <t>Thermal Shock Analysis</t>
    <phoneticPr fontId="3" type="noConversion"/>
  </si>
  <si>
    <t>Vibration Analysis</t>
    <phoneticPr fontId="3" type="noConversion"/>
  </si>
  <si>
    <t>Radiation Analysis</t>
    <phoneticPr fontId="3" type="noConversion"/>
  </si>
  <si>
    <t>H/W Re-Selection</t>
    <phoneticPr fontId="3" type="noConversion"/>
  </si>
  <si>
    <t>Structure Design
&amp; Analysis</t>
    <phoneticPr fontId="3" type="noConversion"/>
  </si>
  <si>
    <t>Development</t>
    <phoneticPr fontId="3" type="noConversion"/>
  </si>
  <si>
    <t>Structure Development</t>
    <phoneticPr fontId="3" type="noConversion"/>
  </si>
  <si>
    <t>Assembly</t>
    <phoneticPr fontId="3" type="noConversion"/>
  </si>
  <si>
    <t>PAYC</t>
    <phoneticPr fontId="3" type="noConversion"/>
  </si>
  <si>
    <t>Search COTS</t>
    <phoneticPr fontId="3" type="noConversion"/>
  </si>
  <si>
    <t>목적: 사용할 카메라 시장조사
투입재료: PAYC REQ 표
결과물: 제조사 별 사용 가능한 COTS list 및 spec.</t>
    <phoneticPr fontId="3" type="noConversion"/>
  </si>
  <si>
    <t>Select COTS</t>
    <phoneticPr fontId="3" type="noConversion"/>
  </si>
  <si>
    <t>목적: 사용할 상용부품 선정
투입재료: 제조사 별 사용 가능한 COTS list 및 spec. , 총 촬영 시간, 하향할 수 있는 사진 장수/path, 
결과물: 최종 COTS</t>
    <phoneticPr fontId="3" type="noConversion"/>
  </si>
  <si>
    <t xml:space="preserve">Imaging Duration
</t>
    <phoneticPr fontId="3" type="noConversion"/>
  </si>
  <si>
    <t>목적: 대즐링 식별 시험을 위한 총 촬영 시간 분석
투입재료: 필요한 사진 수, Image acquistion time, Image processing time 등등
결과물: 총 촬영 시간</t>
    <phoneticPr fontId="3" type="noConversion"/>
  </si>
  <si>
    <t xml:space="preserve">Imaging Sampling Rate
</t>
    <phoneticPr fontId="3" type="noConversion"/>
  </si>
  <si>
    <t>목적: 대즐링 식별 시험을 윟 필요한 사진 장수
투입재료: 사용자 요구문서, 궤도, 데이터 하양 조건
결과물: 하향할 수 있는 사진 장수/path</t>
    <phoneticPr fontId="3" type="noConversion"/>
  </si>
  <si>
    <t>BUS</t>
    <phoneticPr fontId="3" type="noConversion"/>
  </si>
  <si>
    <t xml:space="preserve">목적: 상용부품 시장조사 및 사전 조사
투입재료: Bus REQ 표
결과물: 제조사 별 사용 가능한 COTS list 및 spec. </t>
    <phoneticPr fontId="3" type="noConversion"/>
  </si>
  <si>
    <t>목적: 사용할 상용부품 선정
투입재료: 제조사 별 사용 가능한 COTS list 및 spec., 예비 설계 해석 결과
결과물: 최종 COTS 제품</t>
    <phoneticPr fontId="3" type="noConversion"/>
  </si>
  <si>
    <t>Size (Level 3)</t>
    <phoneticPr fontId="3" type="noConversion"/>
  </si>
  <si>
    <t>목적: system level의 크기 할당
투입재료: 3D-Modeling
결과물: system level 크기</t>
    <phoneticPr fontId="3" type="noConversion"/>
  </si>
  <si>
    <t>Mass (Level 3)</t>
    <phoneticPr fontId="3" type="noConversion"/>
  </si>
  <si>
    <t>목적: system level의 무게 할당
투입재료: 3D-Modeling 
결과물: system level 무게</t>
    <phoneticPr fontId="3" type="noConversion"/>
  </si>
  <si>
    <t>Total Center of mass</t>
    <phoneticPr fontId="3" type="noConversion"/>
  </si>
  <si>
    <t>목적: 3U CubeSat의 무게중심 할당
투입재료: 
결과물: 3U CubeSat 무게 중심 허용범위</t>
    <phoneticPr fontId="3" type="noConversion"/>
  </si>
  <si>
    <t>Power Margin in Normal and Scenario</t>
    <phoneticPr fontId="3" type="noConversion"/>
  </si>
  <si>
    <t>목적: 3U CubeSat 전력 할당
투입재료: Power Budget Analysis Excel sheet
결과물: system level 당 허용 소모 전략</t>
    <phoneticPr fontId="3" type="noConversion"/>
  </si>
  <si>
    <t>UHF Communication time and Margin</t>
    <phoneticPr fontId="3" type="noConversion"/>
  </si>
  <si>
    <t>목적: UHF 통신 마진 설정
투입재료: Link Margin Anaylsis sheet
결과물: UHF Link Margin</t>
    <phoneticPr fontId="3" type="noConversion"/>
  </si>
  <si>
    <t>S-band Communication time and Margin</t>
    <phoneticPr fontId="3" type="noConversion"/>
  </si>
  <si>
    <t>Thermal uncertainty</t>
    <phoneticPr fontId="3" type="noConversion"/>
  </si>
  <si>
    <t>목적: 3U 큐브위성 특정 부분 열 환경 조건 설정
투입재료: 열 해석 결과
결과물: 궤도의 열환경에 의한 sensor 작동 가능한 온도 범위</t>
    <phoneticPr fontId="3" type="noConversion"/>
  </si>
  <si>
    <t>Mission orbit Design</t>
    <phoneticPr fontId="3" type="noConversion"/>
  </si>
  <si>
    <t>Requirement for Orbit condition of Verification CubeSat</t>
    <phoneticPr fontId="3" type="noConversion"/>
  </si>
  <si>
    <t>목적: 궤도 선정을 위한 요구조건 정의
투입재료: 한화시스템 시험조건
결과물: 궤도 요구조건</t>
    <phoneticPr fontId="3" type="noConversion"/>
  </si>
  <si>
    <t xml:space="preserve">Define Mission Orbit </t>
    <phoneticPr fontId="3" type="noConversion"/>
  </si>
  <si>
    <t>Visible orbit 분석 (At, Hanwha Ground Station)</t>
    <phoneticPr fontId="3" type="noConversion"/>
  </si>
  <si>
    <t>목적: 지상관측을 위한 궤도선정 조건분석
투입재료: Matlab 코드, 궤도 요구조건
결과물: 궤도 요구조건 분석 결과</t>
    <phoneticPr fontId="3" type="noConversion"/>
  </si>
  <si>
    <t>지상국 통신 시간 분석</t>
    <phoneticPr fontId="3" type="noConversion"/>
  </si>
  <si>
    <t>선정 궤도에 대한 연세대학교 지상국 contact 구간 분석</t>
    <phoneticPr fontId="3" type="noConversion"/>
  </si>
  <si>
    <t>목적: 연세대학교 지상국 통신 구간 분석
투입재료: GMAT, Matlab, 궤도 요소
결과물: 연세대학교 지상국 통신 시간, 연세대학교 지상국 통신 가능 구간</t>
    <phoneticPr fontId="3" type="noConversion"/>
  </si>
  <si>
    <t>선정 궤도에 대한 한화시스템 지상국 contact 구간 분석</t>
    <phoneticPr fontId="3" type="noConversion"/>
  </si>
  <si>
    <t>목적: 한화시스템 지상국 contact 구간 분석
투입재료: GMAT, Matlab, 궤도 요소
결과물: 한화시스템 지상국 contact 시간, 한화시스템 지상국 contact 가능 구간</t>
    <phoneticPr fontId="3" type="noConversion"/>
  </si>
  <si>
    <t>선정 궤도에 대한 모든 지상국 contact 구간 분석</t>
    <phoneticPr fontId="3" type="noConversion"/>
  </si>
  <si>
    <t>목적: 시험을 하기 위해 2개의 지상국 동시에 contact 가능 구간 분석
투입재료: GMAT, Matlab, 궤도 요소
결과물: 2개의 지상국 동시에 contact 시간, 2개의 지상국 동시에 contact 가능 구간</t>
    <phoneticPr fontId="3" type="noConversion"/>
  </si>
  <si>
    <t>선정 궤도에 대한 Max. 임무 데이터 하향 분석</t>
    <phoneticPr fontId="3" type="noConversion"/>
  </si>
  <si>
    <t>목적: S-band 하향 데이터 가능 용량 확인
투입재료: 지상국 통신 시간, S-band 하향 속도, 임무 데이터 용량
결과물: S-band 하향 데이터 가능 용량 (몇장/path)</t>
    <phoneticPr fontId="3" type="noConversion"/>
  </si>
  <si>
    <t>섭동력 분석</t>
    <phoneticPr fontId="3" type="noConversion"/>
  </si>
  <si>
    <t>섭동항에 따른 고도 강하 분석</t>
    <phoneticPr fontId="3" type="noConversion"/>
  </si>
  <si>
    <t>목적: 섭동력 분석
투입재료: GMAT, Matlab, 궤도 요소, 운동방정식
결과물: 대기 저항&amp;유효 단면적에 따른 추락 시기, 자세 제어 오차</t>
    <phoneticPr fontId="3" type="noConversion"/>
  </si>
  <si>
    <t>궤도 요소 변화 분석</t>
    <phoneticPr fontId="3" type="noConversion"/>
  </si>
  <si>
    <t>목적: 궤도 요소 변화 분석
투입재료: GMAT, Matlab, 궤도 요소
결과물: 궤도 요소 변화 데이터, Beta angle</t>
    <phoneticPr fontId="3" type="noConversion"/>
  </si>
  <si>
    <t>자세 각운동량 누적 분석</t>
    <phoneticPr fontId="3" type="noConversion"/>
  </si>
  <si>
    <t>목적: Reation wheel 성능 보정 및 파악을 위해
투입재료: GMAT, Matlab, 섭동력 등등
결과물: 자세 각운동량 누적량</t>
    <phoneticPr fontId="3" type="noConversion"/>
  </si>
  <si>
    <t>Concept of operation Design</t>
    <phoneticPr fontId="3" type="noConversion"/>
  </si>
  <si>
    <t>운용 개념 정의</t>
    <phoneticPr fontId="3" type="noConversion"/>
  </si>
  <si>
    <t>목적: HYVRID 큐브위성 운용 상황 분류
투입재료: REQ 표, 사용자요구조건 문서
결과물: 큐브위성 운용 모드 문서_개념 정의</t>
    <phoneticPr fontId="3" type="noConversion"/>
  </si>
  <si>
    <t>운용 개념 Task 정의</t>
    <phoneticPr fontId="3" type="noConversion"/>
  </si>
  <si>
    <t>목적: HYVRID 큐브위성 운용 상황의 내용 구성
투입재료: REQ 표, 사용자요구조건 문서
결과물: 큐브위성 운용 모드 문서_Task 정의</t>
    <phoneticPr fontId="3" type="noConversion"/>
  </si>
  <si>
    <t>운용 개념 흐름도 작성</t>
    <phoneticPr fontId="3" type="noConversion"/>
  </si>
  <si>
    <t>목적: HYVRID 큐브위성 운용 흐름 파악
투입재료: 큐브위성 운용 모드 문서
결과물: 큐브위성 운용 모드 graph</t>
    <phoneticPr fontId="3" type="noConversion"/>
  </si>
  <si>
    <t xml:space="preserve">Mission scenario Design
</t>
    <phoneticPr fontId="3" type="noConversion"/>
  </si>
  <si>
    <t>임무 모드 정의</t>
    <phoneticPr fontId="3" type="noConversion"/>
  </si>
  <si>
    <t>목적: HYVRID 큐브위성의 임무 모드 정의
투입재료: REQ 표, 사용자요구조건 문서
결과물: 큐브위성 임무 모드 문서_개념 정의</t>
    <phoneticPr fontId="3" type="noConversion"/>
  </si>
  <si>
    <t>임무 모드 Task 정의</t>
    <phoneticPr fontId="3" type="noConversion"/>
  </si>
  <si>
    <t>목적: HYVRID 큐브위성의 임무 모드 내용 구성
투입재료: REQ 표, 사용자요구조건 문서
결과물: 큐브위성 임무 모드 문서_Tak 정의</t>
    <phoneticPr fontId="3" type="noConversion"/>
  </si>
  <si>
    <t>임무 모드 흐름도 작성</t>
    <phoneticPr fontId="3" type="noConversion"/>
  </si>
  <si>
    <t>목적: HYVRID 큐브위성의 임무 모드 흐름 파악
투입재료: 큐브위성 임무 모드 문서
결과물: 큐브위성 임무 모드 graph</t>
    <phoneticPr fontId="3" type="noConversion"/>
  </si>
  <si>
    <t>Back-up 임무 모드 구상</t>
    <phoneticPr fontId="3" type="noConversion"/>
  </si>
  <si>
    <t>목적: 예외의 상황 시 수행할 임무 선정
투입재료: REQ 표, 사용자요구조건 문서
결과물: 큐브위성 임무 모드 문서_Back-up 임무 모드 작성</t>
    <phoneticPr fontId="3" type="noConversion"/>
  </si>
  <si>
    <t>OBC HW 개념 설계</t>
    <phoneticPr fontId="3" type="noConversion"/>
  </si>
  <si>
    <t>OBC 데이터 처리 용량 및 시간 분석</t>
    <phoneticPr fontId="3" type="noConversion"/>
  </si>
  <si>
    <t>목적: OBC와 서브시스템 연결
투입재료: 제조사 별 사용 가능한 COTS list 및 spec.
결과물: 각 서브시스템 데이터 처리용량, 처리 속도</t>
    <phoneticPr fontId="3" type="noConversion"/>
  </si>
  <si>
    <t>각 서브시스템의 데이터 인터페이스 선택</t>
    <phoneticPr fontId="3" type="noConversion"/>
  </si>
  <si>
    <t>목적: OBC와 서브시스템 연결
투입재료: 각 서브시스템의 데이터 처리용량, 처리 속도
결과물: 데이터 인터페이스 line  sheet</t>
    <phoneticPr fontId="3" type="noConversion"/>
  </si>
  <si>
    <t>OBC 상세 요구조건 결정</t>
    <phoneticPr fontId="3" type="noConversion"/>
  </si>
  <si>
    <t>목적: OBC COTS 최종 선정
투입재료: 데이터 인터페이스 line sheet
결과물: 최종 OBC 요구 조건, REQ Level 3, 4의 TBD 값</t>
    <phoneticPr fontId="3" type="noConversion"/>
  </si>
  <si>
    <t>OBC 제작 사전 조사</t>
    <phoneticPr fontId="3" type="noConversion"/>
  </si>
  <si>
    <t>목적: OBC 제작 준비
투입재료: OBC 최종 spec , 우주부품 개발 프로세스
결과물: OBC 제작 가능 업체 list</t>
    <phoneticPr fontId="3" type="noConversion"/>
  </si>
  <si>
    <t>비행소프트웨어 개발</t>
    <phoneticPr fontId="3" type="noConversion"/>
  </si>
  <si>
    <t>개발 환경 구성</t>
    <phoneticPr fontId="3" type="noConversion"/>
  </si>
  <si>
    <t>목적: 비행소프트웨어 개발을 위한 준비
투입재료: 최종 OBC 요구 조건
결과물: 탑재컴퓨터 운영체재 (선택), 개발컴퓨터 운영 체제 (선택)</t>
    <phoneticPr fontId="3" type="noConversion"/>
  </si>
  <si>
    <t xml:space="preserve"> FSW 어플리케이션 개발</t>
    <phoneticPr fontId="3" type="noConversion"/>
  </si>
  <si>
    <t>목적: 비행소프트웨어 개발
투입재료: 탑재컴퓨터 운영체재, 개발컴퓨터 운영 체제
결과물: FSW 어플리케이션</t>
    <phoneticPr fontId="3" type="noConversion"/>
  </si>
  <si>
    <t>하드웨어 제어 모듈 개발</t>
    <phoneticPr fontId="3" type="noConversion"/>
  </si>
  <si>
    <t>목적: 하드웨어 제어 모듈 개발
투입재료: 탑재컴퓨터 운영체재, 개발컴퓨터 운영 체제, 제조사 별 사용 가능한 COTS list 및 spec.
결과물: 하드웨어 제어 모듈</t>
    <phoneticPr fontId="3" type="noConversion"/>
  </si>
  <si>
    <t>RF 신호 기반 위성-지상간 통신 알고리즘 개발</t>
    <phoneticPr fontId="3" type="noConversion"/>
  </si>
  <si>
    <t>통신 전략 분석</t>
    <phoneticPr fontId="3" type="noConversion"/>
  </si>
  <si>
    <t>목적: 위성-지상간 통신 알고리즘 개발
투입재료: 큐브위성 운용 모드 graph, 큐브위성 임무 모드 graph
결과물: 위성-지상간 통신 flowchart</t>
    <phoneticPr fontId="3" type="noConversion"/>
  </si>
  <si>
    <t>TMTC 데이터 핸들링 모듈 개발</t>
    <phoneticPr fontId="3" type="noConversion"/>
  </si>
  <si>
    <t>목적: 위성-지상간 통신 알고리즘 개발
투입재료: 위성-지상간 통신 flowchart
결과물: TMTC 데이터 핸들링 모듈</t>
    <phoneticPr fontId="3" type="noConversion"/>
  </si>
  <si>
    <t>GNC 데이터 핸들링 모듈 개발</t>
    <phoneticPr fontId="3" type="noConversion"/>
  </si>
  <si>
    <t>목적: 위성-지상간 통신 알고리즘 개발
투입재료: 위성-지상간 통신 flowchart
결과물: GNC 데이터 핸들링 모듈</t>
    <phoneticPr fontId="3" type="noConversion"/>
  </si>
  <si>
    <t>EPS Design</t>
    <phoneticPr fontId="3" type="noConversion"/>
  </si>
  <si>
    <t>운용 시나리오별 탑재체/본체 부품 소모전력 검토</t>
    <phoneticPr fontId="3" type="noConversion"/>
  </si>
  <si>
    <t>목적: Power Marign 계산
투입재료: 제조사 별 사용 가능한 COTS list 및 spec
결과물: Power Budget Analysis Excel sheet, Power Margin</t>
    <phoneticPr fontId="3" type="noConversion"/>
  </si>
  <si>
    <t>EPS 상세 요구조건 결정</t>
    <phoneticPr fontId="3" type="noConversion"/>
  </si>
  <si>
    <t>목적: EPS COTS 최종 선정
투입재료: Power Budget Analysis Excel sheet
결과물: 최종 EPS 요구조건, REQ Level 3, 4의 TBD 값</t>
    <phoneticPr fontId="3" type="noConversion"/>
  </si>
  <si>
    <t>각 서브시스템의 전원 공급 규격 선택</t>
    <phoneticPr fontId="3" type="noConversion"/>
  </si>
  <si>
    <t>목적: EPS와 서브시스템 연결
투입재료: 각 서브시스템별 소비 전력 및 작동 주기 (요구/제한조건), EPS 최종 spec.
결과물: Power 인터페이스 line sheet</t>
    <phoneticPr fontId="3" type="noConversion"/>
  </si>
  <si>
    <t>ADCS Design</t>
    <phoneticPr fontId="3" type="noConversion"/>
  </si>
  <si>
    <t>ADCS 모듈 성능 추정</t>
    <phoneticPr fontId="3" type="noConversion"/>
  </si>
  <si>
    <t>Cubespace의 지원 자세 지향 모드 확인</t>
    <phoneticPr fontId="3" type="noConversion"/>
  </si>
  <si>
    <t>목적: Cubespace 지원 자세 지향 모드 확인
투입재료: Cubespace 데이터 시트 및 정보
결과물: Cube 3-axis 자세 지향 모드 정리 자료</t>
    <phoneticPr fontId="3" type="noConversion"/>
  </si>
  <si>
    <t>모드별 자세/포인팅 상세 flowchart 작성</t>
    <phoneticPr fontId="3" type="noConversion"/>
  </si>
  <si>
    <t>목적: 자세/포인팅 검증 알고리즘 개발을 위한 기반
투입재료: Cubee 3-axis 자세 지향 모드 정리 자료
결과물: 모드별 자세/포인팅 상세 flowchart</t>
    <phoneticPr fontId="3" type="noConversion"/>
  </si>
  <si>
    <t>flowchart 기반 자세/포인팅 검증 알고리즘 개발</t>
    <phoneticPr fontId="3" type="noConversion"/>
  </si>
  <si>
    <t>목적: ADCS 모듈 성능 추정
투입재료: 모드별 자세/포인팅 상세 flowchart
결과물: 자세/포인팅 검증 알고리즘</t>
    <phoneticPr fontId="3" type="noConversion"/>
  </si>
  <si>
    <t>온보드 항법 성능 추정</t>
    <phoneticPr fontId="3" type="noConversion"/>
  </si>
  <si>
    <t>위성 동력학 모델링 및 상태정보 생성</t>
    <phoneticPr fontId="3" type="noConversion"/>
  </si>
  <si>
    <t>목적: 온보드 항법 성능 추정
투입재료: 위성 동력학 모델링
결과물: 위성 상태정보 생성</t>
    <phoneticPr fontId="3" type="noConversion"/>
  </si>
  <si>
    <t>`</t>
    <phoneticPr fontId="3" type="noConversion"/>
  </si>
  <si>
    <t>GPS 신호 모사 실험</t>
    <phoneticPr fontId="3" type="noConversion"/>
  </si>
  <si>
    <t>목적: 온보드 항법 성능 추정
투입재료: GPS 수신기
결과물: GPS 신호 모사 데이터 분석 결과</t>
    <phoneticPr fontId="3" type="noConversion"/>
  </si>
  <si>
    <t>COMS Design</t>
    <phoneticPr fontId="3" type="noConversion"/>
  </si>
  <si>
    <t>UHF Uplink 마진 분석</t>
    <phoneticPr fontId="3" type="noConversion"/>
  </si>
  <si>
    <t>목적: UHF Uplink 마진 분석
투입재료: UHF 안테나 성능, elevation angle, 통신 속도, 데이터 용량
결과물: UHF Uplink 마진 Excel sheet</t>
    <phoneticPr fontId="3" type="noConversion"/>
  </si>
  <si>
    <t>UHF Downlink 마진 분석</t>
    <phoneticPr fontId="3" type="noConversion"/>
  </si>
  <si>
    <t>목적: UHF Downlink 마진 분석
투입재료: UHF 안테나 성능, elevation angle, 통신 속도, 데이터 용량
결과물: UHF Donwlink 마진 Excel sheet</t>
    <phoneticPr fontId="3" type="noConversion"/>
  </si>
  <si>
    <t>S-band Uplink 마진 분석</t>
    <phoneticPr fontId="3" type="noConversion"/>
  </si>
  <si>
    <t>목적: S-band Uplink 마진 분석
투입재료: S-band 안테나 성능, elevation angle, 통신 속도, 데이터 용량
결과물: S-band Uplink 마진 Excel sheet</t>
    <phoneticPr fontId="3" type="noConversion"/>
  </si>
  <si>
    <t>S-band Downlink 마진 분석</t>
    <phoneticPr fontId="3" type="noConversion"/>
  </si>
  <si>
    <t>목적: S-band Downlink 마진 분석
투입재료: S-band 안테나 성능, elevation angle, 통신 속도, 데이터 용량
결과물: S-band Donwlink 마진 Excel sheet</t>
    <phoneticPr fontId="3" type="noConversion"/>
  </si>
  <si>
    <t>UHF 통신 상세 요구조건 결정</t>
    <phoneticPr fontId="3" type="noConversion"/>
  </si>
  <si>
    <t>목적: UHF antenna/ transceiver spec. 최종 결정
투입재료: UHF 마진 Excel sheet
결과물: UHF 통신 요구조건, REQ Level 3, 4의 TBD 값</t>
    <phoneticPr fontId="3" type="noConversion"/>
  </si>
  <si>
    <t>S-band 통신 상세 요구조건 결정</t>
    <phoneticPr fontId="3" type="noConversion"/>
  </si>
  <si>
    <t>목적: S-band antenna/ transceiver spec. 최종 결정
투입재료: S-band 마진 Excel sheet
결과물: S-band 통신 요구조건, REQ Level 3, 4의 TBD 값</t>
    <phoneticPr fontId="3" type="noConversion"/>
  </si>
  <si>
    <t>SMS Design</t>
    <phoneticPr fontId="3" type="noConversion"/>
  </si>
  <si>
    <t>질량 특성을 고려한 구조체 설계</t>
    <phoneticPr fontId="3" type="noConversion"/>
  </si>
  <si>
    <t>3D 모델링 제작</t>
    <phoneticPr fontId="3" type="noConversion"/>
  </si>
  <si>
    <t>목적: 3U 큐브위성 형상 설계
투입재료: 3D 모델링
결과물: 3U 큐브위성 frame 형상 및 전체 형상</t>
    <phoneticPr fontId="3" type="noConversion"/>
  </si>
  <si>
    <t>무게 중심 검토</t>
    <phoneticPr fontId="3" type="noConversion"/>
  </si>
  <si>
    <t>목적: 3U 큐브위성 형상 설계
투입재료: 3D 모델링
결과물: 3D 모델링 무게 중심</t>
    <phoneticPr fontId="3" type="noConversion"/>
  </si>
  <si>
    <t>열 특성을 고려한 구조체 설계</t>
    <phoneticPr fontId="3" type="noConversion"/>
  </si>
  <si>
    <t>유한 요소 해석을 위한 간소화 모델 제작</t>
    <phoneticPr fontId="3" type="noConversion"/>
  </si>
  <si>
    <t>목적: 열 해석
투입재료: 3D 모델링
결과물: 열 해석을 위한 간소화된 3D 모델</t>
    <phoneticPr fontId="3" type="noConversion"/>
  </si>
  <si>
    <t>열 환경을 고려한 유한 요소 해석</t>
    <phoneticPr fontId="3" type="noConversion"/>
  </si>
  <si>
    <t>목적: 열 해석
투입재료: 해석적 열 전달 결과값, 간소화된 3D 모델, 열 해석 프로그램
결과물: 열 전달 결과값</t>
    <phoneticPr fontId="3" type="noConversion"/>
  </si>
  <si>
    <t>태양전지판 구속분리 메커니즘 설계</t>
  </si>
  <si>
    <t>목적: 태양전지판 구속분리 설계
투입재료: 3D 모델링, 구속분리 설계 선행연구 조사
결과물: 태양전지판 구속분리 장치 3D 모델</t>
    <phoneticPr fontId="3" type="noConversion"/>
  </si>
  <si>
    <t>S-band 안테나 구속분리 메커니즘 설계</t>
  </si>
  <si>
    <t>목적: S-band 안테나 구속분리 설계 
투입재료: 3D 모델링, 구속분리 설계 선행연구 조사
결과물: S-band 안테나 구속분리 장치 3D 모델</t>
    <phoneticPr fontId="3" type="noConversion"/>
  </si>
  <si>
    <t>기계적 인터페이스 규격화</t>
    <phoneticPr fontId="3" type="noConversion"/>
  </si>
  <si>
    <t>목적: 기계적 인터페이스 규격화
투입재료: 체결 부품 규격, 3D 모델링
결과물: 사용될 체결 부품 list</t>
    <phoneticPr fontId="3" type="noConversion"/>
  </si>
  <si>
    <t>CNDH Design</t>
    <phoneticPr fontId="3" type="noConversion"/>
  </si>
  <si>
    <t>OBC HW 상세 설계</t>
    <phoneticPr fontId="3" type="noConversion"/>
  </si>
  <si>
    <t>데이터 인터페이스 세분화</t>
    <phoneticPr fontId="3" type="noConversion"/>
  </si>
  <si>
    <t>목적: 데이터 인터페이스 세분화
투입재료: 최종 OBC 요구 조건, 데이터 인터페이스 line sheet
결과물: 세분화된 데이터 인터페이스 line sheet</t>
    <phoneticPr fontId="3" type="noConversion"/>
  </si>
  <si>
    <t>OBC 제작 관리</t>
    <phoneticPr fontId="3" type="noConversion"/>
  </si>
  <si>
    <t>목적: OBC 제작
투입재료: 최종 OBC 요구 조건, 세분화된 데이터 인터페이스 line sheet, OBC 제작 가능 업체 list
결과물: OBC FM</t>
    <phoneticPr fontId="3" type="noConversion"/>
  </si>
  <si>
    <t>비행소프트웨어 통합</t>
    <phoneticPr fontId="3" type="noConversion"/>
  </si>
  <si>
    <t>목적 : 비행소프트웨어 개발
투입재료 : FSW 어플리케이션, 하드웨어 제어 모듈
결과물 : 비행소프트웨어</t>
    <phoneticPr fontId="3" type="noConversion"/>
  </si>
  <si>
    <t>운용 시나리오별 DOD 해석 및 에너지 균형 분석</t>
    <phoneticPr fontId="3" type="noConversion"/>
  </si>
  <si>
    <t>목적: 운용 시나리오별 배터리 충방전 경향 분석
투입재료: 태양전지판 면적, 각 서브시스템별 소비 전력 및 작동 주기, EPS 최종 spec.
결과물: 에너지 균형 분석 결과</t>
    <phoneticPr fontId="3" type="noConversion"/>
  </si>
  <si>
    <t>전원 인터페이스 세분화</t>
    <phoneticPr fontId="3" type="noConversion"/>
  </si>
  <si>
    <t>목적: 실질적 전원 인터페이스 설계
투입재료: 에너지 균형 분석 결과, Power 인터페이스 line sheet
결과물: 세분화된 전원 인터페이스 line sheet</t>
    <phoneticPr fontId="3" type="noConversion"/>
  </si>
  <si>
    <t>자세/포인팅 검증 알고리즘을 통한 자세/포인팅 분석</t>
    <phoneticPr fontId="3" type="noConversion"/>
  </si>
  <si>
    <t>목적: 자세/포인팅 분석
투입재료: 자세/포인팅 검증 알고리즘
결과물: 자세/포인팅 분석 결과</t>
    <phoneticPr fontId="3" type="noConversion"/>
  </si>
  <si>
    <t>자세/포인팅 분석한 자료와 제조사의 공급 자료 비교</t>
    <phoneticPr fontId="3" type="noConversion"/>
  </si>
  <si>
    <t>목적: 자세/포인팅 분석 비교
투입재료: 자세/포인팅 분석 결과, 자세/포인팅 분석 공급 자료
결과물: 자세/포인팅 분석 신뢰성 자료</t>
    <phoneticPr fontId="3" type="noConversion"/>
  </si>
  <si>
    <t>질량 특성을 고려한 구조체 설계 보완</t>
    <phoneticPr fontId="3" type="noConversion"/>
  </si>
  <si>
    <t>간소화 모델 update</t>
    <phoneticPr fontId="3" type="noConversion"/>
  </si>
  <si>
    <t>목적: 진동 해석을 위한 3D 모델 설계
투입재료: 3D 모델링
결과물: 간소화된 3D 모델</t>
    <phoneticPr fontId="3" type="noConversion"/>
  </si>
  <si>
    <t>본체 진동 환경을 고려한 유한 요소 해석</t>
    <phoneticPr fontId="3" type="noConversion"/>
  </si>
  <si>
    <t>목적: 진동 해석
투입재료: 해석적 진동 해석 결과, 간소화된 3D 모델
결과물: 진동 해석 결과</t>
    <phoneticPr fontId="3" type="noConversion"/>
  </si>
  <si>
    <t>열 특성을 고려한 구조체 설계 보완</t>
    <phoneticPr fontId="3" type="noConversion"/>
  </si>
  <si>
    <t>목적: 열 해석을 위한 3D 모델 설계
투입재료: 3D 모델링
결과물: 열 해석을 위한 간소화 3D 모델</t>
    <phoneticPr fontId="3" type="noConversion"/>
  </si>
  <si>
    <t>열 환경 및 운용 시나리오를 고려한 유한 요소 해석</t>
    <phoneticPr fontId="3" type="noConversion"/>
  </si>
  <si>
    <t>구속분리에 대한 동력학 분석</t>
    <phoneticPr fontId="3" type="noConversion"/>
  </si>
  <si>
    <t>목적: 동력학 분석
투입재료: 해석적 결과, 태양전지판 설계, S-band 안테나 설계
결과물: 동력학 해석 결과</t>
    <phoneticPr fontId="3" type="noConversion"/>
  </si>
  <si>
    <t>동력학 분석 결과를 고려한 구속분리 메커니즘 최적화</t>
    <phoneticPr fontId="3" type="noConversion"/>
  </si>
  <si>
    <t>목적: 구속분리 최적화
투입재료: 동력학 해석 결과
결과물: 태양전지판 구속분리 설계 최종안, S-band 안테나 구속분리 설계 최종안</t>
    <phoneticPr fontId="3" type="noConversion"/>
  </si>
  <si>
    <t>AIT
(Assembly, Integration, Test)</t>
    <phoneticPr fontId="3" type="noConversion"/>
  </si>
  <si>
    <t>AIT 준비</t>
    <phoneticPr fontId="3" type="noConversion"/>
  </si>
  <si>
    <t>GSE 제작</t>
    <phoneticPr fontId="3" type="noConversion"/>
  </si>
  <si>
    <t>목적: 시험 및 제작을 위한 zig
투입재료: REQ 문서, 총 조립 및 정렬 매뉴얼
결과물: GSE (EGSE 및 MGSE 통합)</t>
    <phoneticPr fontId="3" type="noConversion"/>
  </si>
  <si>
    <t>CNDH</t>
    <phoneticPr fontId="3" type="noConversion"/>
  </si>
  <si>
    <t>ETB test 준비</t>
    <phoneticPr fontId="3" type="noConversion"/>
  </si>
  <si>
    <t>OBC 인터페이스 시험 절차서 작성 및 S/W 구성</t>
    <phoneticPr fontId="3" type="noConversion"/>
  </si>
  <si>
    <t>목적: ETB 시험 절차서 작성
투입재료: REQ 문서, FSW
결과물: OBC 인터페이스 시험 절차서, S/W</t>
    <phoneticPr fontId="3" type="noConversion"/>
  </si>
  <si>
    <t>OBC 인터페이스 시험을 위한 물품 구입</t>
    <phoneticPr fontId="3" type="noConversion"/>
  </si>
  <si>
    <t>목적: ETB 시험 준비를 위한 물품 확인
투입재료: OBC 인터페이스 시험 절차서
결과물: OBC 인터페이스 시험 물품 list</t>
    <phoneticPr fontId="3" type="noConversion"/>
  </si>
  <si>
    <t>통합 비행소프트웨어 이식</t>
    <phoneticPr fontId="3" type="noConversion"/>
  </si>
  <si>
    <t>목적: ETB 시험 준비
투입재료: OBC 인터페이스 시험 절차서, S/W
결과물: OBC FM</t>
    <phoneticPr fontId="3" type="noConversion"/>
  </si>
  <si>
    <t>ETB test 시행</t>
    <phoneticPr fontId="3" type="noConversion"/>
  </si>
  <si>
    <t xml:space="preserve">목적: ETB 시험
투입재료: EGSE, OBC FM, OBC 인터페이스 시험 절차서, 
결과물: ETB 시험 </t>
    <phoneticPr fontId="3" type="noConversion"/>
  </si>
  <si>
    <t>ETB test 보고서 작성</t>
    <phoneticPr fontId="3" type="noConversion"/>
  </si>
  <si>
    <t>목적: ETB 시험 성적서 작성
투입재료: ETB 시험
결과물: ETB 보고서</t>
    <phoneticPr fontId="3" type="noConversion"/>
  </si>
  <si>
    <t>우주환경 시험 후 OBC 정상작동 검토 절차서 작성</t>
    <phoneticPr fontId="3" type="noConversion"/>
  </si>
  <si>
    <t>목적: 우주환경 시험 후 3U 큐브위성 신뢰성 확보
투입재료: REQ 문서
결과물: 우주환경 시험 후 3U 큐브위성 기능 검증 절차서</t>
    <phoneticPr fontId="3" type="noConversion"/>
  </si>
  <si>
    <t>EPS</t>
    <phoneticPr fontId="3" type="noConversion"/>
  </si>
  <si>
    <t>ETB 시험 준비</t>
    <phoneticPr fontId="3" type="noConversion"/>
  </si>
  <si>
    <t>전원 인터페이스 시험 절차서 작성</t>
    <phoneticPr fontId="3" type="noConversion"/>
  </si>
  <si>
    <t>목적: ETB 시험 준비
투입재료: REQ 문서
결과물: 전원 인터페이스 시험 절차서</t>
    <phoneticPr fontId="3" type="noConversion"/>
  </si>
  <si>
    <t>전원 인터페이스 시험을 위한 물품 구입</t>
    <phoneticPr fontId="3" type="noConversion"/>
  </si>
  <si>
    <t>목적: ETB 시험 준비
투입재료: 전원 인터페이스 시험 절차서
결과물: 전원 인터페이스 시험 부품 list</t>
    <phoneticPr fontId="3" type="noConversion"/>
  </si>
  <si>
    <t xml:space="preserve">목적: ETB 시험
투입재료: EGSE, EPS FM, 전원 인터페이스 시험 절차서
결과물: ETB 시험 </t>
    <phoneticPr fontId="3" type="noConversion"/>
  </si>
  <si>
    <t>우주환경 시험 후 구조 EPS 정상작동 검토 절차서 작성</t>
    <phoneticPr fontId="3" type="noConversion"/>
  </si>
  <si>
    <t>COMS</t>
    <phoneticPr fontId="3" type="noConversion"/>
  </si>
  <si>
    <t>옥외 RF 통신 시험 준비</t>
    <phoneticPr fontId="3" type="noConversion"/>
  </si>
  <si>
    <t>옥외 RF 통신 시험을 위한 전파 규정 검토</t>
    <phoneticPr fontId="3" type="noConversion"/>
  </si>
  <si>
    <t>목적: 옥외 RF 통신 시험 준비
투입재료: 전파 규정 조사
결과물: 전파 규정</t>
    <phoneticPr fontId="3" type="noConversion"/>
  </si>
  <si>
    <t>옥외 RF 통신 시험 환경 조사 및 절차서 작성</t>
    <phoneticPr fontId="3" type="noConversion"/>
  </si>
  <si>
    <t>목적: 옥외 RF 통신 시험 준비
투입재료: 시험환경 조사, REQ 문서
결과물: 시험 장소, 옥외 RF 통신 시험 절차서 작성</t>
    <phoneticPr fontId="3" type="noConversion"/>
  </si>
  <si>
    <t>옥외 RF 통신 시험 시행</t>
    <phoneticPr fontId="3" type="noConversion"/>
  </si>
  <si>
    <t>목적: 옥외 RF 통신 시험
투입재료: 시험 장소, 옥외 RF 통신 시험 절차서 작성, 통신시험 장비
결과물: 옥외 RF 통신 시험</t>
    <phoneticPr fontId="3" type="noConversion"/>
  </si>
  <si>
    <t>옥외 RF 통신 시험 보고서 작성</t>
    <phoneticPr fontId="3" type="noConversion"/>
  </si>
  <si>
    <t>목적: 옥외 RF 통신 시험 보고서 작성
투입재료: 옥외 RF 통신 시험
결과물: 옥외 RF 통신 시험 보고서</t>
    <phoneticPr fontId="3" type="noConversion"/>
  </si>
  <si>
    <t>End to End Test 준비</t>
    <phoneticPr fontId="3" type="noConversion"/>
  </si>
  <si>
    <t>End to End test 절차서 작성</t>
    <phoneticPr fontId="3" type="noConversion"/>
  </si>
  <si>
    <t>목적: 위성-지상국 간 무선 통신 시험을 위한 절차서 작성
투입재료: 운용 모드 graph, REQ 문서
결과물: End to End 시험 절차서 작성</t>
    <phoneticPr fontId="3" type="noConversion"/>
  </si>
  <si>
    <t>End to End test을 위한 물품 구입</t>
    <phoneticPr fontId="3" type="noConversion"/>
  </si>
  <si>
    <t>목적: End to End 시험 수행을 위한 물품 확인
투입재료: End to End 시험 절차서
결과물: End to End 시험 물품 list</t>
    <phoneticPr fontId="3" type="noConversion"/>
  </si>
  <si>
    <t>End to End 시험을 위한 운용 알고리즘</t>
    <phoneticPr fontId="3" type="noConversion"/>
  </si>
  <si>
    <t>목적: End to End 시험 운용을 위해
투입재료: End to End 시험 절차서
결과물: End to End 운용 알고리즘</t>
    <phoneticPr fontId="3" type="noConversion"/>
  </si>
  <si>
    <t>지상관제 시스템</t>
    <phoneticPr fontId="3" type="noConversion"/>
  </si>
  <si>
    <t>목적: End to End 시험 지상국 모사
투입재료: End to End 시험 절차서
결과물: 지상관제 시스템</t>
    <phoneticPr fontId="3" type="noConversion"/>
  </si>
  <si>
    <t>End to End Test 시행</t>
    <phoneticPr fontId="3" type="noConversion"/>
  </si>
  <si>
    <t>목적: End to End 시험 시행
투입재료: End to End 시험 절차서, EGSE, OBC FM, 지상관제 시스템, 통신시험 장비
결과물: End to End 시험</t>
    <phoneticPr fontId="3" type="noConversion"/>
  </si>
  <si>
    <t>End to End Test 시험 보고서 작성</t>
    <phoneticPr fontId="3" type="noConversion"/>
  </si>
  <si>
    <t>목적: End to End 시험 보고서 작성
투입재료: End to End 시험 결과
결과물: End to End 시험 보고서</t>
    <phoneticPr fontId="3" type="noConversion"/>
  </si>
  <si>
    <t>SMS</t>
    <phoneticPr fontId="3" type="noConversion"/>
  </si>
  <si>
    <t>위성체 총 조립 준비</t>
    <phoneticPr fontId="3" type="noConversion"/>
  </si>
  <si>
    <t>총 조립 및 정렬 측정 방법 규격화</t>
    <phoneticPr fontId="3" type="noConversion"/>
  </si>
  <si>
    <t>목적: 총 조립 및 3U 큐브위성 정렬
투입재료: 사용될 체결 부품, 측정공구
결과물: 총 조립 및 정렬 매뉴얼 작성</t>
    <phoneticPr fontId="3" type="noConversion"/>
  </si>
  <si>
    <t>위성체 조립을 위한 물품 구입</t>
    <phoneticPr fontId="3" type="noConversion"/>
  </si>
  <si>
    <t>목적: 큐브위성 총 조립 
투입재료: 총 조립 및 정렬 매뉴얼
결과물: 위성체 조립을 위한 물품 list</t>
    <phoneticPr fontId="3" type="noConversion"/>
  </si>
  <si>
    <t>우주환경 시험 후 SMS 정상작동 및 구조정렬 검도 절차서 작성</t>
    <phoneticPr fontId="3" type="noConversion"/>
  </si>
  <si>
    <t>목적: 우주환경 시험 후 3U 큐브위성 신뢰성 확보
투입재료: 총 조립 및 정렬 매뉴얼, 열해석 결과, 진동해석 결과 등등
결과물: 우주환경 시험 후 3U 큐브위성 기능 검증 절차서</t>
    <phoneticPr fontId="3" type="noConversion"/>
  </si>
  <si>
    <t>위성체 총 조립</t>
    <phoneticPr fontId="3" type="noConversion"/>
  </si>
  <si>
    <t>목적: 총 조립
투입재료: 총 조립 및 정렬 매뉴얼
결과물: 3U 큐브위성 FM</t>
    <phoneticPr fontId="3" type="noConversion"/>
  </si>
  <si>
    <t>Vibration Test</t>
    <phoneticPr fontId="3" type="noConversion"/>
  </si>
  <si>
    <t>Sine Test</t>
    <phoneticPr fontId="3" type="noConversion"/>
  </si>
  <si>
    <t>목적: 우주환경 시험 중 진동 시험
투입재료: 진동시험 장비, FM, REQ 문서
결과물: 진동 시험 성적서</t>
    <phoneticPr fontId="3" type="noConversion"/>
  </si>
  <si>
    <t>Random est</t>
    <phoneticPr fontId="3" type="noConversion"/>
  </si>
  <si>
    <t>Shock Test</t>
    <phoneticPr fontId="3" type="noConversion"/>
  </si>
  <si>
    <t>Thermal Vacuum Test</t>
    <phoneticPr fontId="3" type="noConversion"/>
  </si>
  <si>
    <t>Thermal cycle Test</t>
    <phoneticPr fontId="3" type="noConversion"/>
  </si>
  <si>
    <t>목적: 우주환경 시험 중 열 사이클 시험
투입재료: 열진공 챔버, FM, REQ 문서
결과물: 열 사이클 시험 성적서</t>
    <phoneticPr fontId="3" type="noConversion"/>
  </si>
  <si>
    <t>전도잡음 시험</t>
    <phoneticPr fontId="3" type="noConversion"/>
  </si>
  <si>
    <t>목적: 우주환경 시험 중 열 사이클 시험
투입재료: 열진공 챔버, FM, REQ 문서
결과물: 열 진공 시험 성적서</t>
    <phoneticPr fontId="3" type="noConversion"/>
  </si>
  <si>
    <t>EMC test</t>
    <phoneticPr fontId="3" type="noConversion"/>
  </si>
  <si>
    <t>EMI test</t>
    <phoneticPr fontId="3" type="noConversion"/>
  </si>
  <si>
    <t>방사잡음 시험</t>
    <phoneticPr fontId="3" type="noConversion"/>
  </si>
  <si>
    <t>목적: 우주환경 시험 중 EMC 시험
투입재료: EMC 시험 장비, FM, REQ 문서
결과물: EMC 시험 성적서</t>
    <phoneticPr fontId="3" type="noConversion"/>
  </si>
  <si>
    <t>정전기 방전 시험</t>
    <phoneticPr fontId="3" type="noConversion"/>
  </si>
  <si>
    <t>EMS test</t>
    <phoneticPr fontId="3" type="noConversion"/>
  </si>
  <si>
    <t>방사내성시험</t>
    <phoneticPr fontId="3" type="noConversion"/>
  </si>
  <si>
    <t>전도내성시험</t>
    <phoneticPr fontId="3" type="noConversion"/>
  </si>
  <si>
    <t>전기적 빠른 과도시험</t>
    <phoneticPr fontId="3" type="noConversion"/>
  </si>
  <si>
    <t>서어지시험</t>
    <phoneticPr fontId="3" type="noConversion"/>
  </si>
  <si>
    <t>전압변동시험</t>
    <phoneticPr fontId="3" type="noConversion"/>
  </si>
  <si>
    <t>Final functional Test
(after space environment test)</t>
    <phoneticPr fontId="3" type="noConversion"/>
  </si>
  <si>
    <t>Checking Total Size</t>
    <phoneticPr fontId="3" type="noConversion"/>
  </si>
  <si>
    <t>목적: 우주 환경 시험 후 크기 측정
투입재료: 우주환경 시험 후 3U 큐브위성 성능 검증 절차서
결과물: 우주환경 시험 후 크기 측정 check list</t>
    <phoneticPr fontId="3" type="noConversion"/>
  </si>
  <si>
    <t>Checking Total Mass</t>
    <phoneticPr fontId="3" type="noConversion"/>
  </si>
  <si>
    <t>목적: 우주 환경 시험 후 무게 측정
투입재료: 우주환경 시험 후 3U 큐브위성 성능 검증 절차서
결과물: 우주환경 시험 후 무게 측정 check list</t>
    <phoneticPr fontId="3" type="noConversion"/>
  </si>
  <si>
    <t>Checking OBC performance</t>
    <phoneticPr fontId="3" type="noConversion"/>
  </si>
  <si>
    <t>목적: 우주 환경 시험 후 정상 작동 확인
투입재료: 우주환경 시험 후 3U 큐브위성 성능 검증 절차서
결과물: 우주환경 시험 후 기능 확인 check list</t>
    <phoneticPr fontId="3" type="noConversion"/>
  </si>
  <si>
    <t>Checking EPS performance</t>
    <phoneticPr fontId="3" type="noConversion"/>
  </si>
  <si>
    <t>Checking Structure and Mechanism</t>
    <phoneticPr fontId="3" type="noConversion"/>
  </si>
  <si>
    <t>Reflector Module Internal Connection</t>
    <phoneticPr fontId="3" type="noConversion"/>
  </si>
  <si>
    <t xml:space="preserve">Selection &amp; Properites of Material </t>
    <phoneticPr fontId="3" type="noConversion"/>
  </si>
  <si>
    <t>목적: 시스템 개발 및 운용중 발생 가능한 위험 요소 정의 및 관리
투입재료: 시스템 설계, 시스템 운용 계획, 개발 일정 및 계획
결과물: 위험관리 표</t>
    <phoneticPr fontId="2" type="noConversion"/>
  </si>
  <si>
    <t>1편</t>
    <phoneticPr fontId="2" type="noConversion"/>
  </si>
  <si>
    <t>목적: COTS 구매를 위한 업체 계약
투입재료: H/W 선정 목록
결과물: H/W 별 구매 확인서 및 납품 일정</t>
    <phoneticPr fontId="2" type="noConversion"/>
  </si>
  <si>
    <t>목적: 발사체 계약 업체 조사 및 연락
투입재료: 큐브위성 운용 궤도 및 목표 발사일, 발사 예산
결과물: 계약 가능 발사체 및 계약 업체 목록</t>
    <phoneticPr fontId="2" type="noConversion"/>
  </si>
  <si>
    <t xml:space="preserve">목적: 
투입재료: 
결과물: </t>
    <phoneticPr fontId="2" type="noConversion"/>
  </si>
  <si>
    <t>Development</t>
    <phoneticPr fontId="2" type="noConversion"/>
  </si>
  <si>
    <t>Verification definition</t>
    <phoneticPr fontId="3" type="noConversion"/>
  </si>
  <si>
    <t>System definition</t>
    <phoneticPr fontId="2" type="noConversion"/>
  </si>
  <si>
    <t>Major function definition</t>
    <phoneticPr fontId="2" type="noConversion"/>
  </si>
  <si>
    <t>Subsystem definition</t>
    <phoneticPr fontId="2" type="noConversion"/>
  </si>
  <si>
    <t>Subsystem function specification</t>
    <phoneticPr fontId="2" type="noConversion"/>
  </si>
  <si>
    <t>목적: 지상국 주요 기능 정의
투입재료: 지상국 관련 상위 요구조건
결과물: 지상국 주요 기능 목록</t>
    <phoneticPr fontId="2" type="noConversion"/>
  </si>
  <si>
    <t>목적: 주요 기능 기준 지상국 서브시스템 정의
투입재료: 지상국 주요 기능 목록
결과물: 지상국 서브시스템 구성</t>
    <phoneticPr fontId="2" type="noConversion"/>
  </si>
  <si>
    <t>목적: 지상국 서브시스템 기능 구체화
투입재료: 지상국 서브시스템 구성, BUS operation 전략
결과물: 지상국 서브시스템 기능 목록</t>
    <phoneticPr fontId="2" type="noConversion"/>
  </si>
  <si>
    <t>Preliminary design</t>
    <phoneticPr fontId="3" type="noConversion"/>
  </si>
  <si>
    <t>ICS design</t>
    <phoneticPr fontId="2" type="noConversion"/>
  </si>
  <si>
    <t>TTNC design</t>
    <phoneticPr fontId="2" type="noConversion"/>
  </si>
  <si>
    <t>SOS design</t>
    <phoneticPr fontId="2" type="noConversion"/>
  </si>
  <si>
    <t>MPS design</t>
    <phoneticPr fontId="2" type="noConversion"/>
  </si>
  <si>
    <t>FDS design</t>
    <phoneticPr fontId="2" type="noConversion"/>
  </si>
  <si>
    <t>Critical design</t>
    <phoneticPr fontId="2" type="noConversion"/>
  </si>
  <si>
    <t>GUI design</t>
    <phoneticPr fontId="2" type="noConversion"/>
  </si>
  <si>
    <t>Integration &amp; Test</t>
    <phoneticPr fontId="3" type="noConversion"/>
  </si>
  <si>
    <t>Far-field test</t>
    <phoneticPr fontId="2" type="noConversion"/>
  </si>
  <si>
    <t>Final integration</t>
    <phoneticPr fontId="2" type="noConversion"/>
  </si>
  <si>
    <t>1st integration</t>
    <phoneticPr fontId="2" type="noConversion"/>
  </si>
  <si>
    <t>Subsystem interface test</t>
    <phoneticPr fontId="2" type="noConversion"/>
  </si>
  <si>
    <t>Ground System</t>
    <phoneticPr fontId="2" type="noConversion"/>
  </si>
  <si>
    <t>목적: Reel의 사용 이유 및 물성치 조사
투입재료: CanX-7 Drag Sail 자료
결과물: HSLD PAYR Reflector Module 내 Reel 부품 3D 모델 및 Drawing, 정리 문서</t>
  </si>
  <si>
    <t>목적: Reel axle의 사용 이유 및 물성치 조사
투입재료: CanX-7 Drag Sail 자료
결과물: HSLD PAYR Reflector Module 내 Reel axle 부품 3D 모델 및 Drawing, 정리 문서</t>
  </si>
  <si>
    <t>목적: Roller의 사용 이유 및 물성치, 구성 요소 조사
투입재료: CanX-7 Drag Sail 자료
결과물: HSLD PAYR Reflector Module 내 Roller 부품 3D 모델 및 Drawing, 정리 문서</t>
  </si>
  <si>
    <t>목적: Roller axle의 사용 이유 및 물성치, 구성 요소 조사
투입재료: CanX-7 Drag Sail 자료
결과물: HSLD PAYR Reflector Module 내 Roller axle 부품 3D 모델 및 Drawing, 정리 문서</t>
  </si>
  <si>
    <t>목적: Roller Enclosure의 설계 및 물성치, 구성 요소 조사
투입재료: CanX-7 Drag Sail 자료
결과물: HSLD PAYR Reflector Module 내 Roller Enclosure 부품 3D 모델 및 Drawing, 정리 문서</t>
  </si>
  <si>
    <t>목적: Housing 설계 
투입재료: CanX-7 Drag Sail 자료
결과물: HSLD PAYR Reflector Module 내 Housing 부품 3D 모델 및 Drawing, 정리 문서</t>
  </si>
  <si>
    <t>목적: Sail Cartridge의 사용 이유 및 설계
투입재료: CanX-7 Drag Sail 자료
결과물: HSLD PAYR Sail Module 내 Sail Module 부품 3D 모델 및 Drawing, 정리 문서</t>
  </si>
  <si>
    <t>목적: Sail Cartridge Door의 사용 이유 및 설계
투입재료: CanX-7 Drag Sail 자료
결과물: HSLD PAYR Sail Module 내 Sail Catridge Door 부품 3D 모델 및 Drawing, 정리 문서</t>
  </si>
  <si>
    <t>목적: Damper의 사용 목적 및 물성치, 구성 요소 조사
투입재료: CanX-7 Drag Sail 자료, Damper 관련 자료
결과물: HSLD PAYR Reflector Module 내 Damper 부품 3D 모델 및 Drawing, 정리 문서</t>
  </si>
  <si>
    <t>목적: Tape Spring 물성치 조사 
투입재료: CanX-7 Drag Sail 자료
결과물: 사용할 Tape Spring의 물성치 문서</t>
  </si>
  <si>
    <t>목적: PAYR에 사용할 Guide Roller 위치 파악
투입재료: Canyval-C 3D 모델 및 Guide Roller 위치
결과물: Guide Roller 위치 파악 및 위 사항이 반영된 3D model 파일</t>
  </si>
  <si>
    <t>목적: PAYR에 사용할 Coiled Spring 물성치 확인
투입재료: Canyval-C Coiled Spring 데이터 시트
결과물: 선정할 Coiled Spring의 요구조건 표</t>
  </si>
  <si>
    <t>목적: Deploying Module 초기 제작 및 원할한 전개 여부 파악
투입재료: Prototype 3D model, 3D printer, Tape Spring
결과물: 개선 필요 항목 문서, 전개 시험 성적서</t>
  </si>
  <si>
    <t xml:space="preserve">목적: PAYR 모듈과 Cubesat 구조 연결 방식 확립
투입재료: PAYR 3d Model, Cubesat Structure, 전선 통과를 위한 빈 공간 배치
결과물: PAYR 모듈과 Cubesat 구조 연결 방식 문서, 결합된 3D model </t>
  </si>
  <si>
    <t>목적: Tape Spring 형상 유지를 위한 Roller 위치 선정, Roller 이탈 방지를 위한 Enclosure와의 체결 방식 확립
투입재료: Roller 형상, Tape Spring 물성치, Roller Enclosure 형상 
결과물: Roller와 Roller Enclosure간의 체결 방식 및 문서, 결합된 3D model</t>
  </si>
  <si>
    <t>목적: Roller Enclosure와 내부 부품 고정을 위한 Housing과의 체결 방식 확립
투입재료: 결합된 Roller Enclosure 3D model, Housing 3D model
결과물: Roller Enclosure와 Housing간의 체결 방식 및 문서, 결합된 3D model</t>
  </si>
  <si>
    <t>목적: Reel과 충격 방지용 Damper와의 체결 방식 확립
투입재료: Reel과 Tape Spring이 결합된 3d model, Damper 3D model
결과물: Reel과 Damper간의 체결 방식 및 문서, 결합된 3D model</t>
  </si>
  <si>
    <t>목적: 결합된 Reel과 Housing간의 연결 방식 확립
투입재료: Reel과 Reel axle, Damper가 연결된 3D model, Housing 3D model
결과물: 결합된 Reel 3D model, Housing간의 체결 방식 및 문서, 체결된 3D model</t>
  </si>
  <si>
    <t>목적: Reel과 Tape Spring간의 연결 방식을 확인
투입재료: Reel 3D model, Tape Spring Model, 둘 간 체결할 Screw
결과물: Reel과 Tape Spring간의 체결 방식 및 문서, 3D simulation, 체결된 3D model</t>
  </si>
  <si>
    <t>목적: Sail Cartridge내부 Sail 수납 방식 확립
투입재료: Sail Cartridge 형상, Sail 물성치, Sail 접기 방법, Tape Spring과 Sail간의 연결 방식
결과물: Sail과 Sail Catridge간의 연결 방식 문서 
참고 : Tape Spring과 Sail간 연결 시 연결용 실의 위치</t>
  </si>
  <si>
    <t>목적 : Reflector Module 및 Sail Cartridge의 기계적 연결 방식 확립
투입재료: 각 3D module, Screw 체결 환경 및 방식
결과물: 3D simulation 결과, Reflector Module과 Sail Cartridge간 연결 방식 문서, 체결된 3D module</t>
  </si>
  <si>
    <t>목적 : Sail과 Tape Spring간의 연결 방식 확립
투입재료:  Drag sail 관련 자료
결과물: Drag Sail과 Tape Spring간의 연결 방식 문서</t>
  </si>
  <si>
    <t>목적: PAYR 모듈내 전력 사용 부품과 EPS간의 연결 방식 확인
투입재료: 전력 사용 부품 데이터 시트
결과물: Electrical Interface, PCB</t>
  </si>
  <si>
    <t>목적: PAYR 모듈내 Telemetry 발생 부품과 OBC간의 연결 방식 확인
투입재료: 부품 중 Telemetry 관련 데이터 시트
결과물: Electrical Interface, PCB</t>
  </si>
  <si>
    <t>목적: Reflector Module 내 Mass Budget 관리
투입재료: 구성 요소별 Mass
결과물: Mass Budget 문서</t>
  </si>
  <si>
    <t>목적: Sail Cartridge 내 Mass Budget 관리
투입재료: 구성 요소별 Mass
결과물: Mass Budget 문서</t>
  </si>
  <si>
    <t>목적: Sail의 Mass Budget 관리
투입재료: Sail의 물성치, Sail의 밀도, Sail의 단면적
결과물: Mass Budget 문서</t>
  </si>
  <si>
    <t>목적: PAYR Module의 Mass Budget 관리
투입재료: Reflector Module Mass Budget Sheer, Sail Cartridge Mass Budget Sheet, Sail Mass Budget Sheet
결과물: Mass Budget 문서</t>
  </si>
  <si>
    <t>목적: PAYR Module의 Power Budget 관리
투입재료: 전력 사용 부품의 Datasheet
결과물: PAYR Power Budget Sheet</t>
  </si>
  <si>
    <t xml:space="preserve">목적: Tape Spring 상용 부품 시장 조사 및 부품 선정
투입재료: COTS 제품 목록, 제품 Datasheet 
결과물: 선정된 상용부품 Spec, 선정절차 </t>
  </si>
  <si>
    <t xml:space="preserve">목적: Sail 상용 부품 시장 조사 및 부품 선정
투입재료: COTS 제품 목록, 제품 Datasheet 
결과물: 선정된 상용부품 Spec, 선정절차 </t>
  </si>
  <si>
    <t xml:space="preserve">목적: Connecting Component 상용 부품 시장 조사 및 부품 선정
투입재료: COTS 제품 목록, 제품 Datasheet 
결과물: 선정된 상용부품 Spec, 선정절차 </t>
  </si>
  <si>
    <t xml:space="preserve">목적: 다음 Component 중 Heritage가 있는 재료 조사 및 선정
Housing/Reel/Roller/Damper/Bearing
투입재료: Component 목록, Heritage 여부, Component Datasheet
결과물: 선정된 재료 Spec, 선정절차 문서 </t>
  </si>
  <si>
    <t>목적: 선정된 재료 가공법 확인 및 선정
투입재료: 선정 재료 Datasheet, 가공법, 가공회사 List
결과물: 선정된 가공법, 가공회사와의 컨택</t>
  </si>
  <si>
    <t xml:space="preserve">목적: 다음 Component 중 Heritage가 있는 재료 조사 및 선정
Sail Cartridge/Door
투입재료: Component 목록, Heritage 여부, Component Datasheet
결과물: 선정된 재료 Spec, 선정절차 문서 </t>
  </si>
  <si>
    <t xml:space="preserve">목적:  Component 중 Heritage가 있는 재료 조사 및 선정
투입재료: Component 목록, Heritage 여부, Component Datasheet
결과물: 선정된 재료 Spec, 선정절차 문서 </t>
  </si>
  <si>
    <t>목적: 부품 별 Force Analysis를 진행한다. 
투입재료: CanX-7 mechanical design 문서, Component 물성치
결과물: 부품 별 Force Analysis 문서</t>
  </si>
  <si>
    <t>목적: 부품 별 Torque Analysis를 진행한다. 
투입재료: CanX-7 mechanical design 문서, Component 물성치
결과물: 부품 별 Torque Analysis 문서</t>
  </si>
  <si>
    <t>목적: Reel Enclosure 설계
투입재료: Reel 설계 자료, 예상 Tape Spring 길이, 예상 Roller 크기
결과물: Reel Enlosure 문서 및 3D model</t>
  </si>
  <si>
    <t>목적: Roller &amp; Roller Enclosure 설계
투입재료: Roller 설계 자료, Bearing 물성치
결과물:  Roller &amp; Roller Enclosure 설계 문서 및 3D model</t>
  </si>
  <si>
    <t>목적: Reel에 부착될 Tape Spring Attachment 설계
투입재료: Reel 설계 자료, Tape Spring 물성치, 사용 예정 Screw datasheet
결과물: Tape Spring Attachment 설계 문서 및 3D model</t>
  </si>
  <si>
    <t>목적: Reel 설계
투입재료: PAYR 요구조건, Tape spring 물성치, Tape Spring 결합 방식
결과물: Reel 문서 및 3D model</t>
  </si>
  <si>
    <t>목적: Damper 설계
투입재료: Reel 회전 속도 및 전개 종료시 충격량, Damper 물성치 및 특성
결과물: Damper 설계 문서 및 3D model</t>
  </si>
  <si>
    <t>목적: Housing설계
투입재료: Reflector 모듈 내 전 부품의 설계 문서 및 3D model, Guide Roller 위치 
결과물: Housing 설계 문서 및 3D model</t>
  </si>
  <si>
    <t>목적: 내부 부품 설계를 진행한다. 
투입재료: PAYR 요구조건
결과물: 내부 부품 설계 자료 및 3D model</t>
  </si>
  <si>
    <t>목적: Sail Cartridge용 Housing 설계를 진행한다. 
투입재료: PAYR 요구조건
결과물: Sail Cartridge용 Housing 설계 자료 및 3D model</t>
  </si>
  <si>
    <t>목적: Rewind GSE용 Housing 설계를 진행한다. 
투입재료: PAYR 요구조건
결과물: Rewind GSE용 Housing 설계 자료 및 3D model</t>
  </si>
  <si>
    <t>목적: Rewind GSE를 통해 Reflector Module의 Tape Spring Boom이 되감김을 확인한다. 
투입재료: Rewind GSE, Deployed Reflector Module
결과물: Rewind Test 실험 보고서</t>
  </si>
  <si>
    <t>목적: Reflector Module이 의도한 대로 잘 펼쳐지는지 확인한다. 
투입재료: Stowed Reflector Module,Sail Cartridge
결과물: Standard Deployment Test 실험 보고서</t>
  </si>
  <si>
    <t>목적: 반복적 Deploying을 통해 Integrated Module의 내구성 확인 및 실패 사례가 발생하는지 확인한다. 
투입재료: Rewind GSE, Stowed Reflector Module, Sail Cartridge
결과물: Repeated Deployment Test 실험 보고서</t>
  </si>
  <si>
    <t>목적: PAYR Module의 Deploying Mechanism을 설계한다. 
투입재료: Benchmark한 Deploying Mechanism, 전개 시 원하는 Sail 형상
결과물: HSLD용 Deploying Mechanism</t>
  </si>
  <si>
    <t>목적: PAYR Module의 Rewinding Mechanism을 설계한다. 
투입재료: Benchmark한 Rewinding Mechanism, Reflector Module, Rewind GSE Module 각 기어 
결과물: HSLD용 Rewinding Mechanism</t>
  </si>
  <si>
    <t>목적: PAYR Module의 Bure-Wire Mechanism을 설계한다. 
투입재료: Benchmark한 Burn-Wire Mechanism, Nylon Wire 특성, Heater datasheet 
결과물: HSLD용 Burn-Wire Mechanism 및 보고서</t>
  </si>
  <si>
    <t>목적: PAYR Module의 Door Open Mechanism을 설계한다. 
투입재료: Benchmark한 Door Open Mechanism, HSLD Burn Wire Mechanism
결과물: HSLD용 Door Open Mechanism 및 보고서</t>
  </si>
  <si>
    <t>목적: PAYR Module의 Sail Folding Method을 설계한다. 
투입재료: Benchmark한 Sail Folding Method, HSLD PAYR 요구조건 
결과물: HSLD용 Sail Folding Method 및 보고서</t>
  </si>
  <si>
    <t>목적: PAYR Module의 Hot Soak Test 진행
투입재료: Hot Soak Test 장비, FM, REQ 문서
결과물: Hot Soak Test 성적서</t>
  </si>
  <si>
    <t>목적: PAYR Module의 Hot Start Test 진행, 뜨거운 환경에서 Sail을 전개
투입재료: Hot Start Test 장비, FM, REQ 문서
결과물: Hot Start Test 성적서</t>
  </si>
  <si>
    <t>목적: PAYR Module의 Cold Soak Test 진행
투입재료: Cold Soak Test 장비, FM, REQ 문서
결과물: Cold Soak Test 성적서</t>
  </si>
  <si>
    <t>목적: PAYR Module의 Cold Start Test 진행, 추운 환경에서 Sail을 전개
투입재료: Cold Start Test 장비, FM, REQ 문서
결과물: Cold Start Test 성적서</t>
  </si>
  <si>
    <t>목적: PAYR Module의 Sail Stir and Cycle Test 진행, 다양한 온도에서 무작위로 Sail을 전개
투입재료: Sail Stir and Cycle Test 장비, FM, REQ 문서
결과물: Sail Stir and Cycle Test 성적서</t>
  </si>
  <si>
    <t>목적: PAYR Module의 Thermal Shock Test 진행, Test를 통해 극한의 온도 변화에서 전개 가능함을 확인
투입재료: Thermal Shock Test 장비, FM, REQ 문서
결과물: Thermal Shock Test 성적서</t>
  </si>
  <si>
    <t>목적: PAYR Module 전개 시 진동에 의한 부하를 견딜 수 있는지 확인
투입재료: Vibration Analysis 장비, FM, REQ문서
결과물: Vibration Analysis 자료</t>
  </si>
  <si>
    <t>목적: PAYR Module내 전자 장비에 대한 내방사선 검사 진행
투입재료: Radiation Analysis 장비, FM, REQ문서
결과물: Radiation Analysis 자료</t>
  </si>
  <si>
    <t>목적 : 최종적으로 사용할 H/W 선정
투입재료: 최종 요구 조건, H/W list and spec
결과물: 최종 사용할 H/W List</t>
  </si>
  <si>
    <t>목적 : 최종적으로 사용할 부품 Design 선정
투입재료: 최종 요구 조건. Struture Deisgn List, List별 해석 결과
결과물: 최종 사용할 부품 Design</t>
  </si>
  <si>
    <t>목적 : 최종적으로 사용할 Mechanism 선정
투입재료: 최종 요구 조건. Mechanism Deisgn List, List별 해석 결과
결과물: 최종 사용할 Mechanism</t>
  </si>
  <si>
    <t>목적: 열 해석
투입재료: 해석적 열 해석 결과, 간소화된 3D 모델
결과물: 열 해석 결과</t>
  </si>
  <si>
    <t>Input</t>
    <phoneticPr fontId="2" type="noConversion"/>
  </si>
  <si>
    <t>Output</t>
    <phoneticPr fontId="2" type="noConversion"/>
  </si>
  <si>
    <t>투입재료</t>
    <phoneticPr fontId="2" type="noConversion"/>
  </si>
  <si>
    <t>결과물</t>
    <phoneticPr fontId="2" type="noConversion"/>
  </si>
  <si>
    <t>목적: 지상국 장비 구성 설계
투입재료: 통신 스펙, 통신 관련 요구조건
결과물: ICS 예비설계안</t>
    <phoneticPr fontId="2" type="noConversion"/>
  </si>
  <si>
    <t>목적: Telemetry &amp; Telecommand 관리 소프트웨어 설계
투입재료: 큐브위성 HK data 목록, 데이터 패킷 구성 기준 및 규약
결과물: TTNC 예비설계안</t>
    <phoneticPr fontId="2" type="noConversion"/>
  </si>
  <si>
    <t>목적: 큐브위성 운용 전략 및 명령 생성 소프트웨어 설계
투입재료: 큐브위성 운용 모드 목록, 명령 가능 목록
결과물: SOS 예비설계안</t>
    <phoneticPr fontId="2" type="noConversion"/>
  </si>
  <si>
    <t>목적: 임무 스케쥴링 및 예상 결과 도출 소프트웨어 설계
투입재료: 임무 시나리오, 명령 가능 목록
결과물: MPS 예비설계안</t>
    <phoneticPr fontId="2" type="noConversion"/>
  </si>
  <si>
    <t>목적: 큐브위성 동역학 모델 기반 궤도, 자세, 사건 정밀 추정 및 예측 소프트웨어 설계
투입재료: 큐브위성 궤도 및 자세 정보 형식, 위성 동역학 모델 소프트웨어, 지상 궤도 결정 요구조건
결과물: FDS 예비설계안</t>
    <phoneticPr fontId="2" type="noConversion"/>
  </si>
  <si>
    <t>목적: 지상국 장비 구성 설계
투입재료: 통신 스펙, 통신 관련 요구조건, ICS 예비설계안
결과물: ICS 상세설계안</t>
    <phoneticPr fontId="2" type="noConversion"/>
  </si>
  <si>
    <t>목적: Telemetry &amp; Telecommand 관리 소프트웨어 설계
투입재료: 큐브위성 HK data 목록, 데이터 패킷 구성 기준 및 규약, TTNC 예비설계안
결과물: TTNC 상세설계안</t>
    <phoneticPr fontId="2" type="noConversion"/>
  </si>
  <si>
    <t>목적: 큐브위성 운용 전략 및 명령 생성 소프트웨어 설계
투입재료: 큐브위성 운용 모드 목록, 명령 가능 목록, SOS 예비설계안
결과물: SOS 상세설계안</t>
    <phoneticPr fontId="2" type="noConversion"/>
  </si>
  <si>
    <t>목적: 임무 스케쥴링 및 예상 결과 도출 소프트웨어 설계
투입재료: 임무 시나리오, 명령 가능 목록, MPS 예비설계안
결과물: MPS 상세설계안</t>
    <phoneticPr fontId="2" type="noConversion"/>
  </si>
  <si>
    <t>목적: 큐브위성 동역학 모델 기반 궤도, 자세, 사건 정밀 추정 및 예측 소프트웨어 설계
투입재료: 큐브위성 궤도 및 자세 정보 형식, 위성 동역학 모델 소프트웨어, 지상 궤도 결정 요구조건, FDS 예비설계안
결과물: FDS 상세설계안</t>
    <phoneticPr fontId="2" type="noConversion"/>
  </si>
  <si>
    <t>목적: 지상국 서브시스템 통합 및 운용을 위한 소프트웨어 설계
투입재료: 지상국 서브시스템 상세설계안
결과물: 지상국 소프트웨어</t>
    <phoneticPr fontId="2" type="noConversion"/>
  </si>
  <si>
    <t>목적: 지상국 서브시스템 1차 통합
투입재료: 지상국 서브시스템 및 소프트웨어 개발 결과
결과물: 지상국 시스템 초안</t>
    <phoneticPr fontId="2" type="noConversion"/>
  </si>
  <si>
    <t>목적: 지상국 서브시스템간 인터페이스 정밀 시험
투입재료: 지상국 시스템 초안
결과물: 지상국 시스템 Issue &amp; Concern 목록, 개선 계획</t>
    <phoneticPr fontId="2" type="noConversion"/>
  </si>
  <si>
    <t>목적: Far-field에서 지상국 시스템과 버스 시스템의 통신 모듈(EM) 간의 통신 가능성 확인
투입재료: 지상국 시스템 초안 (or 수정안), 큐브위성 통신 모듈(EM), 통신 관련 budget 표, 지상국 요구조건 표
결과물: Far-field test 결과 보고서</t>
    <phoneticPr fontId="2" type="noConversion"/>
  </si>
  <si>
    <t>목적: S-band 통신 마진 설정
투입재료: Link Margin Anaylsis sheet
결과물: S-band Link Margin</t>
    <phoneticPr fontId="3" type="noConversion"/>
  </si>
  <si>
    <t>목적: 지상국 시스템 최종안 도출 및 평가
투입재료: 지상국 시스템 초안 (or 수정안), 지상국 시스템 Issue &amp; Concern 목록, 개선 결과, 지상국 요구조건 표
결과물: 지상국 시스템 최종안</t>
    <phoneticPr fontId="2" type="noConversion"/>
  </si>
  <si>
    <t>A001</t>
    <phoneticPr fontId="2" type="noConversion"/>
  </si>
  <si>
    <t>A003</t>
  </si>
  <si>
    <t>A004</t>
  </si>
  <si>
    <t>A005</t>
  </si>
  <si>
    <t>A006</t>
  </si>
  <si>
    <t>A007</t>
  </si>
  <si>
    <t>A008</t>
  </si>
  <si>
    <t>A009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</si>
  <si>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</si>
  <si>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</si>
  <si>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</si>
  <si>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</si>
  <si>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</si>
  <si>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</si>
  <si>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</si>
  <si>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C001</t>
    <phoneticPr fontId="2" type="noConversion"/>
  </si>
  <si>
    <t>C002</t>
  </si>
  <si>
    <t>C003</t>
  </si>
  <si>
    <t>C004</t>
  </si>
  <si>
    <t>C005</t>
  </si>
  <si>
    <t>C006</t>
  </si>
  <si>
    <t>C007</t>
  </si>
  <si>
    <t>C008</t>
  </si>
  <si>
    <t>D001</t>
    <phoneticPr fontId="2" type="noConversion"/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</si>
  <si>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</si>
  <si>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</si>
  <si>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</si>
  <si>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</si>
  <si>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</si>
  <si>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</si>
  <si>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</si>
  <si>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</si>
  <si>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</si>
  <si>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</si>
  <si>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</si>
  <si>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</si>
  <si>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</si>
  <si>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</si>
  <si>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</si>
  <si>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</si>
  <si>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</si>
  <si>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</si>
  <si>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</si>
  <si>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</si>
  <si>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</si>
  <si>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</si>
  <si>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</si>
  <si>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</si>
  <si>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</si>
  <si>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</si>
  <si>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</si>
  <si>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</si>
  <si>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</si>
  <si>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</si>
  <si>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</si>
  <si>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</si>
  <si>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</si>
  <si>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</si>
  <si>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</si>
  <si>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</si>
  <si>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</si>
  <si>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</si>
  <si>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</si>
  <si>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</si>
  <si>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</si>
  <si>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</si>
  <si>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</si>
  <si>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</si>
  <si>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</si>
  <si>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</si>
  <si>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</si>
  <si>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</si>
  <si>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</si>
  <si>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</si>
  <si>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</si>
  <si>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</si>
  <si>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</si>
  <si>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</si>
  <si>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</si>
  <si>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</si>
  <si>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</si>
  <si>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</si>
  <si>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</si>
  <si>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</si>
  <si>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</si>
  <si>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</si>
  <si>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</si>
  <si>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</si>
  <si>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</si>
  <si>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</si>
  <si>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</si>
  <si>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</si>
  <si>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</si>
  <si>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</si>
  <si>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</si>
  <si>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</si>
  <si>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</si>
  <si>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</si>
  <si>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</si>
  <si>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</si>
  <si>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</si>
  <si>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H001</t>
    <phoneticPr fontId="2" type="noConversion"/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</si>
  <si>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</si>
  <si>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</si>
  <si>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</si>
  <si>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</si>
  <si>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</si>
  <si>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</si>
  <si>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</si>
  <si>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</si>
  <si>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</si>
  <si>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</si>
  <si>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</si>
  <si>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</si>
  <si>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</si>
  <si>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</si>
  <si>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</si>
  <si>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</si>
  <si>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</si>
  <si>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</si>
  <si>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</si>
  <si>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</si>
  <si>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</si>
  <si>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</si>
  <si>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</si>
  <si>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</si>
  <si>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</si>
  <si>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r>
      <t xml:space="preserve">목적: Matlab code 신뢰성 검증
</t>
    </r>
    <r>
      <rPr>
        <sz val="10"/>
        <color theme="4"/>
        <rFont val="D2Coding"/>
        <family val="3"/>
        <charset val="129"/>
      </rPr>
      <t>투입재료: Pulse laser 광원, SLR 레이저에 의한 광전류 데이터
결과물: Pulse laser 광원에 따른 광전류 데이터</t>
    </r>
    <phoneticPr fontId="3" type="noConversion"/>
  </si>
  <si>
    <r>
      <t xml:space="preserve">목적: </t>
    </r>
    <r>
      <rPr>
        <sz val="10"/>
        <color theme="4"/>
        <rFont val="D2Coding"/>
        <family val="3"/>
        <charset val="129"/>
      </rPr>
      <t>우주 환경 시험 후 구조 정렬 및 구속 분리 매커니즘 정상작동 확인</t>
    </r>
    <r>
      <rPr>
        <sz val="10"/>
        <color theme="1"/>
        <rFont val="D2Coding"/>
        <family val="3"/>
        <charset val="129"/>
      </rPr>
      <t xml:space="preserve">
투입재료: 우주환경 시험 후 3U 큐브위성 성능 검증 절차서
결과물: 우주환경 시험 후 기능 확인 check list</t>
    </r>
    <phoneticPr fontId="3" type="noConversion"/>
  </si>
  <si>
    <t>E001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</si>
  <si>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</si>
  <si>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</si>
  <si>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</si>
  <si>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</si>
  <si>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</si>
  <si>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</si>
  <si>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</si>
  <si>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</si>
  <si>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</si>
  <si>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</si>
  <si>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</si>
  <si>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</si>
  <si>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</si>
  <si>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</si>
  <si>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</si>
  <si>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</si>
  <si>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</si>
  <si>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</si>
  <si>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</si>
  <si>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</si>
  <si>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</si>
  <si>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</si>
  <si>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</si>
  <si>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</si>
  <si>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</si>
  <si>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</si>
  <si>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</si>
  <si>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</si>
  <si>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</si>
  <si>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</si>
  <si>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</si>
  <si>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</si>
  <si>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</si>
  <si>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</si>
  <si>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</si>
  <si>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</si>
  <si>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</si>
  <si>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</si>
  <si>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</si>
  <si>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</si>
  <si>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</si>
  <si>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</si>
  <si>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</si>
  <si>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</si>
  <si>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</si>
  <si>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</si>
  <si>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</si>
  <si>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</si>
  <si>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</si>
  <si>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</si>
  <si>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</si>
  <si>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</si>
  <si>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</si>
  <si>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</si>
  <si>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</si>
  <si>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</si>
  <si>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F001</t>
  </si>
  <si>
    <t>G001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</si>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</sst>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D2Coding"/>
      <family val="3"/>
      <charset val="129"/>
    </font>
    <font>
      <b/>
      <sz val="11"/>
      <color theme="1"/>
      <name val="D2Coding"/>
      <family val="3"/>
      <charset val="129"/>
    </font>
    <font>
      <sz val="10"/>
      <color theme="1"/>
      <name val="D2Coding"/>
      <family val="3"/>
      <charset val="129"/>
    </font>
    <font>
      <sz val="11"/>
      <color theme="1"/>
      <name val="D2Coding"/>
      <family val="3"/>
      <charset val="129"/>
    </font>
    <font>
      <sz val="10"/>
      <color theme="4"/>
      <name val="D2Coding"/>
      <family val="3"/>
      <charset val="129"/>
    </font>
    <font>
      <sz val="10"/>
      <name val="D2Coding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DFF1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7" fillId="4" borderId="2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/>
    </xf>
    <xf numFmtId="0" fontId="7" fillId="4" borderId="4" xfId="0" applyFont="1" applyFill="1" applyBorder="1" applyAlignment="1">
      <alignment horizontal="left" vertical="top"/>
    </xf>
    <xf numFmtId="0" fontId="7" fillId="4" borderId="5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vertical="top"/>
    </xf>
    <xf numFmtId="0" fontId="7" fillId="5" borderId="4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6" borderId="2" xfId="0" applyFont="1" applyFill="1" applyBorder="1" applyAlignment="1">
      <alignment horizontal="left" vertical="top"/>
    </xf>
    <xf numFmtId="0" fontId="7" fillId="6" borderId="3" xfId="0" applyFont="1" applyFill="1" applyBorder="1" applyAlignment="1">
      <alignment horizontal="left" vertical="top"/>
    </xf>
    <xf numFmtId="0" fontId="7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vertical="top"/>
    </xf>
    <xf numFmtId="0" fontId="7" fillId="6" borderId="4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vertical="top"/>
    </xf>
    <xf numFmtId="0" fontId="7" fillId="3" borderId="4" xfId="0" applyFont="1" applyFill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7" fillId="7" borderId="2" xfId="0" applyFont="1" applyFill="1" applyBorder="1" applyAlignment="1">
      <alignment horizontal="left" vertical="top"/>
    </xf>
    <xf numFmtId="0" fontId="7" fillId="7" borderId="3" xfId="0" applyFont="1" applyFill="1" applyBorder="1" applyAlignment="1">
      <alignment horizontal="left" vertical="top"/>
    </xf>
    <xf numFmtId="0" fontId="7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 vertical="top"/>
    </xf>
    <xf numFmtId="0" fontId="7" fillId="7" borderId="5" xfId="0" applyFont="1" applyFill="1" applyBorder="1" applyAlignment="1">
      <alignment horizontal="left" vertical="top"/>
    </xf>
    <xf numFmtId="0" fontId="7" fillId="7" borderId="2" xfId="1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5" xfId="0" applyFont="1" applyFill="1" applyBorder="1" applyAlignment="1">
      <alignment horizontal="left" vertical="top" wrapText="1"/>
    </xf>
    <xf numFmtId="0" fontId="7" fillId="7" borderId="2" xfId="1" applyFont="1" applyFill="1" applyBorder="1" applyAlignment="1">
      <alignment horizontal="left" vertical="top"/>
    </xf>
    <xf numFmtId="0" fontId="7" fillId="8" borderId="2" xfId="0" applyFont="1" applyFill="1" applyBorder="1" applyAlignment="1">
      <alignment horizontal="left" vertical="top"/>
    </xf>
    <xf numFmtId="0" fontId="7" fillId="8" borderId="3" xfId="0" applyFont="1" applyFill="1" applyBorder="1" applyAlignment="1">
      <alignment horizontal="left" vertical="top"/>
    </xf>
    <xf numFmtId="0" fontId="7" fillId="8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vertical="top"/>
    </xf>
    <xf numFmtId="0" fontId="7" fillId="8" borderId="4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/>
    </xf>
    <xf numFmtId="0" fontId="7" fillId="9" borderId="2" xfId="0" applyFont="1" applyFill="1" applyBorder="1" applyAlignment="1">
      <alignment horizontal="left" vertical="top"/>
    </xf>
    <xf numFmtId="0" fontId="7" fillId="9" borderId="3" xfId="0" applyFont="1" applyFill="1" applyBorder="1" applyAlignment="1">
      <alignment horizontal="left" vertical="top"/>
    </xf>
    <xf numFmtId="0" fontId="7" fillId="9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vertical="top"/>
    </xf>
    <xf numFmtId="0" fontId="7" fillId="9" borderId="4" xfId="0" applyFont="1" applyFill="1" applyBorder="1" applyAlignment="1">
      <alignment horizontal="left" vertical="top"/>
    </xf>
    <xf numFmtId="0" fontId="7" fillId="9" borderId="5" xfId="0" applyFont="1" applyFill="1" applyBorder="1" applyAlignment="1">
      <alignment horizontal="left" vertical="top"/>
    </xf>
    <xf numFmtId="0" fontId="7" fillId="9" borderId="3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left" vertical="top"/>
    </xf>
    <xf numFmtId="0" fontId="7" fillId="9" borderId="4" xfId="0" applyFont="1" applyFill="1" applyBorder="1" applyAlignment="1">
      <alignment horizontal="left" vertical="top" wrapText="1"/>
    </xf>
    <xf numFmtId="0" fontId="7" fillId="9" borderId="5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left" vertical="top"/>
    </xf>
    <xf numFmtId="0" fontId="8" fillId="10" borderId="2" xfId="0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7" fillId="10" borderId="2" xfId="0" applyFont="1" applyFill="1" applyBorder="1" applyAlignment="1">
      <alignment horizontal="left" vertical="top"/>
    </xf>
    <xf numFmtId="0" fontId="7" fillId="10" borderId="2" xfId="0" applyFont="1" applyFill="1" applyBorder="1" applyAlignment="1">
      <alignment horizontal="left" vertical="top" wrapText="1"/>
    </xf>
    <xf numFmtId="0" fontId="8" fillId="10" borderId="2" xfId="0" applyFont="1" applyFill="1" applyBorder="1" applyAlignment="1">
      <alignment vertical="top"/>
    </xf>
    <xf numFmtId="0" fontId="8" fillId="10" borderId="4" xfId="0" applyFont="1" applyFill="1" applyBorder="1" applyAlignment="1">
      <alignment horizontal="left" vertical="top"/>
    </xf>
    <xf numFmtId="0" fontId="7" fillId="10" borderId="4" xfId="0" applyFont="1" applyFill="1" applyBorder="1" applyAlignment="1">
      <alignment horizontal="left" vertical="top"/>
    </xf>
    <xf numFmtId="0" fontId="7" fillId="10" borderId="5" xfId="0" applyFont="1" applyFill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 wrapText="1"/>
    </xf>
    <xf numFmtId="0" fontId="8" fillId="10" borderId="5" xfId="0" applyFont="1" applyFill="1" applyBorder="1" applyAlignment="1">
      <alignment horizontal="left" vertical="top"/>
    </xf>
    <xf numFmtId="0" fontId="8" fillId="10" borderId="4" xfId="0" applyFont="1" applyFill="1" applyBorder="1" applyAlignment="1">
      <alignment vertical="top"/>
    </xf>
    <xf numFmtId="0" fontId="8" fillId="10" borderId="5" xfId="0" applyFont="1" applyFill="1" applyBorder="1" applyAlignment="1">
      <alignment vertical="top"/>
    </xf>
    <xf numFmtId="0" fontId="8" fillId="10" borderId="3" xfId="0" applyFont="1" applyFill="1" applyBorder="1" applyAlignment="1">
      <alignment vertical="top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FDDFF1"/>
      <color rgb="FFF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on soyoung" id="{9457F524-FD4D-4838-BEE8-9A4FB2AEC789}" userId="30824b788559e4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95" dT="2022-04-01T03:58:11.68" personId="{9457F524-FD4D-4838-BEE8-9A4FB2AEC789}" id="{3F6627BD-BBB9-4678-AF5D-AE23B55EB45F}">
    <text>태양전지판 면적, 각 서브시스템별 소비 전력 및 작동 주기 (요구/제한조건),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40625" defaultRowHeight="17.600000000000001" x14ac:dyDescent="0.55000000000000004"/>
  <cols>
    <col min="1" max="1" width="5.5" style="1" bestFit="1" customWidth="1"/>
    <col min="2" max="2" width="16" style="1" bestFit="1" customWidth="1"/>
    <col min="3" max="3" width="26.92578125" style="1" bestFit="1" customWidth="1"/>
    <col min="4" max="4" width="31.140625" style="1" bestFit="1" customWidth="1"/>
    <col min="5" max="5" width="48.92578125" style="1" bestFit="1" customWidth="1"/>
    <col min="6" max="6" width="60.85546875" style="1" bestFit="1" customWidth="1"/>
    <col min="7" max="7" width="47.35546875" style="1" bestFit="1" customWidth="1"/>
    <col min="8" max="8" width="129" style="1" bestFit="1" customWidth="1"/>
    <col min="9" max="9" width="8.0703125" style="1" bestFit="1" customWidth="1"/>
    <col min="10" max="11" width="9.140625" style="1"/>
    <col min="12" max="12" width="63.140625" style="1" customWidth="1"/>
    <col min="13" max="13" width="59.85546875" style="1" customWidth="1"/>
    <col min="14" max="16384" width="9.140625" style="1"/>
  </cols>
  <sheetData>
    <row r="1" spans="1:13" s="2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549</v>
      </c>
      <c r="K1" s="4" t="s">
        <v>550</v>
      </c>
      <c r="L1" s="4" t="s">
        <v>551</v>
      </c>
      <c r="M1" s="4" t="s">
        <v>552</v>
      </c>
    </row>
    <row r="2" spans="1:13" ht="38.6" x14ac:dyDescent="0.55000000000000004">
      <c r="A2" s="5" t="s">
        <v>569</v>
      </c>
      <c r="B2" s="6" t="s">
        <v>9</v>
      </c>
      <c r="C2" s="5" t="s">
        <v>10</v>
      </c>
      <c r="D2" s="5"/>
      <c r="E2" s="5"/>
      <c r="F2" s="5"/>
      <c r="G2" s="5"/>
      <c r="H2" s="7" t="s">
        <v>454</v>
      </c>
      <c r="I2" s="5"/>
      <c r="J2" s="8"/>
      <c r="K2" s="8"/>
      <c r="L2" s="8" t="str">
        <f>MID(H2,FIND("투입재료",H2)+6,FIND("결과물",H2)-FIND("투입재료",H2)-7)</f>
        <v>시스템 설계, 시스템 운용 계획, 개발 일정 및 계획</v>
      </c>
      <c r="M2" s="8" t="str">
        <f>MID(H2,FIND("결과물",H2)+5,LEN(H2)-FIND("결과물",H2))</f>
        <v>위험관리 표</v>
      </c>
    </row>
    <row r="3" spans="1:13" ht="38.6" x14ac:dyDescent="0.55000000000000004">
      <c r="A3" s="5" t="s">
        <v>865</v>
      </c>
      <c r="B3" s="9"/>
      <c r="C3" s="5" t="s">
        <v>11</v>
      </c>
      <c r="D3" s="5"/>
      <c r="E3" s="5"/>
      <c r="F3" s="5"/>
      <c r="G3" s="5"/>
      <c r="H3" s="7" t="s">
        <v>458</v>
      </c>
      <c r="I3" s="5"/>
      <c r="J3" s="8"/>
      <c r="K3" s="8"/>
      <c r="L3" s="8" t="str">
        <f t="shared" ref="L3:L10" si="0">MID(H3,FIND("투입재료",H3)+6,FIND("결과물",H3)-FIND("투입재료",H3)-7)</f>
        <v/>
      </c>
      <c r="M3" s="8" t="str">
        <f t="shared" ref="M3:M10" si="1">MID(H3,FIND("결과물",H3)+5,LEN(H3)-FIND("결과물",H3))</f>
        <v/>
      </c>
    </row>
    <row r="4" spans="1:13" ht="38.6" x14ac:dyDescent="0.55000000000000004">
      <c r="A4" s="5" t="s">
        <v>570</v>
      </c>
      <c r="B4" s="9"/>
      <c r="C4" s="6" t="s">
        <v>12</v>
      </c>
      <c r="D4" s="6" t="s">
        <v>13</v>
      </c>
      <c r="E4" s="5" t="s">
        <v>14</v>
      </c>
      <c r="F4" s="5"/>
      <c r="G4" s="5"/>
      <c r="H4" s="7" t="s">
        <v>458</v>
      </c>
      <c r="I4" s="5"/>
      <c r="J4" s="8"/>
      <c r="K4" s="8"/>
      <c r="L4" s="8" t="str">
        <f t="shared" si="0"/>
        <v/>
      </c>
      <c r="M4" s="8" t="str">
        <f t="shared" si="1"/>
        <v/>
      </c>
    </row>
    <row r="5" spans="1:13" ht="38.6" x14ac:dyDescent="0.55000000000000004">
      <c r="A5" s="5" t="s">
        <v>571</v>
      </c>
      <c r="B5" s="9"/>
      <c r="C5" s="9"/>
      <c r="D5" s="9"/>
      <c r="E5" s="5" t="s">
        <v>15</v>
      </c>
      <c r="F5" s="5"/>
      <c r="G5" s="5"/>
      <c r="H5" s="7" t="s">
        <v>458</v>
      </c>
      <c r="I5" s="5"/>
      <c r="J5" s="8"/>
      <c r="K5" s="8"/>
      <c r="L5" s="8" t="str">
        <f t="shared" si="0"/>
        <v/>
      </c>
      <c r="M5" s="8" t="str">
        <f t="shared" si="1"/>
        <v/>
      </c>
    </row>
    <row r="6" spans="1:13" ht="38.6" x14ac:dyDescent="0.55000000000000004">
      <c r="A6" s="5" t="s">
        <v>572</v>
      </c>
      <c r="B6" s="9"/>
      <c r="C6" s="9"/>
      <c r="D6" s="9"/>
      <c r="E6" s="5" t="s">
        <v>16</v>
      </c>
      <c r="F6" s="5"/>
      <c r="G6" s="5"/>
      <c r="H6" s="7" t="s">
        <v>458</v>
      </c>
      <c r="I6" s="5"/>
      <c r="J6" s="8"/>
      <c r="K6" s="8"/>
      <c r="L6" s="8" t="str">
        <f t="shared" si="0"/>
        <v/>
      </c>
      <c r="M6" s="8" t="str">
        <f t="shared" si="1"/>
        <v/>
      </c>
    </row>
    <row r="7" spans="1:13" ht="38.6" x14ac:dyDescent="0.55000000000000004">
      <c r="A7" s="5" t="s">
        <v>573</v>
      </c>
      <c r="B7" s="9"/>
      <c r="C7" s="9"/>
      <c r="D7" s="10"/>
      <c r="E7" s="5" t="s">
        <v>17</v>
      </c>
      <c r="F7" s="5"/>
      <c r="G7" s="5"/>
      <c r="H7" s="7" t="s">
        <v>458</v>
      </c>
      <c r="I7" s="5"/>
      <c r="J7" s="8"/>
      <c r="K7" s="8"/>
      <c r="L7" s="8" t="str">
        <f t="shared" si="0"/>
        <v/>
      </c>
      <c r="M7" s="8" t="str">
        <f t="shared" si="1"/>
        <v/>
      </c>
    </row>
    <row r="8" spans="1:13" ht="38.6" x14ac:dyDescent="0.55000000000000004">
      <c r="A8" s="5" t="s">
        <v>574</v>
      </c>
      <c r="B8" s="9"/>
      <c r="C8" s="9"/>
      <c r="D8" s="6" t="s">
        <v>18</v>
      </c>
      <c r="E8" s="5" t="s">
        <v>19</v>
      </c>
      <c r="F8" s="5"/>
      <c r="G8" s="5"/>
      <c r="H8" s="7" t="s">
        <v>458</v>
      </c>
      <c r="I8" s="5" t="s">
        <v>455</v>
      </c>
      <c r="J8" s="8"/>
      <c r="K8" s="8"/>
      <c r="L8" s="8" t="str">
        <f t="shared" si="0"/>
        <v/>
      </c>
      <c r="M8" s="8" t="str">
        <f t="shared" si="1"/>
        <v/>
      </c>
    </row>
    <row r="9" spans="1:13" ht="38.6" x14ac:dyDescent="0.55000000000000004">
      <c r="A9" s="5" t="s">
        <v>575</v>
      </c>
      <c r="B9" s="9"/>
      <c r="C9" s="9"/>
      <c r="D9" s="9"/>
      <c r="E9" s="5" t="s">
        <v>20</v>
      </c>
      <c r="F9" s="5"/>
      <c r="G9" s="5"/>
      <c r="H9" s="7" t="s">
        <v>458</v>
      </c>
      <c r="I9" s="5"/>
      <c r="J9" s="8"/>
      <c r="K9" s="8"/>
      <c r="L9" s="8" t="str">
        <f t="shared" si="0"/>
        <v/>
      </c>
      <c r="M9" s="8" t="str">
        <f t="shared" si="1"/>
        <v/>
      </c>
    </row>
    <row r="10" spans="1:13" ht="38.6" x14ac:dyDescent="0.55000000000000004">
      <c r="A10" s="5" t="s">
        <v>576</v>
      </c>
      <c r="B10" s="10"/>
      <c r="C10" s="10"/>
      <c r="D10" s="10"/>
      <c r="E10" s="5" t="s">
        <v>21</v>
      </c>
      <c r="F10" s="5"/>
      <c r="G10" s="5"/>
      <c r="H10" s="7" t="s">
        <v>458</v>
      </c>
      <c r="I10" s="5"/>
      <c r="J10" s="8"/>
      <c r="K10" s="8"/>
      <c r="L10" s="8" t="str">
        <f t="shared" si="0"/>
        <v/>
      </c>
      <c r="M10" s="8" t="str">
        <f t="shared" si="1"/>
        <v/>
      </c>
    </row>
    <row r="11" spans="1:13" ht="38.6" x14ac:dyDescent="0.55000000000000004">
      <c r="A11" s="11" t="s">
        <v>577</v>
      </c>
      <c r="B11" s="12" t="s">
        <v>22</v>
      </c>
      <c r="C11" s="12" t="s">
        <v>23</v>
      </c>
      <c r="D11" s="11" t="s">
        <v>24</v>
      </c>
      <c r="E11" s="11"/>
      <c r="F11" s="11"/>
      <c r="G11" s="11"/>
      <c r="H11" s="13" t="s">
        <v>456</v>
      </c>
      <c r="I11" s="11">
        <v>2022.06</v>
      </c>
      <c r="J11" s="14"/>
      <c r="K11" s="14"/>
      <c r="L11" s="14" t="str">
        <f>MID(H11,FIND("투입재료",H11)+6,FIND("결과물",H11)-FIND("투입재료",H11)-7)</f>
        <v>H/W 선정 목록</v>
      </c>
      <c r="M11" s="14" t="str">
        <f t="shared" ref="M3:M53" si="2">MID(H11,FIND("결과물",H11)+5,LEN(H11)-FIND("결과물",H11))</f>
        <v>H/W 별 구매 확인서 및 납품 일정</v>
      </c>
    </row>
    <row r="12" spans="1:13" ht="38.6" x14ac:dyDescent="0.55000000000000004">
      <c r="A12" s="11" t="s">
        <v>578</v>
      </c>
      <c r="B12" s="15"/>
      <c r="C12" s="16"/>
      <c r="D12" s="11" t="s">
        <v>25</v>
      </c>
      <c r="E12" s="11"/>
      <c r="F12" s="11"/>
      <c r="G12" s="11"/>
      <c r="H12" s="13" t="s">
        <v>458</v>
      </c>
      <c r="I12" s="11"/>
      <c r="J12" s="14"/>
      <c r="K12" s="14"/>
      <c r="L12" s="14" t="str">
        <f t="shared" ref="L12:L17" si="3">MID(H12,FIND("투입재료",H12)+6,FIND("결과물",H12)-FIND("투입재료",H12)-7)</f>
        <v/>
      </c>
      <c r="M12" s="14" t="str">
        <f t="shared" ref="M12:M17" si="4">MID(H12,FIND("결과물",H12)+5,LEN(H12)-FIND("결과물",H12))</f>
        <v/>
      </c>
    </row>
    <row r="13" spans="1:13" ht="38.6" x14ac:dyDescent="0.55000000000000004">
      <c r="A13" s="11" t="s">
        <v>579</v>
      </c>
      <c r="B13" s="15"/>
      <c r="C13" s="11" t="s">
        <v>26</v>
      </c>
      <c r="D13" s="11" t="s">
        <v>27</v>
      </c>
      <c r="E13" s="11"/>
      <c r="F13" s="11"/>
      <c r="G13" s="11"/>
      <c r="H13" s="13" t="s">
        <v>458</v>
      </c>
      <c r="I13" s="11">
        <v>2022.1</v>
      </c>
      <c r="J13" s="14"/>
      <c r="K13" s="14"/>
      <c r="L13" s="14" t="str">
        <f t="shared" si="3"/>
        <v/>
      </c>
      <c r="M13" s="14" t="str">
        <f t="shared" si="4"/>
        <v/>
      </c>
    </row>
    <row r="14" spans="1:13" ht="38.6" x14ac:dyDescent="0.55000000000000004">
      <c r="A14" s="11" t="s">
        <v>580</v>
      </c>
      <c r="B14" s="15"/>
      <c r="C14" s="11" t="s">
        <v>29</v>
      </c>
      <c r="D14" s="11" t="s">
        <v>30</v>
      </c>
      <c r="E14" s="11"/>
      <c r="F14" s="11"/>
      <c r="G14" s="11"/>
      <c r="H14" s="13" t="s">
        <v>458</v>
      </c>
      <c r="I14" s="11">
        <v>2023.03</v>
      </c>
      <c r="J14" s="14"/>
      <c r="K14" s="14"/>
      <c r="L14" s="14" t="str">
        <f t="shared" si="3"/>
        <v/>
      </c>
      <c r="M14" s="14" t="str">
        <f t="shared" si="4"/>
        <v/>
      </c>
    </row>
    <row r="15" spans="1:13" ht="38.6" x14ac:dyDescent="0.55000000000000004">
      <c r="A15" s="11" t="s">
        <v>581</v>
      </c>
      <c r="B15" s="15"/>
      <c r="C15" s="11" t="s">
        <v>31</v>
      </c>
      <c r="D15" s="11" t="s">
        <v>32</v>
      </c>
      <c r="E15" s="11"/>
      <c r="F15" s="11"/>
      <c r="G15" s="11"/>
      <c r="H15" s="13" t="s">
        <v>458</v>
      </c>
      <c r="I15" s="11">
        <v>2023.09</v>
      </c>
      <c r="J15" s="14"/>
      <c r="K15" s="14"/>
      <c r="L15" s="14" t="str">
        <f t="shared" si="3"/>
        <v/>
      </c>
      <c r="M15" s="14" t="str">
        <f t="shared" si="4"/>
        <v/>
      </c>
    </row>
    <row r="16" spans="1:13" ht="38.6" x14ac:dyDescent="0.55000000000000004">
      <c r="A16" s="11" t="s">
        <v>582</v>
      </c>
      <c r="B16" s="15"/>
      <c r="C16" s="12" t="s">
        <v>33</v>
      </c>
      <c r="D16" s="11" t="s">
        <v>34</v>
      </c>
      <c r="E16" s="11"/>
      <c r="F16" s="11"/>
      <c r="G16" s="11"/>
      <c r="H16" s="13" t="s">
        <v>458</v>
      </c>
      <c r="I16" s="11">
        <v>2024.01</v>
      </c>
      <c r="J16" s="14"/>
      <c r="K16" s="14"/>
      <c r="L16" s="14" t="str">
        <f t="shared" si="3"/>
        <v/>
      </c>
      <c r="M16" s="14" t="str">
        <f t="shared" si="4"/>
        <v/>
      </c>
    </row>
    <row r="17" spans="1:13" ht="38.6" x14ac:dyDescent="0.55000000000000004">
      <c r="A17" s="11" t="s">
        <v>583</v>
      </c>
      <c r="B17" s="16"/>
      <c r="C17" s="16"/>
      <c r="D17" s="11" t="s">
        <v>35</v>
      </c>
      <c r="E17" s="11"/>
      <c r="F17" s="11"/>
      <c r="G17" s="11"/>
      <c r="H17" s="13" t="s">
        <v>458</v>
      </c>
      <c r="I17" s="11"/>
      <c r="J17" s="14"/>
      <c r="K17" s="14"/>
      <c r="L17" s="14" t="str">
        <f t="shared" si="3"/>
        <v/>
      </c>
      <c r="M17" s="14" t="str">
        <f t="shared" si="4"/>
        <v/>
      </c>
    </row>
    <row r="18" spans="1:13" ht="38.6" x14ac:dyDescent="0.55000000000000004">
      <c r="A18" s="17" t="s">
        <v>584</v>
      </c>
      <c r="B18" s="18" t="s">
        <v>36</v>
      </c>
      <c r="C18" s="18" t="s">
        <v>37</v>
      </c>
      <c r="D18" s="17" t="s">
        <v>28</v>
      </c>
      <c r="E18" s="17"/>
      <c r="F18" s="17"/>
      <c r="G18" s="17"/>
      <c r="H18" s="19" t="s">
        <v>457</v>
      </c>
      <c r="I18" s="17"/>
      <c r="J18" s="20"/>
      <c r="K18" s="20"/>
      <c r="L18" s="20" t="str">
        <f t="shared" ref="L18:L53" si="5">MID(H18,FIND("투입재료",H18)+6,FIND("결과물",H18)-FIND("투입재료",H18)-7)</f>
        <v>큐브위성 운용 궤도 및 목표 발사일, 발사 예산</v>
      </c>
      <c r="M18" s="20" t="str">
        <f t="shared" si="2"/>
        <v>계약 가능 발사체 및 계약 업체 목록</v>
      </c>
    </row>
    <row r="19" spans="1:13" ht="38.6" x14ac:dyDescent="0.55000000000000004">
      <c r="A19" s="17" t="s">
        <v>585</v>
      </c>
      <c r="B19" s="21"/>
      <c r="C19" s="21"/>
      <c r="D19" s="17" t="s">
        <v>38</v>
      </c>
      <c r="E19" s="17"/>
      <c r="F19" s="17"/>
      <c r="G19" s="17"/>
      <c r="H19" s="19" t="s">
        <v>458</v>
      </c>
      <c r="I19" s="17"/>
      <c r="J19" s="20"/>
      <c r="K19" s="20"/>
      <c r="L19" s="20" t="str">
        <f t="shared" ref="L19:L25" si="6">MID(H19,FIND("투입재료",H19)+6,FIND("결과물",H19)-FIND("투입재료",H19)-7)</f>
        <v/>
      </c>
      <c r="M19" s="20" t="str">
        <f t="shared" ref="M19:M25" si="7">MID(H19,FIND("결과물",H19)+5,LEN(H19)-FIND("결과물",H19))</f>
        <v/>
      </c>
    </row>
    <row r="20" spans="1:13" ht="38.6" x14ac:dyDescent="0.55000000000000004">
      <c r="A20" s="17" t="s">
        <v>586</v>
      </c>
      <c r="B20" s="21"/>
      <c r="C20" s="22"/>
      <c r="D20" s="17" t="s">
        <v>39</v>
      </c>
      <c r="E20" s="17"/>
      <c r="F20" s="17"/>
      <c r="G20" s="17"/>
      <c r="H20" s="19" t="s">
        <v>458</v>
      </c>
      <c r="I20" s="17"/>
      <c r="J20" s="20"/>
      <c r="K20" s="20"/>
      <c r="L20" s="20" t="str">
        <f t="shared" si="6"/>
        <v/>
      </c>
      <c r="M20" s="20" t="str">
        <f t="shared" si="7"/>
        <v/>
      </c>
    </row>
    <row r="21" spans="1:13" ht="38.6" x14ac:dyDescent="0.55000000000000004">
      <c r="A21" s="17" t="s">
        <v>587</v>
      </c>
      <c r="B21" s="21"/>
      <c r="C21" s="18" t="s">
        <v>40</v>
      </c>
      <c r="D21" s="17" t="s">
        <v>41</v>
      </c>
      <c r="E21" s="17"/>
      <c r="F21" s="17"/>
      <c r="G21" s="17"/>
      <c r="H21" s="19" t="s">
        <v>458</v>
      </c>
      <c r="I21" s="17"/>
      <c r="J21" s="20"/>
      <c r="K21" s="20"/>
      <c r="L21" s="20" t="str">
        <f t="shared" si="6"/>
        <v/>
      </c>
      <c r="M21" s="20" t="str">
        <f t="shared" si="7"/>
        <v/>
      </c>
    </row>
    <row r="22" spans="1:13" ht="38.6" x14ac:dyDescent="0.55000000000000004">
      <c r="A22" s="17" t="s">
        <v>588</v>
      </c>
      <c r="B22" s="21"/>
      <c r="C22" s="22"/>
      <c r="D22" s="17" t="s">
        <v>42</v>
      </c>
      <c r="E22" s="17"/>
      <c r="F22" s="17"/>
      <c r="G22" s="17"/>
      <c r="H22" s="19" t="s">
        <v>458</v>
      </c>
      <c r="I22" s="17"/>
      <c r="J22" s="20"/>
      <c r="K22" s="20"/>
      <c r="L22" s="20" t="str">
        <f t="shared" si="6"/>
        <v/>
      </c>
      <c r="M22" s="20" t="str">
        <f t="shared" si="7"/>
        <v/>
      </c>
    </row>
    <row r="23" spans="1:13" ht="38.6" x14ac:dyDescent="0.55000000000000004">
      <c r="A23" s="17" t="s">
        <v>589</v>
      </c>
      <c r="B23" s="21"/>
      <c r="C23" s="18" t="s">
        <v>46</v>
      </c>
      <c r="D23" s="17" t="s">
        <v>45</v>
      </c>
      <c r="E23" s="17"/>
      <c r="F23" s="17"/>
      <c r="G23" s="17"/>
      <c r="H23" s="19" t="s">
        <v>458</v>
      </c>
      <c r="I23" s="17"/>
      <c r="J23" s="20"/>
      <c r="K23" s="20"/>
      <c r="L23" s="20" t="str">
        <f t="shared" si="6"/>
        <v/>
      </c>
      <c r="M23" s="20" t="str">
        <f t="shared" si="7"/>
        <v/>
      </c>
    </row>
    <row r="24" spans="1:13" ht="38.6" x14ac:dyDescent="0.55000000000000004">
      <c r="A24" s="17" t="s">
        <v>590</v>
      </c>
      <c r="B24" s="21"/>
      <c r="C24" s="22"/>
      <c r="D24" s="17" t="s">
        <v>43</v>
      </c>
      <c r="E24" s="17"/>
      <c r="F24" s="17"/>
      <c r="G24" s="17"/>
      <c r="H24" s="19" t="s">
        <v>458</v>
      </c>
      <c r="I24" s="17"/>
      <c r="J24" s="20"/>
      <c r="K24" s="20"/>
      <c r="L24" s="20" t="str">
        <f t="shared" si="6"/>
        <v/>
      </c>
      <c r="M24" s="20" t="str">
        <f t="shared" si="7"/>
        <v/>
      </c>
    </row>
    <row r="25" spans="1:13" ht="38.6" x14ac:dyDescent="0.55000000000000004">
      <c r="A25" s="17" t="s">
        <v>591</v>
      </c>
      <c r="B25" s="22"/>
      <c r="C25" s="17" t="s">
        <v>44</v>
      </c>
      <c r="D25" s="17"/>
      <c r="E25" s="17"/>
      <c r="F25" s="17"/>
      <c r="G25" s="17"/>
      <c r="H25" s="19" t="s">
        <v>458</v>
      </c>
      <c r="I25" s="17"/>
      <c r="J25" s="20"/>
      <c r="K25" s="20"/>
      <c r="L25" s="20" t="str">
        <f t="shared" si="6"/>
        <v/>
      </c>
      <c r="M25" s="20" t="str">
        <f t="shared" si="7"/>
        <v/>
      </c>
    </row>
    <row r="26" spans="1:13" ht="38.6" x14ac:dyDescent="0.55000000000000004">
      <c r="A26" s="23" t="s">
        <v>592</v>
      </c>
      <c r="B26" s="24" t="s">
        <v>47</v>
      </c>
      <c r="C26" s="24" t="s">
        <v>48</v>
      </c>
      <c r="D26" s="24" t="s">
        <v>49</v>
      </c>
      <c r="E26" s="23" t="s">
        <v>50</v>
      </c>
      <c r="F26" s="23"/>
      <c r="G26" s="23"/>
      <c r="H26" s="25" t="s">
        <v>51</v>
      </c>
      <c r="I26" s="23"/>
      <c r="J26" s="26"/>
      <c r="K26" s="26"/>
      <c r="L26" s="26" t="str">
        <f t="shared" si="5"/>
        <v>REQ 표</v>
      </c>
      <c r="M26" s="26" t="str">
        <f t="shared" si="2"/>
        <v>level 3 REQ 표</v>
      </c>
    </row>
    <row r="27" spans="1:13" ht="38.6" x14ac:dyDescent="0.55000000000000004">
      <c r="A27" s="23" t="s">
        <v>593</v>
      </c>
      <c r="B27" s="27"/>
      <c r="C27" s="27"/>
      <c r="D27" s="27"/>
      <c r="E27" s="23" t="s">
        <v>52</v>
      </c>
      <c r="F27" s="23"/>
      <c r="G27" s="23"/>
      <c r="H27" s="25" t="s">
        <v>53</v>
      </c>
      <c r="I27" s="23"/>
      <c r="J27" s="26"/>
      <c r="K27" s="26"/>
      <c r="L27" s="26" t="str">
        <f t="shared" ref="L27:L53" si="8">MID(H27,FIND("투입재료",H27)+6,FIND("결과물",H27)-FIND("투입재료",H27)-7)</f>
        <v>level 3 요구조건</v>
      </c>
      <c r="M27" s="26" t="str">
        <f t="shared" ref="M27:M53" si="9">MID(H27,FIND("결과물",H27)+5,LEN(H27)-FIND("결과물",H27))</f>
        <v>level 4 REQ 표</v>
      </c>
    </row>
    <row r="28" spans="1:13" ht="38.6" x14ac:dyDescent="0.55000000000000004">
      <c r="A28" s="23" t="s">
        <v>594</v>
      </c>
      <c r="B28" s="27"/>
      <c r="C28" s="27"/>
      <c r="D28" s="28"/>
      <c r="E28" s="23" t="s">
        <v>54</v>
      </c>
      <c r="F28" s="23"/>
      <c r="G28" s="23"/>
      <c r="H28" s="25" t="s">
        <v>55</v>
      </c>
      <c r="I28" s="23"/>
      <c r="J28" s="26"/>
      <c r="K28" s="26"/>
      <c r="L28" s="26" t="str">
        <f t="shared" si="8"/>
        <v xml:space="preserve">level 4 요구조건 </v>
      </c>
      <c r="M28" s="26" t="str">
        <f t="shared" si="9"/>
        <v>level 5 REQ 표</v>
      </c>
    </row>
    <row r="29" spans="1:13" ht="38.6" x14ac:dyDescent="0.55000000000000004">
      <c r="A29" s="23" t="s">
        <v>595</v>
      </c>
      <c r="B29" s="27"/>
      <c r="C29" s="27"/>
      <c r="D29" s="24" t="s">
        <v>56</v>
      </c>
      <c r="E29" s="23" t="s">
        <v>57</v>
      </c>
      <c r="F29" s="23"/>
      <c r="G29" s="23"/>
      <c r="H29" s="25" t="s">
        <v>58</v>
      </c>
      <c r="I29" s="23"/>
      <c r="J29" s="26"/>
      <c r="K29" s="26"/>
      <c r="L29" s="26" t="str">
        <f t="shared" si="8"/>
        <v>level 3 요구조건</v>
      </c>
      <c r="M29" s="26" t="str">
        <f t="shared" si="9"/>
        <v>level 3 REQ 표</v>
      </c>
    </row>
    <row r="30" spans="1:13" ht="38.6" x14ac:dyDescent="0.55000000000000004">
      <c r="A30" s="23" t="s">
        <v>596</v>
      </c>
      <c r="B30" s="27"/>
      <c r="C30" s="27"/>
      <c r="D30" s="27"/>
      <c r="E30" s="23" t="s">
        <v>59</v>
      </c>
      <c r="F30" s="23"/>
      <c r="G30" s="23"/>
      <c r="H30" s="25" t="s">
        <v>60</v>
      </c>
      <c r="I30" s="23"/>
      <c r="J30" s="26"/>
      <c r="K30" s="26"/>
      <c r="L30" s="26" t="str">
        <f t="shared" si="8"/>
        <v>level 4 요구조건</v>
      </c>
      <c r="M30" s="26" t="str">
        <f t="shared" si="9"/>
        <v>level 4 REQ 표</v>
      </c>
    </row>
    <row r="31" spans="1:13" ht="38.6" x14ac:dyDescent="0.55000000000000004">
      <c r="A31" s="23" t="s">
        <v>597</v>
      </c>
      <c r="B31" s="27"/>
      <c r="C31" s="27"/>
      <c r="D31" s="28"/>
      <c r="E31" s="23" t="s">
        <v>61</v>
      </c>
      <c r="F31" s="23"/>
      <c r="G31" s="23"/>
      <c r="H31" s="25" t="s">
        <v>62</v>
      </c>
      <c r="I31" s="23"/>
      <c r="J31" s="26"/>
      <c r="K31" s="26"/>
      <c r="L31" s="26" t="str">
        <f t="shared" si="8"/>
        <v>level 5 요구조건</v>
      </c>
      <c r="M31" s="26" t="str">
        <f t="shared" si="9"/>
        <v>level 5 REQ 표</v>
      </c>
    </row>
    <row r="32" spans="1:13" ht="38.6" x14ac:dyDescent="0.55000000000000004">
      <c r="A32" s="23" t="s">
        <v>598</v>
      </c>
      <c r="B32" s="27"/>
      <c r="C32" s="27"/>
      <c r="D32" s="24" t="s">
        <v>63</v>
      </c>
      <c r="E32" s="23" t="s">
        <v>64</v>
      </c>
      <c r="F32" s="23"/>
      <c r="G32" s="23"/>
      <c r="H32" s="25" t="s">
        <v>65</v>
      </c>
      <c r="I32" s="23"/>
      <c r="J32" s="26"/>
      <c r="K32" s="26"/>
      <c r="L32" s="26" t="str">
        <f t="shared" si="8"/>
        <v>PAYS REQ 표</v>
      </c>
      <c r="M32" s="26" t="str">
        <f t="shared" si="9"/>
        <v>제조사 별 사용가능 Photodiode list 및 spec.</v>
      </c>
    </row>
    <row r="33" spans="1:13" ht="38.6" x14ac:dyDescent="0.55000000000000004">
      <c r="A33" s="23" t="s">
        <v>599</v>
      </c>
      <c r="B33" s="27"/>
      <c r="C33" s="27"/>
      <c r="D33" s="28"/>
      <c r="E33" s="23" t="s">
        <v>66</v>
      </c>
      <c r="F33" s="23"/>
      <c r="G33" s="23"/>
      <c r="H33" s="25" t="s">
        <v>67</v>
      </c>
      <c r="I33" s="23"/>
      <c r="J33" s="26"/>
      <c r="K33" s="26"/>
      <c r="L33" s="26" t="str">
        <f t="shared" si="8"/>
        <v>제조사 별 사용가능 Photodiode list 및 spec., 궤도 상에서의 총 광력에 의한 광전류 데이터</v>
      </c>
      <c r="M33" s="26" t="str">
        <f t="shared" si="9"/>
        <v>최종 Photodiode 제품</v>
      </c>
    </row>
    <row r="34" spans="1:13" ht="38.6" x14ac:dyDescent="0.55000000000000004">
      <c r="A34" s="23" t="s">
        <v>600</v>
      </c>
      <c r="B34" s="27"/>
      <c r="C34" s="27"/>
      <c r="D34" s="24" t="s">
        <v>68</v>
      </c>
      <c r="E34" s="23" t="s">
        <v>69</v>
      </c>
      <c r="F34" s="23" t="s">
        <v>70</v>
      </c>
      <c r="G34" s="23"/>
      <c r="H34" s="25" t="s">
        <v>71</v>
      </c>
      <c r="I34" s="23"/>
      <c r="J34" s="26"/>
      <c r="K34" s="26"/>
      <c r="L34" s="26" t="str">
        <f t="shared" si="8"/>
        <v>포토다이오드에 입사되는 총 광력, Photodiode 요구조건</v>
      </c>
      <c r="M34" s="26" t="str">
        <f t="shared" si="9"/>
        <v>max. light level</v>
      </c>
    </row>
    <row r="35" spans="1:13" ht="38.6" x14ac:dyDescent="0.55000000000000004">
      <c r="A35" s="23" t="s">
        <v>601</v>
      </c>
      <c r="B35" s="27"/>
      <c r="C35" s="27"/>
      <c r="D35" s="28"/>
      <c r="E35" s="23" t="s">
        <v>72</v>
      </c>
      <c r="F35" s="23"/>
      <c r="G35" s="23"/>
      <c r="H35" s="25" t="s">
        <v>73</v>
      </c>
      <c r="I35" s="23"/>
      <c r="J35" s="26"/>
      <c r="K35" s="26"/>
      <c r="L35" s="26" t="str">
        <f t="shared" si="8"/>
        <v>궤도 상에서의 총 광력에 의한 광전류 데이터, Photodiode 요구조건</v>
      </c>
      <c r="M35" s="26" t="str">
        <f t="shared" si="9"/>
        <v>out.Voltage sensing 단위</v>
      </c>
    </row>
    <row r="36" spans="1:13" ht="38.6" x14ac:dyDescent="0.55000000000000004">
      <c r="A36" s="23" t="s">
        <v>602</v>
      </c>
      <c r="B36" s="27"/>
      <c r="C36" s="27"/>
      <c r="D36" s="24" t="s">
        <v>74</v>
      </c>
      <c r="E36" s="24" t="s">
        <v>75</v>
      </c>
      <c r="F36" s="23" t="s">
        <v>76</v>
      </c>
      <c r="G36" s="23"/>
      <c r="H36" s="25" t="s">
        <v>77</v>
      </c>
      <c r="I36" s="23"/>
      <c r="J36" s="26"/>
      <c r="K36" s="26"/>
      <c r="L36" s="26" t="str">
        <f t="shared" si="8"/>
        <v>SLR 레이저 자료 조사</v>
      </c>
      <c r="M36" s="26" t="str">
        <f t="shared" si="9"/>
        <v>SLR 레이저 파장 및 광 파워 데이터 시트</v>
      </c>
    </row>
    <row r="37" spans="1:13" ht="38.6" x14ac:dyDescent="0.55000000000000004">
      <c r="A37" s="23" t="s">
        <v>603</v>
      </c>
      <c r="B37" s="27"/>
      <c r="C37" s="27"/>
      <c r="D37" s="27"/>
      <c r="E37" s="27"/>
      <c r="F37" s="23" t="s">
        <v>78</v>
      </c>
      <c r="G37" s="23"/>
      <c r="H37" s="25" t="s">
        <v>79</v>
      </c>
      <c r="I37" s="23"/>
      <c r="J37" s="26"/>
      <c r="K37" s="26"/>
      <c r="L37" s="26" t="str">
        <f t="shared" si="8"/>
        <v>지구 복사 조도 자료 조사</v>
      </c>
      <c r="M37" s="26" t="str">
        <f t="shared" si="9"/>
        <v>지구 복사 조도의 광 파워 데이터 시트</v>
      </c>
    </row>
    <row r="38" spans="1:13" ht="38.6" x14ac:dyDescent="0.55000000000000004">
      <c r="A38" s="23" t="s">
        <v>604</v>
      </c>
      <c r="B38" s="27"/>
      <c r="C38" s="27"/>
      <c r="D38" s="27"/>
      <c r="E38" s="27"/>
      <c r="F38" s="23" t="s">
        <v>80</v>
      </c>
      <c r="G38" s="23"/>
      <c r="H38" s="25" t="s">
        <v>81</v>
      </c>
      <c r="I38" s="23"/>
      <c r="J38" s="26"/>
      <c r="K38" s="26"/>
      <c r="L38" s="26" t="str">
        <f t="shared" si="8"/>
        <v>SLR 레이저 파장 및 광 파워 데이터 시트</v>
      </c>
      <c r="M38" s="26" t="str">
        <f t="shared" si="9"/>
        <v>Matlab code 및 SLR 레이저에 의한 광전류 데이터</v>
      </c>
    </row>
    <row r="39" spans="1:13" ht="38.6" x14ac:dyDescent="0.55000000000000004">
      <c r="A39" s="23" t="s">
        <v>605</v>
      </c>
      <c r="B39" s="27"/>
      <c r="C39" s="27"/>
      <c r="D39" s="27"/>
      <c r="E39" s="27"/>
      <c r="F39" s="23" t="s">
        <v>82</v>
      </c>
      <c r="G39" s="23"/>
      <c r="H39" s="25" t="s">
        <v>83</v>
      </c>
      <c r="I39" s="23"/>
      <c r="J39" s="26"/>
      <c r="K39" s="26"/>
      <c r="L39" s="26" t="str">
        <f t="shared" si="8"/>
        <v>지구 복사 조도의 광 파워 데이터 시트</v>
      </c>
      <c r="M39" s="26" t="str">
        <f t="shared" si="9"/>
        <v>Matlab code 및 지구 복사 조도에 의한 광전류 데이터</v>
      </c>
    </row>
    <row r="40" spans="1:13" ht="38.6" x14ac:dyDescent="0.55000000000000004">
      <c r="A40" s="23" t="s">
        <v>606</v>
      </c>
      <c r="B40" s="27"/>
      <c r="C40" s="27"/>
      <c r="D40" s="27"/>
      <c r="E40" s="27"/>
      <c r="F40" s="23" t="s">
        <v>84</v>
      </c>
      <c r="G40" s="23"/>
      <c r="H40" s="25" t="s">
        <v>85</v>
      </c>
      <c r="I40" s="23"/>
      <c r="J40" s="26"/>
      <c r="K40" s="26"/>
      <c r="L40" s="26" t="str">
        <f t="shared" si="8"/>
        <v>GMAT프로그램, 선행 광전류 데이터, Matlab code</v>
      </c>
      <c r="M40" s="26" t="str">
        <f t="shared" si="9"/>
        <v>궤도 상에서의 총 광력에 의한 광전류 데이터</v>
      </c>
    </row>
    <row r="41" spans="1:13" ht="38.6" x14ac:dyDescent="0.55000000000000004">
      <c r="A41" s="23" t="s">
        <v>607</v>
      </c>
      <c r="B41" s="27"/>
      <c r="C41" s="27"/>
      <c r="D41" s="27"/>
      <c r="E41" s="27"/>
      <c r="F41" s="23" t="s">
        <v>86</v>
      </c>
      <c r="G41" s="23"/>
      <c r="H41" s="25" t="s">
        <v>696</v>
      </c>
      <c r="I41" s="23"/>
      <c r="J41" s="26"/>
      <c r="K41" s="26"/>
      <c r="L41" s="26" t="str">
        <f t="shared" si="8"/>
        <v>Pulse laser 광원, SLR 레이저에 의한 광전류 데이터</v>
      </c>
      <c r="M41" s="26" t="str">
        <f t="shared" si="9"/>
        <v>Pulse laser 광원에 따른 광전류 데이터</v>
      </c>
    </row>
    <row r="42" spans="1:13" ht="38.6" x14ac:dyDescent="0.55000000000000004">
      <c r="A42" s="23" t="s">
        <v>608</v>
      </c>
      <c r="B42" s="27"/>
      <c r="C42" s="27"/>
      <c r="D42" s="27"/>
      <c r="E42" s="28"/>
      <c r="F42" s="23" t="s">
        <v>87</v>
      </c>
      <c r="G42" s="23"/>
      <c r="H42" s="25" t="s">
        <v>88</v>
      </c>
      <c r="I42" s="23"/>
      <c r="J42" s="26"/>
      <c r="K42" s="26"/>
      <c r="L42" s="26" t="str">
        <f t="shared" si="8"/>
        <v>궤도 상에서 총 광력에 의한 광전류 데이터</v>
      </c>
      <c r="M42" s="26" t="str">
        <f t="shared" si="9"/>
        <v>사용할 Photodiode 요구조건, REQ Level 3, 4의 TBD 값</v>
      </c>
    </row>
    <row r="43" spans="1:13" ht="38.6" x14ac:dyDescent="0.55000000000000004">
      <c r="A43" s="23" t="s">
        <v>609</v>
      </c>
      <c r="B43" s="27"/>
      <c r="C43" s="27"/>
      <c r="D43" s="28"/>
      <c r="E43" s="23" t="s">
        <v>89</v>
      </c>
      <c r="F43" s="23" t="s">
        <v>90</v>
      </c>
      <c r="G43" s="23"/>
      <c r="H43" s="25" t="s">
        <v>91</v>
      </c>
      <c r="I43" s="23"/>
      <c r="J43" s="26"/>
      <c r="K43" s="26"/>
      <c r="L43" s="26" t="str">
        <f t="shared" si="8"/>
        <v>Photoidode 요구조건, 우주부품 개발 프로세스</v>
      </c>
      <c r="M43" s="26" t="str">
        <f t="shared" si="9"/>
        <v>레이저 감지 회로 제작 가능 업체 list</v>
      </c>
    </row>
    <row r="44" spans="1:13" ht="38.6" x14ac:dyDescent="0.55000000000000004">
      <c r="A44" s="23" t="s">
        <v>610</v>
      </c>
      <c r="B44" s="27"/>
      <c r="C44" s="27"/>
      <c r="D44" s="24" t="s">
        <v>92</v>
      </c>
      <c r="E44" s="24" t="s">
        <v>93</v>
      </c>
      <c r="F44" s="23" t="s">
        <v>94</v>
      </c>
      <c r="G44" s="23"/>
      <c r="H44" s="25" t="s">
        <v>95</v>
      </c>
      <c r="I44" s="23"/>
      <c r="J44" s="26"/>
      <c r="K44" s="26"/>
      <c r="L44" s="26" t="str">
        <f t="shared" si="8"/>
        <v>궤도 상에서 총 광력에 의한 광전류 데이터, 사용할 Photodiode 요구조건</v>
      </c>
      <c r="M44" s="26" t="str">
        <f t="shared" si="9"/>
        <v>레이저 감지 회로 요구조건 및 구성요소</v>
      </c>
    </row>
    <row r="45" spans="1:13" ht="38.6" x14ac:dyDescent="0.55000000000000004">
      <c r="A45" s="23" t="s">
        <v>611</v>
      </c>
      <c r="B45" s="27"/>
      <c r="C45" s="27"/>
      <c r="D45" s="27"/>
      <c r="E45" s="27"/>
      <c r="F45" s="23" t="s">
        <v>96</v>
      </c>
      <c r="G45" s="23"/>
      <c r="H45" s="25" t="s">
        <v>97</v>
      </c>
      <c r="I45" s="23"/>
      <c r="J45" s="26"/>
      <c r="K45" s="26"/>
      <c r="L45" s="26" t="str">
        <f t="shared" si="8"/>
        <v>레이저 감지 회로 요구조건 및 구성요소</v>
      </c>
      <c r="M45" s="26" t="str">
        <f t="shared" si="9"/>
        <v>PCB 회로도</v>
      </c>
    </row>
    <row r="46" spans="1:13" ht="38.6" x14ac:dyDescent="0.55000000000000004">
      <c r="A46" s="23" t="s">
        <v>612</v>
      </c>
      <c r="B46" s="27"/>
      <c r="C46" s="27"/>
      <c r="D46" s="28"/>
      <c r="E46" s="28"/>
      <c r="F46" s="23" t="s">
        <v>98</v>
      </c>
      <c r="G46" s="23"/>
      <c r="H46" s="25" t="s">
        <v>99</v>
      </c>
      <c r="I46" s="23"/>
      <c r="J46" s="26"/>
      <c r="K46" s="26"/>
      <c r="L46" s="26" t="str">
        <f t="shared" si="8"/>
        <v>PCB 회로도, 레이저 감지 회로 제작 가능 업체 list</v>
      </c>
      <c r="M46" s="26" t="str">
        <f t="shared" si="9"/>
        <v>레이저 감지 회로 EQM, FM</v>
      </c>
    </row>
    <row r="47" spans="1:13" ht="38.6" x14ac:dyDescent="0.55000000000000004">
      <c r="A47" s="23" t="s">
        <v>613</v>
      </c>
      <c r="B47" s="27"/>
      <c r="C47" s="27"/>
      <c r="D47" s="24" t="s">
        <v>100</v>
      </c>
      <c r="E47" s="24" t="s">
        <v>101</v>
      </c>
      <c r="F47" s="23" t="s">
        <v>102</v>
      </c>
      <c r="G47" s="23" t="s">
        <v>103</v>
      </c>
      <c r="H47" s="25" t="s">
        <v>104</v>
      </c>
      <c r="I47" s="23"/>
      <c r="J47" s="26"/>
      <c r="K47" s="26"/>
      <c r="L47" s="26" t="str">
        <f t="shared" si="8"/>
        <v>REQ 문서</v>
      </c>
      <c r="M47" s="26" t="str">
        <f t="shared" si="9"/>
        <v>레이저 감지 회로의 광력에 대한 출력전압 성능 시험 절차서</v>
      </c>
    </row>
    <row r="48" spans="1:13" ht="38.6" x14ac:dyDescent="0.55000000000000004">
      <c r="A48" s="23" t="s">
        <v>614</v>
      </c>
      <c r="B48" s="27"/>
      <c r="C48" s="27"/>
      <c r="D48" s="27"/>
      <c r="E48" s="27"/>
      <c r="F48" s="23"/>
      <c r="G48" s="23" t="s">
        <v>105</v>
      </c>
      <c r="H48" s="25" t="s">
        <v>106</v>
      </c>
      <c r="I48" s="23"/>
      <c r="J48" s="26"/>
      <c r="K48" s="26"/>
      <c r="L48" s="26" t="str">
        <f t="shared" si="8"/>
        <v>레이저 감지 회로의 광력에 대한 출력전압 성능 시험 절차서</v>
      </c>
      <c r="M48" s="26" t="str">
        <f t="shared" si="9"/>
        <v>시험 장비 구입 품목</v>
      </c>
    </row>
    <row r="49" spans="1:13" ht="38.6" x14ac:dyDescent="0.55000000000000004">
      <c r="A49" s="23" t="s">
        <v>615</v>
      </c>
      <c r="B49" s="27"/>
      <c r="C49" s="27"/>
      <c r="D49" s="27"/>
      <c r="E49" s="27"/>
      <c r="F49" s="23" t="s">
        <v>107</v>
      </c>
      <c r="G49" s="23"/>
      <c r="H49" s="25" t="s">
        <v>108</v>
      </c>
      <c r="I49" s="23"/>
      <c r="J49" s="26"/>
      <c r="K49" s="26"/>
      <c r="L49" s="26" t="str">
        <f t="shared" si="8"/>
        <v>레이저 감지 회로의 광력에 대한 출력전압 성능 시험 절차서, 궤도 상에서의 총 광력에 의한 광전류 데이터, 시험 장비, 레이저 감지 회로 EQM</v>
      </c>
      <c r="M49" s="26" t="str">
        <f t="shared" si="9"/>
        <v>레이저 감지 회로의 광력에 대한 출력전압 성능 시험 결과</v>
      </c>
    </row>
    <row r="50" spans="1:13" ht="38.6" x14ac:dyDescent="0.55000000000000004">
      <c r="A50" s="23" t="s">
        <v>616</v>
      </c>
      <c r="B50" s="27"/>
      <c r="C50" s="27"/>
      <c r="D50" s="27"/>
      <c r="E50" s="28"/>
      <c r="F50" s="23" t="s">
        <v>109</v>
      </c>
      <c r="G50" s="23"/>
      <c r="H50" s="25" t="s">
        <v>110</v>
      </c>
      <c r="I50" s="23"/>
      <c r="J50" s="26"/>
      <c r="K50" s="26"/>
      <c r="L50" s="26" t="str">
        <f t="shared" si="8"/>
        <v>레이저 감지 회로의 광력에 대한 출력전압 성능 시험 결과</v>
      </c>
      <c r="M50" s="26" t="str">
        <f t="shared" si="9"/>
        <v>레이저 감지 회로의 광력에 대한 출력전압 성능 시험 보고서</v>
      </c>
    </row>
    <row r="51" spans="1:13" ht="38.6" x14ac:dyDescent="0.55000000000000004">
      <c r="A51" s="23" t="s">
        <v>617</v>
      </c>
      <c r="B51" s="27"/>
      <c r="C51" s="27"/>
      <c r="D51" s="27"/>
      <c r="E51" s="23" t="s">
        <v>111</v>
      </c>
      <c r="F51" s="23" t="s">
        <v>112</v>
      </c>
      <c r="G51" s="23"/>
      <c r="H51" s="25" t="s">
        <v>113</v>
      </c>
      <c r="I51" s="23"/>
      <c r="J51" s="26"/>
      <c r="K51" s="26"/>
      <c r="L51" s="26" t="str">
        <f t="shared" si="8"/>
        <v>레이저 감지 회로 EQM, 방사선 요구조건</v>
      </c>
      <c r="M51" s="26" t="str">
        <f t="shared" si="9"/>
        <v>방사선 시험 성적서</v>
      </c>
    </row>
    <row r="52" spans="1:13" ht="38.6" x14ac:dyDescent="0.55000000000000004">
      <c r="A52" s="23" t="s">
        <v>618</v>
      </c>
      <c r="B52" s="27"/>
      <c r="C52" s="27"/>
      <c r="D52" s="27"/>
      <c r="E52" s="24" t="s">
        <v>114</v>
      </c>
      <c r="F52" s="23" t="s">
        <v>107</v>
      </c>
      <c r="G52" s="23"/>
      <c r="H52" s="25" t="s">
        <v>115</v>
      </c>
      <c r="I52" s="23"/>
      <c r="J52" s="26"/>
      <c r="K52" s="26"/>
      <c r="L52" s="26" t="str">
        <f t="shared" si="8"/>
        <v>레이저 감지 회로의 광력에 대한 출력전압 성능 시험 절차서, 광전류 데이터, 시험 장비, 방사선 시험 후 레이저 감지 회로 EQM</v>
      </c>
      <c r="M52" s="26" t="str">
        <f t="shared" si="9"/>
        <v>레이저 감지 회로의 광력에 대한 출력전압 성능 시험 결과</v>
      </c>
    </row>
    <row r="53" spans="1:13" ht="38.6" x14ac:dyDescent="0.55000000000000004">
      <c r="A53" s="23" t="s">
        <v>619</v>
      </c>
      <c r="B53" s="28"/>
      <c r="C53" s="28"/>
      <c r="D53" s="28"/>
      <c r="E53" s="28"/>
      <c r="F53" s="23" t="s">
        <v>109</v>
      </c>
      <c r="G53" s="23"/>
      <c r="H53" s="25" t="s">
        <v>116</v>
      </c>
      <c r="I53" s="23"/>
      <c r="J53" s="26"/>
      <c r="K53" s="26"/>
      <c r="L53" s="26" t="str">
        <f t="shared" si="8"/>
        <v>레이저 감지 회로의 광력에 대한 출력전압 성능 시험 결과, 방사선 시험 후 레이저 감지 회로 EQM</v>
      </c>
      <c r="M53" s="26" t="str">
        <f t="shared" si="9"/>
        <v>방사선 시험 후, 레이저 감지 회로의 광력에 대한 출력전압 성능 시험 보고서</v>
      </c>
    </row>
    <row r="54" spans="1:13" ht="38.6" x14ac:dyDescent="0.55000000000000004">
      <c r="A54" s="29" t="s">
        <v>698</v>
      </c>
      <c r="B54" s="30" t="s">
        <v>118</v>
      </c>
      <c r="C54" s="30" t="s">
        <v>119</v>
      </c>
      <c r="D54" s="30" t="s">
        <v>120</v>
      </c>
      <c r="E54" s="30" t="s">
        <v>121</v>
      </c>
      <c r="F54" s="29" t="s">
        <v>122</v>
      </c>
      <c r="G54" s="29"/>
      <c r="H54" s="31" t="s">
        <v>123</v>
      </c>
      <c r="I54" s="29"/>
      <c r="J54" s="32"/>
      <c r="K54" s="32"/>
      <c r="L54" s="32" t="str">
        <f t="shared" ref="L54:L112" si="10">MID(H54,FIND("투입재료",H54)+6,FIND("결과물",H54)-FIND("투입재료",H54)-7)</f>
        <v>CanX-7 Drag Sail 자료</v>
      </c>
      <c r="M54" s="32" t="str">
        <f t="shared" ref="M54:M97" si="11">MID(H54,FIND("결과물",H54)+5,LEN(H54)-FIND("결과물",H54))</f>
        <v>CanX-7 Deploying Mechanism 정리 문서</v>
      </c>
    </row>
    <row r="55" spans="1:13" ht="38.6" x14ac:dyDescent="0.55000000000000004">
      <c r="A55" s="29" t="s">
        <v>620</v>
      </c>
      <c r="B55" s="33"/>
      <c r="C55" s="33"/>
      <c r="D55" s="33"/>
      <c r="E55" s="34"/>
      <c r="F55" s="29" t="s">
        <v>124</v>
      </c>
      <c r="G55" s="29"/>
      <c r="H55" s="31" t="s">
        <v>125</v>
      </c>
      <c r="I55" s="29"/>
      <c r="J55" s="32"/>
      <c r="K55" s="32"/>
      <c r="L55" s="32" t="str">
        <f t="shared" ref="L55:L118" si="12">MID(H55,FIND("투입재료",H55)+6,FIND("결과물",H55)-FIND("투입재료",H55)-7)</f>
        <v>Canyval-C Drag Sail 자료</v>
      </c>
      <c r="M55" s="32" t="str">
        <f t="shared" ref="M55:M118" si="13">MID(H55,FIND("결과물",H55)+5,LEN(H55)-FIND("결과물",H55))</f>
        <v>Canyval-C Deploying Mechanism 정리 문서</v>
      </c>
    </row>
    <row r="56" spans="1:13" ht="38.6" x14ac:dyDescent="0.55000000000000004">
      <c r="A56" s="29" t="s">
        <v>621</v>
      </c>
      <c r="B56" s="33"/>
      <c r="C56" s="33"/>
      <c r="D56" s="33"/>
      <c r="E56" s="30" t="s">
        <v>126</v>
      </c>
      <c r="F56" s="30" t="s">
        <v>122</v>
      </c>
      <c r="G56" s="29" t="s">
        <v>127</v>
      </c>
      <c r="H56" s="31" t="s">
        <v>482</v>
      </c>
      <c r="I56" s="29"/>
      <c r="J56" s="32"/>
      <c r="K56" s="32"/>
      <c r="L56" s="32" t="str">
        <f t="shared" si="12"/>
        <v>CanX-7 Drag Sail 자료</v>
      </c>
      <c r="M56" s="32" t="str">
        <f t="shared" si="13"/>
        <v>HSLD PAYR Reflector Module 내 Reel 부품 3D 모델 및 Drawing, 정리 문서</v>
      </c>
    </row>
    <row r="57" spans="1:13" ht="38.6" x14ac:dyDescent="0.55000000000000004">
      <c r="A57" s="29" t="s">
        <v>622</v>
      </c>
      <c r="B57" s="33"/>
      <c r="C57" s="33"/>
      <c r="D57" s="33"/>
      <c r="E57" s="33"/>
      <c r="F57" s="33"/>
      <c r="G57" s="29" t="s">
        <v>128</v>
      </c>
      <c r="H57" s="31" t="s">
        <v>483</v>
      </c>
      <c r="I57" s="29"/>
      <c r="J57" s="32"/>
      <c r="K57" s="32"/>
      <c r="L57" s="32" t="str">
        <f t="shared" si="12"/>
        <v>CanX-7 Drag Sail 자료</v>
      </c>
      <c r="M57" s="32" t="str">
        <f t="shared" si="13"/>
        <v>HSLD PAYR Reflector Module 내 Reel axle 부품 3D 모델 및 Drawing, 정리 문서</v>
      </c>
    </row>
    <row r="58" spans="1:13" ht="38.6" x14ac:dyDescent="0.55000000000000004">
      <c r="A58" s="29" t="s">
        <v>623</v>
      </c>
      <c r="B58" s="33"/>
      <c r="C58" s="33"/>
      <c r="D58" s="33"/>
      <c r="E58" s="33"/>
      <c r="F58" s="33"/>
      <c r="G58" s="29" t="s">
        <v>129</v>
      </c>
      <c r="H58" s="31" t="s">
        <v>484</v>
      </c>
      <c r="I58" s="29"/>
      <c r="J58" s="32"/>
      <c r="K58" s="32"/>
      <c r="L58" s="32" t="str">
        <f t="shared" si="12"/>
        <v>CanX-7 Drag Sail 자료</v>
      </c>
      <c r="M58" s="32" t="str">
        <f t="shared" si="13"/>
        <v>HSLD PAYR Reflector Module 내 Roller 부품 3D 모델 및 Drawing, 정리 문서</v>
      </c>
    </row>
    <row r="59" spans="1:13" ht="38.6" x14ac:dyDescent="0.55000000000000004">
      <c r="A59" s="29" t="s">
        <v>624</v>
      </c>
      <c r="B59" s="33"/>
      <c r="C59" s="33"/>
      <c r="D59" s="33"/>
      <c r="E59" s="33"/>
      <c r="F59" s="33"/>
      <c r="G59" s="29" t="s">
        <v>130</v>
      </c>
      <c r="H59" s="31" t="s">
        <v>485</v>
      </c>
      <c r="I59" s="29"/>
      <c r="J59" s="32"/>
      <c r="K59" s="32"/>
      <c r="L59" s="32" t="str">
        <f t="shared" si="12"/>
        <v>CanX-7 Drag Sail 자료</v>
      </c>
      <c r="M59" s="32" t="str">
        <f t="shared" si="13"/>
        <v>HSLD PAYR Reflector Module 내 Roller axle 부품 3D 모델 및 Drawing, 정리 문서</v>
      </c>
    </row>
    <row r="60" spans="1:13" ht="38.6" x14ac:dyDescent="0.55000000000000004">
      <c r="A60" s="29" t="s">
        <v>625</v>
      </c>
      <c r="B60" s="33"/>
      <c r="C60" s="33"/>
      <c r="D60" s="33"/>
      <c r="E60" s="33"/>
      <c r="F60" s="33"/>
      <c r="G60" s="29" t="s">
        <v>131</v>
      </c>
      <c r="H60" s="31" t="s">
        <v>486</v>
      </c>
      <c r="I60" s="29"/>
      <c r="J60" s="32"/>
      <c r="K60" s="32"/>
      <c r="L60" s="32" t="str">
        <f t="shared" si="12"/>
        <v>CanX-7 Drag Sail 자료</v>
      </c>
      <c r="M60" s="32" t="str">
        <f t="shared" si="13"/>
        <v>HSLD PAYR Reflector Module 내 Roller Enclosure 부품 3D 모델 및 Drawing, 정리 문서</v>
      </c>
    </row>
    <row r="61" spans="1:13" ht="38.6" x14ac:dyDescent="0.55000000000000004">
      <c r="A61" s="29" t="s">
        <v>626</v>
      </c>
      <c r="B61" s="33"/>
      <c r="C61" s="33"/>
      <c r="D61" s="33"/>
      <c r="E61" s="33"/>
      <c r="F61" s="33"/>
      <c r="G61" s="29" t="s">
        <v>132</v>
      </c>
      <c r="H61" s="31" t="s">
        <v>487</v>
      </c>
      <c r="I61" s="29"/>
      <c r="J61" s="32"/>
      <c r="K61" s="32"/>
      <c r="L61" s="32" t="str">
        <f t="shared" si="12"/>
        <v>CanX-7 Drag Sail 자료</v>
      </c>
      <c r="M61" s="32" t="str">
        <f t="shared" si="13"/>
        <v>HSLD PAYR Reflector Module 내 Housing 부품 3D 모델 및 Drawing, 정리 문서</v>
      </c>
    </row>
    <row r="62" spans="1:13" ht="38.6" x14ac:dyDescent="0.55000000000000004">
      <c r="A62" s="29" t="s">
        <v>627</v>
      </c>
      <c r="B62" s="33"/>
      <c r="C62" s="33"/>
      <c r="D62" s="33"/>
      <c r="E62" s="33"/>
      <c r="F62" s="33"/>
      <c r="G62" s="29" t="s">
        <v>133</v>
      </c>
      <c r="H62" s="31" t="s">
        <v>488</v>
      </c>
      <c r="I62" s="29"/>
      <c r="J62" s="32"/>
      <c r="K62" s="32"/>
      <c r="L62" s="32" t="str">
        <f t="shared" si="12"/>
        <v>CanX-7 Drag Sail 자료</v>
      </c>
      <c r="M62" s="32" t="str">
        <f t="shared" si="13"/>
        <v>HSLD PAYR Sail Module 내 Sail Module 부품 3D 모델 및 Drawing, 정리 문서</v>
      </c>
    </row>
    <row r="63" spans="1:13" ht="38.6" x14ac:dyDescent="0.55000000000000004">
      <c r="A63" s="29" t="s">
        <v>628</v>
      </c>
      <c r="B63" s="33"/>
      <c r="C63" s="33"/>
      <c r="D63" s="33"/>
      <c r="E63" s="33"/>
      <c r="F63" s="33"/>
      <c r="G63" s="29" t="s">
        <v>134</v>
      </c>
      <c r="H63" s="31" t="s">
        <v>489</v>
      </c>
      <c r="I63" s="29"/>
      <c r="J63" s="32"/>
      <c r="K63" s="32"/>
      <c r="L63" s="32" t="str">
        <f t="shared" si="12"/>
        <v>CanX-7 Drag Sail 자료</v>
      </c>
      <c r="M63" s="32" t="str">
        <f t="shared" si="13"/>
        <v>HSLD PAYR Sail Module 내 Sail Catridge Door 부품 3D 모델 및 Drawing, 정리 문서</v>
      </c>
    </row>
    <row r="64" spans="1:13" ht="38.6" x14ac:dyDescent="0.55000000000000004">
      <c r="A64" s="29" t="s">
        <v>629</v>
      </c>
      <c r="B64" s="33"/>
      <c r="C64" s="33"/>
      <c r="D64" s="33"/>
      <c r="E64" s="33"/>
      <c r="F64" s="33"/>
      <c r="G64" s="29" t="s">
        <v>135</v>
      </c>
      <c r="H64" s="31" t="s">
        <v>490</v>
      </c>
      <c r="I64" s="29"/>
      <c r="J64" s="32"/>
      <c r="K64" s="32"/>
      <c r="L64" s="32" t="str">
        <f t="shared" si="12"/>
        <v>CanX-7 Drag Sail 자료, Damper 관련 자료</v>
      </c>
      <c r="M64" s="32" t="str">
        <f t="shared" si="13"/>
        <v>HSLD PAYR Reflector Module 내 Damper 부품 3D 모델 및 Drawing, 정리 문서</v>
      </c>
    </row>
    <row r="65" spans="1:13" ht="38.6" x14ac:dyDescent="0.55000000000000004">
      <c r="A65" s="29" t="s">
        <v>630</v>
      </c>
      <c r="B65" s="33"/>
      <c r="C65" s="33"/>
      <c r="D65" s="33"/>
      <c r="E65" s="33"/>
      <c r="F65" s="34"/>
      <c r="G65" s="29" t="s">
        <v>136</v>
      </c>
      <c r="H65" s="31" t="s">
        <v>491</v>
      </c>
      <c r="I65" s="29"/>
      <c r="J65" s="32"/>
      <c r="K65" s="32"/>
      <c r="L65" s="32" t="str">
        <f t="shared" si="12"/>
        <v>CanX-7 Drag Sail 자료</v>
      </c>
      <c r="M65" s="32" t="str">
        <f t="shared" si="13"/>
        <v>사용할 Tape Spring의 물성치 문서</v>
      </c>
    </row>
    <row r="66" spans="1:13" ht="38.6" x14ac:dyDescent="0.55000000000000004">
      <c r="A66" s="29" t="s">
        <v>631</v>
      </c>
      <c r="B66" s="33"/>
      <c r="C66" s="33"/>
      <c r="D66" s="33"/>
      <c r="E66" s="33"/>
      <c r="F66" s="30" t="s">
        <v>124</v>
      </c>
      <c r="G66" s="29" t="s">
        <v>137</v>
      </c>
      <c r="H66" s="31" t="s">
        <v>492</v>
      </c>
      <c r="I66" s="29"/>
      <c r="J66" s="32"/>
      <c r="K66" s="32"/>
      <c r="L66" s="32" t="str">
        <f t="shared" si="12"/>
        <v>Canyval-C 3D 모델 및 Guide Roller 위치</v>
      </c>
      <c r="M66" s="32" t="str">
        <f t="shared" si="13"/>
        <v>Guide Roller 위치 파악 및 위 사항이 반영된 3D model 파일</v>
      </c>
    </row>
    <row r="67" spans="1:13" ht="38.6" x14ac:dyDescent="0.55000000000000004">
      <c r="A67" s="29" t="s">
        <v>632</v>
      </c>
      <c r="B67" s="33"/>
      <c r="C67" s="33"/>
      <c r="D67" s="33"/>
      <c r="E67" s="34"/>
      <c r="F67" s="34"/>
      <c r="G67" s="29" t="s">
        <v>138</v>
      </c>
      <c r="H67" s="31" t="s">
        <v>493</v>
      </c>
      <c r="I67" s="29"/>
      <c r="J67" s="32"/>
      <c r="K67" s="32"/>
      <c r="L67" s="32" t="str">
        <f t="shared" si="12"/>
        <v>Canyval-C Coiled Spring 데이터 시트</v>
      </c>
      <c r="M67" s="32" t="str">
        <f t="shared" si="13"/>
        <v>선정할 Coiled Spring의 요구조건 표</v>
      </c>
    </row>
    <row r="68" spans="1:13" ht="38.6" x14ac:dyDescent="0.55000000000000004">
      <c r="A68" s="29" t="s">
        <v>633</v>
      </c>
      <c r="B68" s="33"/>
      <c r="C68" s="33"/>
      <c r="D68" s="34"/>
      <c r="E68" s="29" t="s">
        <v>139</v>
      </c>
      <c r="F68" s="29" t="s">
        <v>140</v>
      </c>
      <c r="G68" s="29"/>
      <c r="H68" s="31" t="s">
        <v>494</v>
      </c>
      <c r="I68" s="29"/>
      <c r="J68" s="32"/>
      <c r="K68" s="32"/>
      <c r="L68" s="32" t="str">
        <f t="shared" si="12"/>
        <v>Prototype 3D model, 3D printer, Tape Spring</v>
      </c>
      <c r="M68" s="32" t="str">
        <f t="shared" si="13"/>
        <v>개선 필요 항목 문서, 전개 시험 성적서</v>
      </c>
    </row>
    <row r="69" spans="1:13" ht="38.6" x14ac:dyDescent="0.55000000000000004">
      <c r="A69" s="29" t="s">
        <v>634</v>
      </c>
      <c r="B69" s="33"/>
      <c r="C69" s="33"/>
      <c r="D69" s="30" t="s">
        <v>49</v>
      </c>
      <c r="E69" s="29" t="s">
        <v>50</v>
      </c>
      <c r="F69" s="29"/>
      <c r="G69" s="29"/>
      <c r="H69" s="31" t="s">
        <v>51</v>
      </c>
      <c r="I69" s="29"/>
      <c r="J69" s="32"/>
      <c r="K69" s="32"/>
      <c r="L69" s="32" t="str">
        <f t="shared" si="12"/>
        <v>REQ 표</v>
      </c>
      <c r="M69" s="32" t="str">
        <f t="shared" si="13"/>
        <v>level 3 REQ 표</v>
      </c>
    </row>
    <row r="70" spans="1:13" ht="38.6" x14ac:dyDescent="0.55000000000000004">
      <c r="A70" s="29" t="s">
        <v>635</v>
      </c>
      <c r="B70" s="33"/>
      <c r="C70" s="33"/>
      <c r="D70" s="33"/>
      <c r="E70" s="29" t="s">
        <v>52</v>
      </c>
      <c r="F70" s="29"/>
      <c r="G70" s="29"/>
      <c r="H70" s="31" t="s">
        <v>53</v>
      </c>
      <c r="I70" s="29"/>
      <c r="J70" s="32"/>
      <c r="K70" s="32"/>
      <c r="L70" s="32" t="str">
        <f t="shared" si="12"/>
        <v>level 3 요구조건</v>
      </c>
      <c r="M70" s="32" t="str">
        <f t="shared" si="13"/>
        <v>level 4 REQ 표</v>
      </c>
    </row>
    <row r="71" spans="1:13" ht="38.6" x14ac:dyDescent="0.55000000000000004">
      <c r="A71" s="29" t="s">
        <v>636</v>
      </c>
      <c r="B71" s="33"/>
      <c r="C71" s="33"/>
      <c r="D71" s="34"/>
      <c r="E71" s="29" t="s">
        <v>54</v>
      </c>
      <c r="F71" s="29"/>
      <c r="G71" s="29"/>
      <c r="H71" s="31" t="s">
        <v>117</v>
      </c>
      <c r="I71" s="29"/>
      <c r="J71" s="32"/>
      <c r="K71" s="32"/>
      <c r="L71" s="32" t="str">
        <f t="shared" si="12"/>
        <v xml:space="preserve">level 3~4 요구조건 </v>
      </c>
      <c r="M71" s="32" t="str">
        <f t="shared" si="13"/>
        <v>level 5 REQ 표</v>
      </c>
    </row>
    <row r="72" spans="1:13" ht="38.6" x14ac:dyDescent="0.55000000000000004">
      <c r="A72" s="29" t="s">
        <v>637</v>
      </c>
      <c r="B72" s="33"/>
      <c r="C72" s="33"/>
      <c r="D72" s="30" t="s">
        <v>56</v>
      </c>
      <c r="E72" s="29" t="s">
        <v>57</v>
      </c>
      <c r="F72" s="29"/>
      <c r="G72" s="29"/>
      <c r="H72" s="31" t="s">
        <v>58</v>
      </c>
      <c r="I72" s="29"/>
      <c r="J72" s="32"/>
      <c r="K72" s="32"/>
      <c r="L72" s="32" t="str">
        <f t="shared" si="12"/>
        <v>level 3 요구조건</v>
      </c>
      <c r="M72" s="32" t="str">
        <f t="shared" si="13"/>
        <v>level 3 REQ 표</v>
      </c>
    </row>
    <row r="73" spans="1:13" ht="38.6" x14ac:dyDescent="0.55000000000000004">
      <c r="A73" s="29" t="s">
        <v>638</v>
      </c>
      <c r="B73" s="33"/>
      <c r="C73" s="33"/>
      <c r="D73" s="33"/>
      <c r="E73" s="29" t="s">
        <v>59</v>
      </c>
      <c r="F73" s="29"/>
      <c r="G73" s="29"/>
      <c r="H73" s="31" t="s">
        <v>60</v>
      </c>
      <c r="I73" s="29"/>
      <c r="J73" s="32"/>
      <c r="K73" s="32"/>
      <c r="L73" s="32" t="str">
        <f t="shared" si="12"/>
        <v>level 4 요구조건</v>
      </c>
      <c r="M73" s="32" t="str">
        <f t="shared" si="13"/>
        <v>level 4 REQ 표</v>
      </c>
    </row>
    <row r="74" spans="1:13" ht="38.6" x14ac:dyDescent="0.55000000000000004">
      <c r="A74" s="29" t="s">
        <v>639</v>
      </c>
      <c r="B74" s="33"/>
      <c r="C74" s="33"/>
      <c r="D74" s="34"/>
      <c r="E74" s="29" t="s">
        <v>61</v>
      </c>
      <c r="F74" s="29"/>
      <c r="G74" s="29"/>
      <c r="H74" s="31" t="s">
        <v>62</v>
      </c>
      <c r="I74" s="29"/>
      <c r="J74" s="32"/>
      <c r="K74" s="32"/>
      <c r="L74" s="32" t="str">
        <f t="shared" si="12"/>
        <v>level 5 요구조건</v>
      </c>
      <c r="M74" s="32" t="str">
        <f t="shared" si="13"/>
        <v>level 5 REQ 표</v>
      </c>
    </row>
    <row r="75" spans="1:13" ht="38.6" x14ac:dyDescent="0.55000000000000004">
      <c r="A75" s="29" t="s">
        <v>640</v>
      </c>
      <c r="B75" s="33"/>
      <c r="C75" s="33"/>
      <c r="D75" s="30" t="s">
        <v>141</v>
      </c>
      <c r="E75" s="30" t="s">
        <v>142</v>
      </c>
      <c r="F75" s="31" t="s">
        <v>143</v>
      </c>
      <c r="G75" s="31"/>
      <c r="H75" s="35" t="s">
        <v>495</v>
      </c>
      <c r="I75" s="29"/>
      <c r="J75" s="32"/>
      <c r="K75" s="32"/>
      <c r="L75" s="32" t="str">
        <f t="shared" si="12"/>
        <v>PAYR 3d Model, Cubesat Structure, 전선 통과를 위한 빈 공간 배치</v>
      </c>
      <c r="M75" s="32" t="str">
        <f t="shared" si="13"/>
        <v xml:space="preserve">PAYR 모듈과 Cubesat 구조 연결 방식 문서, 결합된 3D model </v>
      </c>
    </row>
    <row r="76" spans="1:13" ht="38.6" x14ac:dyDescent="0.55000000000000004">
      <c r="A76" s="29" t="s">
        <v>641</v>
      </c>
      <c r="B76" s="33"/>
      <c r="C76" s="33"/>
      <c r="D76" s="33"/>
      <c r="E76" s="33"/>
      <c r="F76" s="36" t="s">
        <v>452</v>
      </c>
      <c r="G76" s="31" t="s">
        <v>144</v>
      </c>
      <c r="H76" s="31" t="s">
        <v>496</v>
      </c>
      <c r="I76" s="29"/>
      <c r="J76" s="32"/>
      <c r="K76" s="32"/>
      <c r="L76" s="32" t="str">
        <f t="shared" si="12"/>
        <v xml:space="preserve">Roller 형상, Tape Spring 물성치, Roller Enclosure 형상 </v>
      </c>
      <c r="M76" s="32" t="str">
        <f t="shared" si="13"/>
        <v>Roller와 Roller Enclosure간의 체결 방식 및 문서, 결합된 3D model</v>
      </c>
    </row>
    <row r="77" spans="1:13" ht="38.6" x14ac:dyDescent="0.55000000000000004">
      <c r="A77" s="29" t="s">
        <v>642</v>
      </c>
      <c r="B77" s="33"/>
      <c r="C77" s="33"/>
      <c r="D77" s="33"/>
      <c r="E77" s="33"/>
      <c r="F77" s="37"/>
      <c r="G77" s="31" t="s">
        <v>145</v>
      </c>
      <c r="H77" s="31" t="s">
        <v>497</v>
      </c>
      <c r="I77" s="29"/>
      <c r="J77" s="32"/>
      <c r="K77" s="32"/>
      <c r="L77" s="32" t="str">
        <f t="shared" si="12"/>
        <v>결합된 Roller Enclosure 3D model, Housing 3D model</v>
      </c>
      <c r="M77" s="32" t="str">
        <f t="shared" si="13"/>
        <v>Roller Enclosure와 Housing간의 체결 방식 및 문서, 결합된 3D model</v>
      </c>
    </row>
    <row r="78" spans="1:13" ht="38.6" x14ac:dyDescent="0.55000000000000004">
      <c r="A78" s="29" t="s">
        <v>643</v>
      </c>
      <c r="B78" s="33"/>
      <c r="C78" s="33"/>
      <c r="D78" s="33"/>
      <c r="E78" s="33"/>
      <c r="F78" s="37"/>
      <c r="G78" s="31" t="s">
        <v>146</v>
      </c>
      <c r="H78" s="31" t="s">
        <v>498</v>
      </c>
      <c r="I78" s="29"/>
      <c r="J78" s="32"/>
      <c r="K78" s="32"/>
      <c r="L78" s="32" t="str">
        <f t="shared" si="12"/>
        <v>Reel과 Tape Spring이 결합된 3d model, Damper 3D model</v>
      </c>
      <c r="M78" s="32" t="str">
        <f t="shared" si="13"/>
        <v>Reel과 Damper간의 체결 방식 및 문서, 결합된 3D model</v>
      </c>
    </row>
    <row r="79" spans="1:13" ht="38.6" x14ac:dyDescent="0.55000000000000004">
      <c r="A79" s="29" t="s">
        <v>644</v>
      </c>
      <c r="B79" s="33"/>
      <c r="C79" s="33"/>
      <c r="D79" s="33"/>
      <c r="E79" s="33"/>
      <c r="F79" s="37"/>
      <c r="G79" s="31" t="s">
        <v>147</v>
      </c>
      <c r="H79" s="31" t="s">
        <v>499</v>
      </c>
      <c r="I79" s="29"/>
      <c r="J79" s="32"/>
      <c r="K79" s="32"/>
      <c r="L79" s="32" t="str">
        <f t="shared" si="12"/>
        <v>Reel과 Reel axle, Damper가 연결된 3D model, Housing 3D model</v>
      </c>
      <c r="M79" s="32" t="str">
        <f t="shared" si="13"/>
        <v>결합된 Reel 3D model, Housing간의 체결 방식 및 문서, 체결된 3D model</v>
      </c>
    </row>
    <row r="80" spans="1:13" ht="38.6" x14ac:dyDescent="0.55000000000000004">
      <c r="A80" s="29" t="s">
        <v>645</v>
      </c>
      <c r="B80" s="33"/>
      <c r="C80" s="33"/>
      <c r="D80" s="33"/>
      <c r="E80" s="33"/>
      <c r="F80" s="38"/>
      <c r="G80" s="31" t="s">
        <v>148</v>
      </c>
      <c r="H80" s="31" t="s">
        <v>500</v>
      </c>
      <c r="I80" s="29"/>
      <c r="J80" s="32"/>
      <c r="K80" s="32"/>
      <c r="L80" s="32" t="str">
        <f t="shared" si="12"/>
        <v>Reel 3D model, Tape Spring Model, 둘 간 체결할 Screw</v>
      </c>
      <c r="M80" s="32" t="str">
        <f t="shared" si="13"/>
        <v>Reel과 Tape Spring간의 체결 방식 및 문서, 3D simulation, 체결된 3D model</v>
      </c>
    </row>
    <row r="81" spans="1:13" ht="51.45" x14ac:dyDescent="0.55000000000000004">
      <c r="A81" s="29" t="s">
        <v>646</v>
      </c>
      <c r="B81" s="33"/>
      <c r="C81" s="33"/>
      <c r="D81" s="33"/>
      <c r="E81" s="33"/>
      <c r="F81" s="31" t="s">
        <v>149</v>
      </c>
      <c r="G81" s="31" t="s">
        <v>150</v>
      </c>
      <c r="H81" s="31" t="s">
        <v>501</v>
      </c>
      <c r="I81" s="29"/>
      <c r="J81" s="32"/>
      <c r="K81" s="32"/>
      <c r="L81" s="32" t="str">
        <f t="shared" si="12"/>
        <v>Sail Cartridge 형상, Sail 물성치, Sail 접기 방법, Tape Spring과 Sail간의 연결 방식</v>
      </c>
      <c r="M81" s="32" t="str">
        <f t="shared" si="13"/>
        <v>Sail과 Sail Catridge간의 연결 방식 문서 
참고 : Tape Spring과 Sail간 연결 시 연결용 실의 위치</v>
      </c>
    </row>
    <row r="82" spans="1:13" ht="38.6" x14ac:dyDescent="0.55000000000000004">
      <c r="A82" s="29" t="s">
        <v>647</v>
      </c>
      <c r="B82" s="33"/>
      <c r="C82" s="33"/>
      <c r="D82" s="33"/>
      <c r="E82" s="33"/>
      <c r="F82" s="31" t="s">
        <v>151</v>
      </c>
      <c r="G82" s="31"/>
      <c r="H82" s="31" t="s">
        <v>502</v>
      </c>
      <c r="I82" s="29"/>
      <c r="J82" s="32"/>
      <c r="K82" s="32"/>
      <c r="L82" s="32" t="str">
        <f t="shared" si="12"/>
        <v>각 3D module, Screw 체결 환경 및 방식</v>
      </c>
      <c r="M82" s="32" t="str">
        <f t="shared" si="13"/>
        <v>3D simulation 결과, Reflector Module과 Sail Cartridge간 연결 방식 문서, 체결된 3D module</v>
      </c>
    </row>
    <row r="83" spans="1:13" ht="38.6" x14ac:dyDescent="0.55000000000000004">
      <c r="A83" s="29" t="s">
        <v>648</v>
      </c>
      <c r="B83" s="33"/>
      <c r="C83" s="33"/>
      <c r="D83" s="33"/>
      <c r="E83" s="34"/>
      <c r="F83" s="29" t="s">
        <v>152</v>
      </c>
      <c r="G83" s="29" t="s">
        <v>153</v>
      </c>
      <c r="H83" s="31" t="s">
        <v>503</v>
      </c>
      <c r="I83" s="29"/>
      <c r="J83" s="32"/>
      <c r="K83" s="32"/>
      <c r="L83" s="32" t="str">
        <f t="shared" si="12"/>
        <v xml:space="preserve"> Drag sail 관련 자료</v>
      </c>
      <c r="M83" s="32" t="str">
        <f t="shared" si="13"/>
        <v>Drag Sail과 Tape Spring간의 연결 방식 문서</v>
      </c>
    </row>
    <row r="84" spans="1:13" ht="38.6" x14ac:dyDescent="0.55000000000000004">
      <c r="A84" s="29" t="s">
        <v>649</v>
      </c>
      <c r="B84" s="33"/>
      <c r="C84" s="33"/>
      <c r="D84" s="33"/>
      <c r="E84" s="30" t="s">
        <v>154</v>
      </c>
      <c r="F84" s="29" t="s">
        <v>155</v>
      </c>
      <c r="G84" s="29"/>
      <c r="H84" s="31" t="s">
        <v>504</v>
      </c>
      <c r="I84" s="29"/>
      <c r="J84" s="32"/>
      <c r="K84" s="32"/>
      <c r="L84" s="32" t="str">
        <f t="shared" si="12"/>
        <v>전력 사용 부품 데이터 시트</v>
      </c>
      <c r="M84" s="32" t="str">
        <f t="shared" si="13"/>
        <v>Electrical Interface, PCB</v>
      </c>
    </row>
    <row r="85" spans="1:13" ht="38.6" x14ac:dyDescent="0.55000000000000004">
      <c r="A85" s="29" t="s">
        <v>650</v>
      </c>
      <c r="B85" s="33"/>
      <c r="C85" s="33"/>
      <c r="D85" s="34"/>
      <c r="E85" s="34"/>
      <c r="F85" s="29" t="s">
        <v>156</v>
      </c>
      <c r="G85" s="29"/>
      <c r="H85" s="31" t="s">
        <v>505</v>
      </c>
      <c r="I85" s="29"/>
      <c r="J85" s="32"/>
      <c r="K85" s="32"/>
      <c r="L85" s="32" t="str">
        <f t="shared" si="12"/>
        <v>부품 중 Telemetry 관련 데이터 시트</v>
      </c>
      <c r="M85" s="32" t="str">
        <f t="shared" si="13"/>
        <v>Electrical Interface, PCB</v>
      </c>
    </row>
    <row r="86" spans="1:13" ht="38.6" x14ac:dyDescent="0.55000000000000004">
      <c r="A86" s="29" t="s">
        <v>651</v>
      </c>
      <c r="B86" s="33"/>
      <c r="C86" s="33"/>
      <c r="D86" s="30" t="s">
        <v>157</v>
      </c>
      <c r="E86" s="30" t="s">
        <v>158</v>
      </c>
      <c r="F86" s="29" t="s">
        <v>159</v>
      </c>
      <c r="G86" s="29"/>
      <c r="H86" s="31" t="s">
        <v>506</v>
      </c>
      <c r="I86" s="29"/>
      <c r="J86" s="32"/>
      <c r="K86" s="32"/>
      <c r="L86" s="32" t="str">
        <f t="shared" si="12"/>
        <v>구성 요소별 Mass</v>
      </c>
      <c r="M86" s="32" t="str">
        <f t="shared" si="13"/>
        <v>Mass Budget 문서</v>
      </c>
    </row>
    <row r="87" spans="1:13" ht="38.6" x14ac:dyDescent="0.55000000000000004">
      <c r="A87" s="29" t="s">
        <v>699</v>
      </c>
      <c r="B87" s="33"/>
      <c r="C87" s="33"/>
      <c r="D87" s="33"/>
      <c r="E87" s="33"/>
      <c r="F87" s="29" t="s">
        <v>133</v>
      </c>
      <c r="G87" s="29"/>
      <c r="H87" s="31" t="s">
        <v>507</v>
      </c>
      <c r="I87" s="29"/>
      <c r="J87" s="32"/>
      <c r="K87" s="32"/>
      <c r="L87" s="32" t="str">
        <f t="shared" si="12"/>
        <v>구성 요소별 Mass</v>
      </c>
      <c r="M87" s="32" t="str">
        <f t="shared" si="13"/>
        <v>Mass Budget 문서</v>
      </c>
    </row>
    <row r="88" spans="1:13" ht="38.6" x14ac:dyDescent="0.55000000000000004">
      <c r="A88" s="29" t="s">
        <v>700</v>
      </c>
      <c r="B88" s="33"/>
      <c r="C88" s="33"/>
      <c r="D88" s="33"/>
      <c r="E88" s="33"/>
      <c r="F88" s="29" t="s">
        <v>160</v>
      </c>
      <c r="G88" s="29"/>
      <c r="H88" s="31" t="s">
        <v>508</v>
      </c>
      <c r="I88" s="29"/>
      <c r="J88" s="32"/>
      <c r="K88" s="32"/>
      <c r="L88" s="32" t="str">
        <f t="shared" si="12"/>
        <v>Sail의 물성치, Sail의 밀도, Sail의 단면적</v>
      </c>
      <c r="M88" s="32" t="str">
        <f t="shared" si="13"/>
        <v>Mass Budget 문서</v>
      </c>
    </row>
    <row r="89" spans="1:13" ht="38.6" x14ac:dyDescent="0.55000000000000004">
      <c r="A89" s="29" t="s">
        <v>701</v>
      </c>
      <c r="B89" s="33"/>
      <c r="C89" s="33"/>
      <c r="D89" s="33"/>
      <c r="E89" s="34"/>
      <c r="F89" s="29" t="s">
        <v>161</v>
      </c>
      <c r="G89" s="29"/>
      <c r="H89" s="31" t="s">
        <v>509</v>
      </c>
      <c r="I89" s="29"/>
      <c r="J89" s="32"/>
      <c r="K89" s="32"/>
      <c r="L89" s="32" t="str">
        <f t="shared" si="12"/>
        <v>Reflector Module Mass Budget Sheer, Sail Cartridge Mass Budget Sheet, Sail Mass Budget Sheet</v>
      </c>
      <c r="M89" s="32" t="str">
        <f t="shared" si="13"/>
        <v>Mass Budget 문서</v>
      </c>
    </row>
    <row r="90" spans="1:13" ht="38.6" x14ac:dyDescent="0.55000000000000004">
      <c r="A90" s="29" t="s">
        <v>702</v>
      </c>
      <c r="B90" s="33"/>
      <c r="C90" s="33"/>
      <c r="D90" s="34"/>
      <c r="E90" s="29" t="s">
        <v>162</v>
      </c>
      <c r="F90" s="29"/>
      <c r="G90" s="29"/>
      <c r="H90" s="35" t="s">
        <v>510</v>
      </c>
      <c r="I90" s="29"/>
      <c r="J90" s="32"/>
      <c r="K90" s="32"/>
      <c r="L90" s="32" t="str">
        <f t="shared" si="12"/>
        <v>전력 사용 부품의 Datasheet</v>
      </c>
      <c r="M90" s="32" t="str">
        <f t="shared" si="13"/>
        <v>PAYR Power Budget Sheet</v>
      </c>
    </row>
    <row r="91" spans="1:13" ht="38.6" x14ac:dyDescent="0.55000000000000004">
      <c r="A91" s="29" t="s">
        <v>703</v>
      </c>
      <c r="B91" s="33"/>
      <c r="C91" s="33"/>
      <c r="D91" s="30" t="s">
        <v>74</v>
      </c>
      <c r="E91" s="30" t="s">
        <v>63</v>
      </c>
      <c r="F91" s="29" t="s">
        <v>136</v>
      </c>
      <c r="G91" s="35" t="s">
        <v>453</v>
      </c>
      <c r="H91" s="35" t="s">
        <v>511</v>
      </c>
      <c r="I91" s="29"/>
      <c r="J91" s="32"/>
      <c r="K91" s="32"/>
      <c r="L91" s="32" t="str">
        <f t="shared" si="12"/>
        <v xml:space="preserve">COTS 제품 목록, 제품 Datasheet </v>
      </c>
      <c r="M91" s="32" t="str">
        <f t="shared" si="13"/>
        <v xml:space="preserve">선정된 상용부품 Spec, 선정절차 </v>
      </c>
    </row>
    <row r="92" spans="1:13" ht="38.6" x14ac:dyDescent="0.55000000000000004">
      <c r="A92" s="29" t="s">
        <v>704</v>
      </c>
      <c r="B92" s="33"/>
      <c r="C92" s="33"/>
      <c r="D92" s="33"/>
      <c r="E92" s="33"/>
      <c r="F92" s="29" t="s">
        <v>163</v>
      </c>
      <c r="G92" s="35" t="s">
        <v>453</v>
      </c>
      <c r="H92" s="35" t="s">
        <v>512</v>
      </c>
      <c r="I92" s="29"/>
      <c r="J92" s="32"/>
      <c r="K92" s="32"/>
      <c r="L92" s="32" t="str">
        <f t="shared" si="12"/>
        <v xml:space="preserve">COTS 제품 목록, 제품 Datasheet </v>
      </c>
      <c r="M92" s="32" t="str">
        <f t="shared" si="13"/>
        <v xml:space="preserve">선정된 상용부품 Spec, 선정절차 </v>
      </c>
    </row>
    <row r="93" spans="1:13" ht="38.6" x14ac:dyDescent="0.55000000000000004">
      <c r="A93" s="29" t="s">
        <v>705</v>
      </c>
      <c r="B93" s="33"/>
      <c r="C93" s="33"/>
      <c r="D93" s="33"/>
      <c r="E93" s="33"/>
      <c r="F93" s="39" t="s">
        <v>164</v>
      </c>
      <c r="G93" s="35" t="s">
        <v>453</v>
      </c>
      <c r="H93" s="35" t="s">
        <v>513</v>
      </c>
      <c r="I93" s="29"/>
      <c r="J93" s="32"/>
      <c r="K93" s="32"/>
      <c r="L93" s="32" t="str">
        <f t="shared" si="12"/>
        <v xml:space="preserve">COTS 제품 목록, 제품 Datasheet </v>
      </c>
      <c r="M93" s="32" t="str">
        <f t="shared" si="13"/>
        <v xml:space="preserve">선정된 상용부품 Spec, 선정절차 </v>
      </c>
    </row>
    <row r="94" spans="1:13" ht="51.45" x14ac:dyDescent="0.55000000000000004">
      <c r="A94" s="29" t="s">
        <v>706</v>
      </c>
      <c r="B94" s="33"/>
      <c r="C94" s="33"/>
      <c r="D94" s="33"/>
      <c r="E94" s="33"/>
      <c r="F94" s="30" t="s">
        <v>159</v>
      </c>
      <c r="G94" s="35" t="s">
        <v>453</v>
      </c>
      <c r="H94" s="35" t="s">
        <v>514</v>
      </c>
      <c r="I94" s="29"/>
      <c r="J94" s="32"/>
      <c r="K94" s="32"/>
      <c r="L94" s="32" t="str">
        <f t="shared" si="12"/>
        <v>Component 목록, Heritage 여부, Component Datasheet</v>
      </c>
      <c r="M94" s="32" t="str">
        <f t="shared" si="13"/>
        <v xml:space="preserve">선정된 재료 Spec, 선정절차 문서 </v>
      </c>
    </row>
    <row r="95" spans="1:13" ht="38.6" x14ac:dyDescent="0.55000000000000004">
      <c r="A95" s="29" t="s">
        <v>707</v>
      </c>
      <c r="B95" s="33"/>
      <c r="C95" s="33"/>
      <c r="D95" s="33"/>
      <c r="E95" s="33"/>
      <c r="F95" s="34"/>
      <c r="G95" s="29" t="s">
        <v>165</v>
      </c>
      <c r="H95" s="31" t="s">
        <v>515</v>
      </c>
      <c r="I95" s="29"/>
      <c r="J95" s="32"/>
      <c r="K95" s="32"/>
      <c r="L95" s="32" t="str">
        <f t="shared" si="12"/>
        <v>선정 재료 Datasheet, 가공법, 가공회사 List</v>
      </c>
      <c r="M95" s="32" t="str">
        <f t="shared" si="13"/>
        <v>선정된 가공법, 가공회사와의 컨택</v>
      </c>
    </row>
    <row r="96" spans="1:13" ht="51.45" x14ac:dyDescent="0.55000000000000004">
      <c r="A96" s="29" t="s">
        <v>708</v>
      </c>
      <c r="B96" s="33"/>
      <c r="C96" s="33"/>
      <c r="D96" s="33"/>
      <c r="E96" s="33"/>
      <c r="F96" s="30" t="s">
        <v>133</v>
      </c>
      <c r="G96" s="35" t="s">
        <v>453</v>
      </c>
      <c r="H96" s="35" t="s">
        <v>516</v>
      </c>
      <c r="I96" s="29"/>
      <c r="J96" s="32"/>
      <c r="K96" s="32"/>
      <c r="L96" s="32" t="str">
        <f t="shared" si="12"/>
        <v>Component 목록, Heritage 여부, Component Datasheet</v>
      </c>
      <c r="M96" s="32" t="str">
        <f t="shared" si="13"/>
        <v xml:space="preserve">선정된 재료 Spec, 선정절차 문서 </v>
      </c>
    </row>
    <row r="97" spans="1:13" ht="38.6" x14ac:dyDescent="0.55000000000000004">
      <c r="A97" s="29" t="s">
        <v>709</v>
      </c>
      <c r="B97" s="33"/>
      <c r="C97" s="33"/>
      <c r="D97" s="33"/>
      <c r="E97" s="33"/>
      <c r="F97" s="34"/>
      <c r="G97" s="29" t="s">
        <v>165</v>
      </c>
      <c r="H97" s="31" t="s">
        <v>515</v>
      </c>
      <c r="I97" s="29"/>
      <c r="J97" s="32"/>
      <c r="K97" s="32"/>
      <c r="L97" s="32" t="str">
        <f t="shared" si="12"/>
        <v>선정 재료 Datasheet, 가공법, 가공회사 List</v>
      </c>
      <c r="M97" s="32" t="str">
        <f t="shared" si="13"/>
        <v>선정된 가공법, 가공회사와의 컨택</v>
      </c>
    </row>
    <row r="98" spans="1:13" ht="38.6" x14ac:dyDescent="0.55000000000000004">
      <c r="A98" s="29" t="s">
        <v>710</v>
      </c>
      <c r="B98" s="33"/>
      <c r="C98" s="33"/>
      <c r="D98" s="33"/>
      <c r="E98" s="33"/>
      <c r="F98" s="30" t="s">
        <v>166</v>
      </c>
      <c r="G98" s="35" t="s">
        <v>453</v>
      </c>
      <c r="H98" s="35" t="s">
        <v>517</v>
      </c>
      <c r="I98" s="29"/>
      <c r="J98" s="32"/>
      <c r="K98" s="32"/>
      <c r="L98" s="32" t="str">
        <f t="shared" si="12"/>
        <v>Component 목록, Heritage 여부, Component Datasheet</v>
      </c>
      <c r="M98" s="32" t="str">
        <f t="shared" si="13"/>
        <v xml:space="preserve">선정된 재료 Spec, 선정절차 문서 </v>
      </c>
    </row>
    <row r="99" spans="1:13" ht="38.6" x14ac:dyDescent="0.55000000000000004">
      <c r="A99" s="29" t="s">
        <v>711</v>
      </c>
      <c r="B99" s="33"/>
      <c r="C99" s="33"/>
      <c r="D99" s="33"/>
      <c r="E99" s="33"/>
      <c r="F99" s="34"/>
      <c r="G99" s="29" t="s">
        <v>165</v>
      </c>
      <c r="H99" s="31" t="s">
        <v>515</v>
      </c>
      <c r="I99" s="29"/>
      <c r="J99" s="32"/>
      <c r="K99" s="32"/>
      <c r="L99" s="32" t="str">
        <f t="shared" si="12"/>
        <v>선정 재료 Datasheet, 가공법, 가공회사 List</v>
      </c>
      <c r="M99" s="32" t="str">
        <f t="shared" si="13"/>
        <v>선정된 가공법, 가공회사와의 컨택</v>
      </c>
    </row>
    <row r="100" spans="1:13" ht="38.6" x14ac:dyDescent="0.55000000000000004">
      <c r="A100" s="29" t="s">
        <v>712</v>
      </c>
      <c r="B100" s="33"/>
      <c r="C100" s="33"/>
      <c r="D100" s="33"/>
      <c r="E100" s="37"/>
      <c r="F100" s="30" t="s">
        <v>159</v>
      </c>
      <c r="G100" s="29" t="s">
        <v>167</v>
      </c>
      <c r="H100" s="31" t="s">
        <v>518</v>
      </c>
      <c r="I100" s="29"/>
      <c r="J100" s="32"/>
      <c r="K100" s="32"/>
      <c r="L100" s="32" t="str">
        <f t="shared" si="12"/>
        <v>CanX-7 mechanical design 문서, Component 물성치</v>
      </c>
      <c r="M100" s="32" t="str">
        <f t="shared" si="13"/>
        <v>부품 별 Force Analysis 문서</v>
      </c>
    </row>
    <row r="101" spans="1:13" ht="38.6" x14ac:dyDescent="0.55000000000000004">
      <c r="A101" s="29" t="s">
        <v>713</v>
      </c>
      <c r="B101" s="33"/>
      <c r="C101" s="33"/>
      <c r="D101" s="33"/>
      <c r="E101" s="37"/>
      <c r="F101" s="33"/>
      <c r="G101" s="29" t="s">
        <v>168</v>
      </c>
      <c r="H101" s="31" t="s">
        <v>519</v>
      </c>
      <c r="I101" s="29"/>
      <c r="J101" s="32"/>
      <c r="K101" s="32"/>
      <c r="L101" s="32" t="str">
        <f t="shared" si="12"/>
        <v>CanX-7 mechanical design 문서, Component 물성치</v>
      </c>
      <c r="M101" s="32" t="str">
        <f t="shared" si="13"/>
        <v>부품 별 Torque Analysis 문서</v>
      </c>
    </row>
    <row r="102" spans="1:13" ht="38.6" x14ac:dyDescent="0.55000000000000004">
      <c r="A102" s="29" t="s">
        <v>714</v>
      </c>
      <c r="B102" s="33"/>
      <c r="C102" s="33"/>
      <c r="D102" s="33"/>
      <c r="E102" s="37"/>
      <c r="F102" s="33"/>
      <c r="G102" s="29" t="s">
        <v>169</v>
      </c>
      <c r="H102" s="31" t="s">
        <v>520</v>
      </c>
      <c r="I102" s="29"/>
      <c r="J102" s="32"/>
      <c r="K102" s="32"/>
      <c r="L102" s="32" t="str">
        <f t="shared" si="12"/>
        <v>Reel 설계 자료, 예상 Tape Spring 길이, 예상 Roller 크기</v>
      </c>
      <c r="M102" s="32" t="str">
        <f t="shared" si="13"/>
        <v>Reel Enlosure 문서 및 3D model</v>
      </c>
    </row>
    <row r="103" spans="1:13" ht="38.6" x14ac:dyDescent="0.55000000000000004">
      <c r="A103" s="29" t="s">
        <v>715</v>
      </c>
      <c r="B103" s="33"/>
      <c r="C103" s="33"/>
      <c r="D103" s="33"/>
      <c r="E103" s="37"/>
      <c r="F103" s="33"/>
      <c r="G103" s="29" t="s">
        <v>170</v>
      </c>
      <c r="H103" s="35" t="s">
        <v>521</v>
      </c>
      <c r="I103" s="29"/>
      <c r="J103" s="32"/>
      <c r="K103" s="32"/>
      <c r="L103" s="32" t="str">
        <f t="shared" si="12"/>
        <v>Roller 설계 자료, Bearing 물성치</v>
      </c>
      <c r="M103" s="32" t="str">
        <f t="shared" si="13"/>
        <v xml:space="preserve"> Roller &amp; Roller Enclosure 설계 문서 및 3D model</v>
      </c>
    </row>
    <row r="104" spans="1:13" ht="38.6" x14ac:dyDescent="0.55000000000000004">
      <c r="A104" s="29" t="s">
        <v>716</v>
      </c>
      <c r="B104" s="33"/>
      <c r="C104" s="33"/>
      <c r="D104" s="33"/>
      <c r="E104" s="37"/>
      <c r="F104" s="33"/>
      <c r="G104" s="29" t="s">
        <v>171</v>
      </c>
      <c r="H104" s="35" t="s">
        <v>522</v>
      </c>
      <c r="I104" s="29"/>
      <c r="J104" s="32"/>
      <c r="K104" s="32"/>
      <c r="L104" s="32" t="str">
        <f t="shared" si="12"/>
        <v>Reel 설계 자료, Tape Spring 물성치, 사용 예정 Screw datasheet</v>
      </c>
      <c r="M104" s="32" t="str">
        <f t="shared" si="13"/>
        <v>Tape Spring Attachment 설계 문서 및 3D model</v>
      </c>
    </row>
    <row r="105" spans="1:13" ht="38.6" x14ac:dyDescent="0.55000000000000004">
      <c r="A105" s="29" t="s">
        <v>717</v>
      </c>
      <c r="B105" s="33"/>
      <c r="C105" s="33"/>
      <c r="D105" s="33"/>
      <c r="E105" s="37"/>
      <c r="F105" s="33"/>
      <c r="G105" s="29" t="s">
        <v>127</v>
      </c>
      <c r="H105" s="31" t="s">
        <v>523</v>
      </c>
      <c r="I105" s="29"/>
      <c r="J105" s="32"/>
      <c r="K105" s="32"/>
      <c r="L105" s="32" t="str">
        <f t="shared" si="12"/>
        <v>PAYR 요구조건, Tape spring 물성치, Tape Spring 결합 방식</v>
      </c>
      <c r="M105" s="32" t="str">
        <f t="shared" si="13"/>
        <v>Reel 문서 및 3D model</v>
      </c>
    </row>
    <row r="106" spans="1:13" ht="38.6" x14ac:dyDescent="0.55000000000000004">
      <c r="A106" s="29" t="s">
        <v>718</v>
      </c>
      <c r="B106" s="33"/>
      <c r="C106" s="33"/>
      <c r="D106" s="33"/>
      <c r="E106" s="37"/>
      <c r="F106" s="33"/>
      <c r="G106" s="29" t="s">
        <v>135</v>
      </c>
      <c r="H106" s="35" t="s">
        <v>524</v>
      </c>
      <c r="I106" s="29"/>
      <c r="J106" s="32"/>
      <c r="K106" s="32"/>
      <c r="L106" s="32" t="str">
        <f t="shared" si="12"/>
        <v>Reel 회전 속도 및 전개 종료시 충격량, Damper 물성치 및 특성</v>
      </c>
      <c r="M106" s="32" t="str">
        <f t="shared" si="13"/>
        <v>Damper 설계 문서 및 3D model</v>
      </c>
    </row>
    <row r="107" spans="1:13" ht="38.6" x14ac:dyDescent="0.55000000000000004">
      <c r="A107" s="29" t="s">
        <v>719</v>
      </c>
      <c r="B107" s="33"/>
      <c r="C107" s="33"/>
      <c r="D107" s="33"/>
      <c r="E107" s="37"/>
      <c r="F107" s="34"/>
      <c r="G107" s="29" t="s">
        <v>132</v>
      </c>
      <c r="H107" s="35" t="s">
        <v>525</v>
      </c>
      <c r="I107" s="29"/>
      <c r="J107" s="32"/>
      <c r="K107" s="32"/>
      <c r="L107" s="32" t="str">
        <f t="shared" si="12"/>
        <v xml:space="preserve">Reflector 모듈 내 전 부품의 설계 문서 및 3D model, Guide Roller 위치 </v>
      </c>
      <c r="M107" s="32" t="str">
        <f t="shared" si="13"/>
        <v>Housing 설계 문서 및 3D model</v>
      </c>
    </row>
    <row r="108" spans="1:13" ht="38.6" x14ac:dyDescent="0.55000000000000004">
      <c r="A108" s="29" t="s">
        <v>720</v>
      </c>
      <c r="B108" s="33"/>
      <c r="C108" s="33"/>
      <c r="D108" s="33"/>
      <c r="E108" s="37"/>
      <c r="F108" s="30" t="s">
        <v>133</v>
      </c>
      <c r="G108" s="29" t="s">
        <v>167</v>
      </c>
      <c r="H108" s="31" t="s">
        <v>518</v>
      </c>
      <c r="I108" s="29"/>
      <c r="J108" s="32"/>
      <c r="K108" s="32"/>
      <c r="L108" s="32" t="str">
        <f t="shared" si="12"/>
        <v>CanX-7 mechanical design 문서, Component 물성치</v>
      </c>
      <c r="M108" s="32" t="str">
        <f t="shared" si="13"/>
        <v>부품 별 Force Analysis 문서</v>
      </c>
    </row>
    <row r="109" spans="1:13" ht="38.6" x14ac:dyDescent="0.55000000000000004">
      <c r="A109" s="29" t="s">
        <v>721</v>
      </c>
      <c r="B109" s="33"/>
      <c r="C109" s="33"/>
      <c r="D109" s="33"/>
      <c r="E109" s="37"/>
      <c r="F109" s="33"/>
      <c r="G109" s="29" t="s">
        <v>168</v>
      </c>
      <c r="H109" s="31" t="s">
        <v>519</v>
      </c>
      <c r="I109" s="29"/>
      <c r="J109" s="32"/>
      <c r="K109" s="32"/>
      <c r="L109" s="32" t="str">
        <f t="shared" si="12"/>
        <v>CanX-7 mechanical design 문서, Component 물성치</v>
      </c>
      <c r="M109" s="32" t="str">
        <f t="shared" si="13"/>
        <v>부품 별 Torque Analysis 문서</v>
      </c>
    </row>
    <row r="110" spans="1:13" ht="38.6" x14ac:dyDescent="0.55000000000000004">
      <c r="A110" s="29" t="s">
        <v>722</v>
      </c>
      <c r="B110" s="33"/>
      <c r="C110" s="33"/>
      <c r="D110" s="33"/>
      <c r="E110" s="37"/>
      <c r="F110" s="33"/>
      <c r="G110" s="29" t="s">
        <v>172</v>
      </c>
      <c r="H110" s="35" t="s">
        <v>526</v>
      </c>
      <c r="I110" s="29"/>
      <c r="J110" s="32"/>
      <c r="K110" s="32"/>
      <c r="L110" s="32" t="str">
        <f t="shared" si="12"/>
        <v>PAYR 요구조건</v>
      </c>
      <c r="M110" s="32" t="str">
        <f t="shared" si="13"/>
        <v>내부 부품 설계 자료 및 3D model</v>
      </c>
    </row>
    <row r="111" spans="1:13" ht="38.6" x14ac:dyDescent="0.55000000000000004">
      <c r="A111" s="29" t="s">
        <v>723</v>
      </c>
      <c r="B111" s="33"/>
      <c r="C111" s="33"/>
      <c r="D111" s="33"/>
      <c r="E111" s="37"/>
      <c r="F111" s="34"/>
      <c r="G111" s="29" t="s">
        <v>132</v>
      </c>
      <c r="H111" s="31" t="s">
        <v>527</v>
      </c>
      <c r="I111" s="29"/>
      <c r="J111" s="32"/>
      <c r="K111" s="32"/>
      <c r="L111" s="32" t="str">
        <f t="shared" si="12"/>
        <v>PAYR 요구조건</v>
      </c>
      <c r="M111" s="32" t="str">
        <f t="shared" si="13"/>
        <v>Sail Cartridge용 Housing 설계 자료 및 3D model</v>
      </c>
    </row>
    <row r="112" spans="1:13" ht="38.6" x14ac:dyDescent="0.55000000000000004">
      <c r="A112" s="29" t="s">
        <v>724</v>
      </c>
      <c r="B112" s="33"/>
      <c r="C112" s="33"/>
      <c r="D112" s="33"/>
      <c r="E112" s="37"/>
      <c r="F112" s="30" t="s">
        <v>166</v>
      </c>
      <c r="G112" s="29" t="s">
        <v>167</v>
      </c>
      <c r="H112" s="31" t="s">
        <v>518</v>
      </c>
      <c r="I112" s="29"/>
      <c r="J112" s="32"/>
      <c r="K112" s="32"/>
      <c r="L112" s="32" t="str">
        <f t="shared" si="12"/>
        <v>CanX-7 mechanical design 문서, Component 물성치</v>
      </c>
      <c r="M112" s="32" t="str">
        <f t="shared" si="13"/>
        <v>부품 별 Force Analysis 문서</v>
      </c>
    </row>
    <row r="113" spans="1:13" ht="38.6" x14ac:dyDescent="0.55000000000000004">
      <c r="A113" s="29" t="s">
        <v>725</v>
      </c>
      <c r="B113" s="33"/>
      <c r="C113" s="33"/>
      <c r="D113" s="33"/>
      <c r="E113" s="37"/>
      <c r="F113" s="33"/>
      <c r="G113" s="29" t="s">
        <v>173</v>
      </c>
      <c r="H113" s="31" t="s">
        <v>519</v>
      </c>
      <c r="I113" s="29"/>
      <c r="J113" s="32"/>
      <c r="K113" s="32"/>
      <c r="L113" s="32" t="str">
        <f t="shared" si="12"/>
        <v>CanX-7 mechanical design 문서, Component 물성치</v>
      </c>
      <c r="M113" s="32" t="str">
        <f t="shared" si="13"/>
        <v>부품 별 Torque Analysis 문서</v>
      </c>
    </row>
    <row r="114" spans="1:13" ht="38.6" x14ac:dyDescent="0.55000000000000004">
      <c r="A114" s="29" t="s">
        <v>726</v>
      </c>
      <c r="B114" s="33"/>
      <c r="C114" s="33"/>
      <c r="D114" s="33"/>
      <c r="E114" s="37"/>
      <c r="F114" s="33"/>
      <c r="G114" s="29" t="s">
        <v>172</v>
      </c>
      <c r="H114" s="35" t="s">
        <v>526</v>
      </c>
      <c r="I114" s="29"/>
      <c r="J114" s="32"/>
      <c r="K114" s="32"/>
      <c r="L114" s="32" t="str">
        <f t="shared" si="12"/>
        <v>PAYR 요구조건</v>
      </c>
      <c r="M114" s="32" t="str">
        <f t="shared" si="13"/>
        <v>내부 부품 설계 자료 및 3D model</v>
      </c>
    </row>
    <row r="115" spans="1:13" ht="38.6" x14ac:dyDescent="0.55000000000000004">
      <c r="A115" s="29" t="s">
        <v>727</v>
      </c>
      <c r="B115" s="33"/>
      <c r="C115" s="33"/>
      <c r="D115" s="33"/>
      <c r="E115" s="37"/>
      <c r="F115" s="34"/>
      <c r="G115" s="29" t="s">
        <v>132</v>
      </c>
      <c r="H115" s="31" t="s">
        <v>528</v>
      </c>
      <c r="I115" s="29"/>
      <c r="J115" s="32"/>
      <c r="K115" s="32"/>
      <c r="L115" s="32" t="str">
        <f t="shared" si="12"/>
        <v>PAYR 요구조건</v>
      </c>
      <c r="M115" s="32" t="str">
        <f t="shared" si="13"/>
        <v>Rewind GSE용 Housing 설계 자료 및 3D model</v>
      </c>
    </row>
    <row r="116" spans="1:13" ht="38.6" x14ac:dyDescent="0.55000000000000004">
      <c r="A116" s="29" t="s">
        <v>728</v>
      </c>
      <c r="B116" s="33"/>
      <c r="C116" s="33"/>
      <c r="D116" s="33"/>
      <c r="E116" s="37"/>
      <c r="F116" s="30" t="s">
        <v>161</v>
      </c>
      <c r="G116" s="29" t="s">
        <v>174</v>
      </c>
      <c r="H116" s="31" t="s">
        <v>529</v>
      </c>
      <c r="I116" s="29"/>
      <c r="J116" s="32"/>
      <c r="K116" s="32"/>
      <c r="L116" s="32" t="str">
        <f t="shared" si="12"/>
        <v>Rewind GSE, Deployed Reflector Module</v>
      </c>
      <c r="M116" s="32" t="str">
        <f t="shared" si="13"/>
        <v>Rewind Test 실험 보고서</v>
      </c>
    </row>
    <row r="117" spans="1:13" ht="38.6" x14ac:dyDescent="0.55000000000000004">
      <c r="A117" s="29" t="s">
        <v>729</v>
      </c>
      <c r="B117" s="33"/>
      <c r="C117" s="33"/>
      <c r="D117" s="33"/>
      <c r="E117" s="37"/>
      <c r="F117" s="33"/>
      <c r="G117" s="29" t="s">
        <v>175</v>
      </c>
      <c r="H117" s="31" t="s">
        <v>530</v>
      </c>
      <c r="I117" s="29"/>
      <c r="J117" s="32"/>
      <c r="K117" s="32"/>
      <c r="L117" s="32" t="str">
        <f t="shared" si="12"/>
        <v>Stowed Reflector Module,Sail Cartridge</v>
      </c>
      <c r="M117" s="32" t="str">
        <f t="shared" si="13"/>
        <v>Standard Deployment Test 실험 보고서</v>
      </c>
    </row>
    <row r="118" spans="1:13" ht="38.6" x14ac:dyDescent="0.55000000000000004">
      <c r="A118" s="29" t="s">
        <v>730</v>
      </c>
      <c r="B118" s="33"/>
      <c r="C118" s="33"/>
      <c r="D118" s="33"/>
      <c r="E118" s="38"/>
      <c r="F118" s="34"/>
      <c r="G118" s="29" t="s">
        <v>176</v>
      </c>
      <c r="H118" s="31" t="s">
        <v>531</v>
      </c>
      <c r="I118" s="29"/>
      <c r="J118" s="32"/>
      <c r="K118" s="32"/>
      <c r="L118" s="32" t="str">
        <f t="shared" si="12"/>
        <v>Rewind GSE, Stowed Reflector Module, Sail Cartridge</v>
      </c>
      <c r="M118" s="32" t="str">
        <f t="shared" si="13"/>
        <v>Repeated Deployment Test 실험 보고서</v>
      </c>
    </row>
    <row r="119" spans="1:13" ht="38.6" x14ac:dyDescent="0.55000000000000004">
      <c r="A119" s="29" t="s">
        <v>731</v>
      </c>
      <c r="B119" s="33"/>
      <c r="C119" s="33"/>
      <c r="D119" s="33"/>
      <c r="E119" s="36" t="s">
        <v>177</v>
      </c>
      <c r="F119" s="29" t="s">
        <v>121</v>
      </c>
      <c r="G119" s="29"/>
      <c r="H119" s="31" t="s">
        <v>532</v>
      </c>
      <c r="I119" s="29"/>
      <c r="J119" s="32"/>
      <c r="K119" s="32"/>
      <c r="L119" s="32" t="str">
        <f t="shared" ref="L119:L142" si="14">MID(H119,FIND("투입재료",H119)+6,FIND("결과물",H119)-FIND("투입재료",H119)-7)</f>
        <v>Benchmark한 Deploying Mechanism, 전개 시 원하는 Sail 형상</v>
      </c>
      <c r="M119" s="32" t="str">
        <f t="shared" ref="M119:M142" si="15">MID(H119,FIND("결과물",H119)+5,LEN(H119)-FIND("결과물",H119))</f>
        <v>HSLD용 Deploying Mechanism</v>
      </c>
    </row>
    <row r="120" spans="1:13" ht="38.6" x14ac:dyDescent="0.55000000000000004">
      <c r="A120" s="29" t="s">
        <v>732</v>
      </c>
      <c r="B120" s="33"/>
      <c r="C120" s="33"/>
      <c r="D120" s="33"/>
      <c r="E120" s="37"/>
      <c r="F120" s="29" t="s">
        <v>178</v>
      </c>
      <c r="G120" s="29"/>
      <c r="H120" s="31" t="s">
        <v>533</v>
      </c>
      <c r="I120" s="29"/>
      <c r="J120" s="32"/>
      <c r="K120" s="32"/>
      <c r="L120" s="32" t="str">
        <f t="shared" si="14"/>
        <v xml:space="preserve">Benchmark한 Rewinding Mechanism, Reflector Module, Rewind GSE Module 각 기어 </v>
      </c>
      <c r="M120" s="32" t="str">
        <f t="shared" si="15"/>
        <v>HSLD용 Rewinding Mechanism</v>
      </c>
    </row>
    <row r="121" spans="1:13" ht="38.6" x14ac:dyDescent="0.55000000000000004">
      <c r="A121" s="29" t="s">
        <v>733</v>
      </c>
      <c r="B121" s="33"/>
      <c r="C121" s="33"/>
      <c r="D121" s="33"/>
      <c r="E121" s="33"/>
      <c r="F121" s="29" t="s">
        <v>179</v>
      </c>
      <c r="G121" s="29"/>
      <c r="H121" s="31" t="s">
        <v>534</v>
      </c>
      <c r="I121" s="29"/>
      <c r="J121" s="32"/>
      <c r="K121" s="32"/>
      <c r="L121" s="32" t="str">
        <f t="shared" si="14"/>
        <v xml:space="preserve">Benchmark한 Burn-Wire Mechanism, Nylon Wire 특성, Heater datasheet </v>
      </c>
      <c r="M121" s="32" t="str">
        <f t="shared" si="15"/>
        <v>HSLD용 Burn-Wire Mechanism 및 보고서</v>
      </c>
    </row>
    <row r="122" spans="1:13" ht="38.6" x14ac:dyDescent="0.55000000000000004">
      <c r="A122" s="29" t="s">
        <v>734</v>
      </c>
      <c r="B122" s="33"/>
      <c r="C122" s="33"/>
      <c r="D122" s="33"/>
      <c r="E122" s="33"/>
      <c r="F122" s="29" t="s">
        <v>180</v>
      </c>
      <c r="G122" s="29"/>
      <c r="H122" s="31" t="s">
        <v>535</v>
      </c>
      <c r="I122" s="29"/>
      <c r="J122" s="32"/>
      <c r="K122" s="32"/>
      <c r="L122" s="32" t="str">
        <f t="shared" si="14"/>
        <v>Benchmark한 Door Open Mechanism, HSLD Burn Wire Mechanism</v>
      </c>
      <c r="M122" s="32" t="str">
        <f t="shared" si="15"/>
        <v>HSLD용 Door Open Mechanism 및 보고서</v>
      </c>
    </row>
    <row r="123" spans="1:13" ht="38.6" x14ac:dyDescent="0.55000000000000004">
      <c r="A123" s="29" t="s">
        <v>735</v>
      </c>
      <c r="B123" s="33"/>
      <c r="C123" s="33"/>
      <c r="D123" s="33"/>
      <c r="E123" s="34"/>
      <c r="F123" s="29" t="s">
        <v>181</v>
      </c>
      <c r="G123" s="29"/>
      <c r="H123" s="31" t="s">
        <v>536</v>
      </c>
      <c r="I123" s="29"/>
      <c r="J123" s="32"/>
      <c r="K123" s="32"/>
      <c r="L123" s="32" t="str">
        <f t="shared" si="14"/>
        <v xml:space="preserve">Benchmark한 Sail Folding Method, HSLD PAYR 요구조건 </v>
      </c>
      <c r="M123" s="32" t="str">
        <f t="shared" si="15"/>
        <v>HSLD용 Sail Folding Method 및 보고서</v>
      </c>
    </row>
    <row r="124" spans="1:13" ht="38.6" x14ac:dyDescent="0.55000000000000004">
      <c r="A124" s="29" t="s">
        <v>736</v>
      </c>
      <c r="B124" s="33"/>
      <c r="C124" s="33"/>
      <c r="D124" s="33"/>
      <c r="E124" s="30" t="s">
        <v>182</v>
      </c>
      <c r="F124" s="30" t="s">
        <v>183</v>
      </c>
      <c r="G124" s="29" t="s">
        <v>184</v>
      </c>
      <c r="H124" s="31" t="s">
        <v>537</v>
      </c>
      <c r="I124" s="29"/>
      <c r="J124" s="32"/>
      <c r="K124" s="32"/>
      <c r="L124" s="32" t="str">
        <f t="shared" si="14"/>
        <v>Hot Soak Test 장비, FM, REQ 문서</v>
      </c>
      <c r="M124" s="32" t="str">
        <f t="shared" si="15"/>
        <v>Hot Soak Test 성적서</v>
      </c>
    </row>
    <row r="125" spans="1:13" ht="38.6" x14ac:dyDescent="0.55000000000000004">
      <c r="A125" s="29" t="s">
        <v>737</v>
      </c>
      <c r="B125" s="33"/>
      <c r="C125" s="33"/>
      <c r="D125" s="33"/>
      <c r="E125" s="33"/>
      <c r="F125" s="33"/>
      <c r="G125" s="29" t="s">
        <v>185</v>
      </c>
      <c r="H125" s="31" t="s">
        <v>538</v>
      </c>
      <c r="I125" s="29"/>
      <c r="J125" s="32"/>
      <c r="K125" s="32"/>
      <c r="L125" s="32" t="str">
        <f t="shared" si="14"/>
        <v>Hot Start Test 장비, FM, REQ 문서</v>
      </c>
      <c r="M125" s="32" t="str">
        <f t="shared" si="15"/>
        <v>Hot Start Test 성적서</v>
      </c>
    </row>
    <row r="126" spans="1:13" ht="38.6" x14ac:dyDescent="0.55000000000000004">
      <c r="A126" s="29" t="s">
        <v>738</v>
      </c>
      <c r="B126" s="33"/>
      <c r="C126" s="33"/>
      <c r="D126" s="33"/>
      <c r="E126" s="33"/>
      <c r="F126" s="33"/>
      <c r="G126" s="29" t="s">
        <v>186</v>
      </c>
      <c r="H126" s="31" t="s">
        <v>539</v>
      </c>
      <c r="I126" s="29"/>
      <c r="J126" s="32"/>
      <c r="K126" s="32"/>
      <c r="L126" s="32" t="str">
        <f t="shared" si="14"/>
        <v>Cold Soak Test 장비, FM, REQ 문서</v>
      </c>
      <c r="M126" s="32" t="str">
        <f t="shared" si="15"/>
        <v>Cold Soak Test 성적서</v>
      </c>
    </row>
    <row r="127" spans="1:13" ht="38.6" x14ac:dyDescent="0.55000000000000004">
      <c r="A127" s="29" t="s">
        <v>739</v>
      </c>
      <c r="B127" s="33"/>
      <c r="C127" s="33"/>
      <c r="D127" s="33"/>
      <c r="E127" s="33"/>
      <c r="F127" s="33"/>
      <c r="G127" s="29" t="s">
        <v>187</v>
      </c>
      <c r="H127" s="31" t="s">
        <v>540</v>
      </c>
      <c r="I127" s="29"/>
      <c r="J127" s="32"/>
      <c r="K127" s="32"/>
      <c r="L127" s="32" t="str">
        <f t="shared" si="14"/>
        <v>Cold Start Test 장비, FM, REQ 문서</v>
      </c>
      <c r="M127" s="32" t="str">
        <f t="shared" si="15"/>
        <v>Cold Start Test 성적서</v>
      </c>
    </row>
    <row r="128" spans="1:13" ht="38.6" x14ac:dyDescent="0.55000000000000004">
      <c r="A128" s="29" t="s">
        <v>740</v>
      </c>
      <c r="B128" s="33"/>
      <c r="C128" s="33"/>
      <c r="D128" s="33"/>
      <c r="E128" s="33"/>
      <c r="F128" s="34"/>
      <c r="G128" s="29" t="s">
        <v>188</v>
      </c>
      <c r="H128" s="31" t="s">
        <v>541</v>
      </c>
      <c r="I128" s="29"/>
      <c r="J128" s="32"/>
      <c r="K128" s="32"/>
      <c r="L128" s="32" t="str">
        <f t="shared" si="14"/>
        <v>Sail Stir and Cycle Test 장비, FM, REQ 문서</v>
      </c>
      <c r="M128" s="32" t="str">
        <f t="shared" si="15"/>
        <v>Sail Stir and Cycle Test 성적서</v>
      </c>
    </row>
    <row r="129" spans="1:13" ht="38.6" x14ac:dyDescent="0.55000000000000004">
      <c r="A129" s="29" t="s">
        <v>741</v>
      </c>
      <c r="B129" s="33"/>
      <c r="C129" s="33"/>
      <c r="D129" s="33"/>
      <c r="E129" s="33"/>
      <c r="F129" s="30" t="s">
        <v>189</v>
      </c>
      <c r="G129" s="29" t="s">
        <v>184</v>
      </c>
      <c r="H129" s="31" t="s">
        <v>537</v>
      </c>
      <c r="I129" s="29"/>
      <c r="J129" s="32"/>
      <c r="K129" s="32"/>
      <c r="L129" s="32" t="str">
        <f t="shared" si="14"/>
        <v>Hot Soak Test 장비, FM, REQ 문서</v>
      </c>
      <c r="M129" s="32" t="str">
        <f t="shared" si="15"/>
        <v>Hot Soak Test 성적서</v>
      </c>
    </row>
    <row r="130" spans="1:13" ht="38.6" x14ac:dyDescent="0.55000000000000004">
      <c r="A130" s="29" t="s">
        <v>742</v>
      </c>
      <c r="B130" s="33"/>
      <c r="C130" s="33"/>
      <c r="D130" s="33"/>
      <c r="E130" s="33"/>
      <c r="F130" s="33"/>
      <c r="G130" s="29" t="s">
        <v>185</v>
      </c>
      <c r="H130" s="31" t="s">
        <v>538</v>
      </c>
      <c r="I130" s="29"/>
      <c r="J130" s="32"/>
      <c r="K130" s="32"/>
      <c r="L130" s="32" t="str">
        <f t="shared" si="14"/>
        <v>Hot Start Test 장비, FM, REQ 문서</v>
      </c>
      <c r="M130" s="32" t="str">
        <f t="shared" si="15"/>
        <v>Hot Start Test 성적서</v>
      </c>
    </row>
    <row r="131" spans="1:13" ht="38.6" x14ac:dyDescent="0.55000000000000004">
      <c r="A131" s="29" t="s">
        <v>743</v>
      </c>
      <c r="B131" s="33"/>
      <c r="C131" s="33"/>
      <c r="D131" s="33"/>
      <c r="E131" s="33"/>
      <c r="F131" s="33"/>
      <c r="G131" s="29" t="s">
        <v>186</v>
      </c>
      <c r="H131" s="31" t="s">
        <v>539</v>
      </c>
      <c r="I131" s="29"/>
      <c r="J131" s="32"/>
      <c r="K131" s="32"/>
      <c r="L131" s="32" t="str">
        <f t="shared" si="14"/>
        <v>Cold Soak Test 장비, FM, REQ 문서</v>
      </c>
      <c r="M131" s="32" t="str">
        <f t="shared" si="15"/>
        <v>Cold Soak Test 성적서</v>
      </c>
    </row>
    <row r="132" spans="1:13" ht="38.6" x14ac:dyDescent="0.55000000000000004">
      <c r="A132" s="29" t="s">
        <v>744</v>
      </c>
      <c r="B132" s="33"/>
      <c r="C132" s="33"/>
      <c r="D132" s="33"/>
      <c r="E132" s="33"/>
      <c r="F132" s="33"/>
      <c r="G132" s="29" t="s">
        <v>187</v>
      </c>
      <c r="H132" s="31" t="s">
        <v>540</v>
      </c>
      <c r="I132" s="29"/>
      <c r="J132" s="32"/>
      <c r="K132" s="32"/>
      <c r="L132" s="32" t="str">
        <f t="shared" si="14"/>
        <v>Cold Start Test 장비, FM, REQ 문서</v>
      </c>
      <c r="M132" s="32" t="str">
        <f t="shared" si="15"/>
        <v>Cold Start Test 성적서</v>
      </c>
    </row>
    <row r="133" spans="1:13" ht="38.6" x14ac:dyDescent="0.55000000000000004">
      <c r="A133" s="29" t="s">
        <v>745</v>
      </c>
      <c r="B133" s="33"/>
      <c r="C133" s="33"/>
      <c r="D133" s="33"/>
      <c r="E133" s="33"/>
      <c r="F133" s="34"/>
      <c r="G133" s="29" t="s">
        <v>188</v>
      </c>
      <c r="H133" s="31" t="s">
        <v>541</v>
      </c>
      <c r="I133" s="29"/>
      <c r="J133" s="32"/>
      <c r="K133" s="32"/>
      <c r="L133" s="32" t="str">
        <f t="shared" si="14"/>
        <v>Sail Stir and Cycle Test 장비, FM, REQ 문서</v>
      </c>
      <c r="M133" s="32" t="str">
        <f t="shared" si="15"/>
        <v>Sail Stir and Cycle Test 성적서</v>
      </c>
    </row>
    <row r="134" spans="1:13" ht="38.6" x14ac:dyDescent="0.55000000000000004">
      <c r="A134" s="29" t="s">
        <v>746</v>
      </c>
      <c r="B134" s="33"/>
      <c r="C134" s="33"/>
      <c r="D134" s="33"/>
      <c r="E134" s="34"/>
      <c r="F134" s="29" t="s">
        <v>190</v>
      </c>
      <c r="G134" s="29"/>
      <c r="H134" s="31" t="s">
        <v>542</v>
      </c>
      <c r="I134" s="29"/>
      <c r="J134" s="32"/>
      <c r="K134" s="32"/>
      <c r="L134" s="32" t="str">
        <f t="shared" si="14"/>
        <v>Thermal Shock Test 장비, FM, REQ 문서</v>
      </c>
      <c r="M134" s="32" t="str">
        <f t="shared" si="15"/>
        <v>Thermal Shock Test 성적서</v>
      </c>
    </row>
    <row r="135" spans="1:13" ht="38.6" x14ac:dyDescent="0.55000000000000004">
      <c r="A135" s="29" t="s">
        <v>747</v>
      </c>
      <c r="B135" s="33"/>
      <c r="C135" s="33"/>
      <c r="D135" s="33"/>
      <c r="E135" s="29" t="s">
        <v>191</v>
      </c>
      <c r="F135" s="29"/>
      <c r="G135" s="29"/>
      <c r="H135" s="31" t="s">
        <v>543</v>
      </c>
      <c r="I135" s="29"/>
      <c r="J135" s="32"/>
      <c r="K135" s="32"/>
      <c r="L135" s="32" t="str">
        <f t="shared" si="14"/>
        <v>Vibration Analysis 장비, FM, REQ문서</v>
      </c>
      <c r="M135" s="32" t="str">
        <f t="shared" si="15"/>
        <v>Vibration Analysis 자료</v>
      </c>
    </row>
    <row r="136" spans="1:13" ht="38.6" x14ac:dyDescent="0.55000000000000004">
      <c r="A136" s="29" t="s">
        <v>748</v>
      </c>
      <c r="B136" s="33"/>
      <c r="C136" s="33"/>
      <c r="D136" s="34"/>
      <c r="E136" s="29" t="s">
        <v>192</v>
      </c>
      <c r="F136" s="29"/>
      <c r="G136" s="29"/>
      <c r="H136" s="31" t="s">
        <v>544</v>
      </c>
      <c r="I136" s="29"/>
      <c r="J136" s="32"/>
      <c r="K136" s="32"/>
      <c r="L136" s="32" t="str">
        <f t="shared" si="14"/>
        <v>Radiation Analysis 장비, FM, REQ문서</v>
      </c>
      <c r="M136" s="32" t="str">
        <f t="shared" si="15"/>
        <v>Radiation Analysis 자료</v>
      </c>
    </row>
    <row r="137" spans="1:13" ht="38.6" x14ac:dyDescent="0.55000000000000004">
      <c r="A137" s="29" t="s">
        <v>749</v>
      </c>
      <c r="B137" s="33"/>
      <c r="C137" s="33"/>
      <c r="D137" s="30" t="s">
        <v>92</v>
      </c>
      <c r="E137" s="29" t="s">
        <v>193</v>
      </c>
      <c r="F137" s="29"/>
      <c r="G137" s="29"/>
      <c r="H137" s="31" t="s">
        <v>545</v>
      </c>
      <c r="I137" s="29"/>
      <c r="J137" s="32"/>
      <c r="K137" s="32"/>
      <c r="L137" s="32" t="str">
        <f t="shared" si="14"/>
        <v>최종 요구 조건, H/W list and spec</v>
      </c>
      <c r="M137" s="32" t="str">
        <f t="shared" si="15"/>
        <v>최종 사용할 H/W List</v>
      </c>
    </row>
    <row r="138" spans="1:13" ht="38.6" x14ac:dyDescent="0.55000000000000004">
      <c r="A138" s="29" t="s">
        <v>750</v>
      </c>
      <c r="B138" s="33"/>
      <c r="C138" s="33"/>
      <c r="D138" s="33"/>
      <c r="E138" s="31" t="s">
        <v>194</v>
      </c>
      <c r="F138" s="29"/>
      <c r="G138" s="29"/>
      <c r="H138" s="31" t="s">
        <v>546</v>
      </c>
      <c r="I138" s="29"/>
      <c r="J138" s="32"/>
      <c r="K138" s="32"/>
      <c r="L138" s="32" t="str">
        <f t="shared" si="14"/>
        <v>최종 요구 조건. Struture Deisgn List, List별 해석 결과</v>
      </c>
      <c r="M138" s="32" t="str">
        <f t="shared" si="15"/>
        <v>최종 사용할 부품 Design</v>
      </c>
    </row>
    <row r="139" spans="1:13" ht="38.6" x14ac:dyDescent="0.55000000000000004">
      <c r="A139" s="29" t="s">
        <v>751</v>
      </c>
      <c r="B139" s="33"/>
      <c r="C139" s="33"/>
      <c r="D139" s="33"/>
      <c r="E139" s="31" t="s">
        <v>177</v>
      </c>
      <c r="F139" s="29"/>
      <c r="G139" s="29"/>
      <c r="H139" s="31" t="s">
        <v>547</v>
      </c>
      <c r="I139" s="29"/>
      <c r="J139" s="32"/>
      <c r="K139" s="32"/>
      <c r="L139" s="32" t="str">
        <f t="shared" si="14"/>
        <v>최종 요구 조건. Mechanism Deisgn List, List별 해석 결과</v>
      </c>
      <c r="M139" s="32" t="str">
        <f t="shared" si="15"/>
        <v>최종 사용할 Mechanism</v>
      </c>
    </row>
    <row r="140" spans="1:13" ht="38.6" x14ac:dyDescent="0.55000000000000004">
      <c r="A140" s="29" t="s">
        <v>752</v>
      </c>
      <c r="B140" s="33"/>
      <c r="C140" s="33"/>
      <c r="D140" s="34"/>
      <c r="E140" s="29" t="s">
        <v>182</v>
      </c>
      <c r="F140" s="29"/>
      <c r="G140" s="29"/>
      <c r="H140" s="31" t="s">
        <v>548</v>
      </c>
      <c r="I140" s="29"/>
      <c r="J140" s="32"/>
      <c r="K140" s="32"/>
      <c r="L140" s="32" t="str">
        <f t="shared" si="14"/>
        <v>해석적 열 해석 결과, 간소화된 3D 모델</v>
      </c>
      <c r="M140" s="32" t="str">
        <f t="shared" si="15"/>
        <v>열 해석 결과</v>
      </c>
    </row>
    <row r="141" spans="1:13" ht="38.6" x14ac:dyDescent="0.55000000000000004">
      <c r="A141" s="29" t="s">
        <v>753</v>
      </c>
      <c r="B141" s="33"/>
      <c r="C141" s="33"/>
      <c r="D141" s="30" t="s">
        <v>195</v>
      </c>
      <c r="E141" s="31" t="s">
        <v>196</v>
      </c>
      <c r="F141" s="29"/>
      <c r="G141" s="29"/>
      <c r="H141" s="31" t="s">
        <v>458</v>
      </c>
      <c r="I141" s="29"/>
      <c r="J141" s="32"/>
      <c r="K141" s="32"/>
      <c r="L141" s="32" t="str">
        <f t="shared" si="14"/>
        <v/>
      </c>
      <c r="M141" s="32" t="str">
        <f t="shared" si="15"/>
        <v/>
      </c>
    </row>
    <row r="142" spans="1:13" ht="38.6" x14ac:dyDescent="0.55000000000000004">
      <c r="A142" s="29" t="s">
        <v>754</v>
      </c>
      <c r="B142" s="34"/>
      <c r="C142" s="34"/>
      <c r="D142" s="34"/>
      <c r="E142" s="29" t="s">
        <v>197</v>
      </c>
      <c r="F142" s="29"/>
      <c r="G142" s="29"/>
      <c r="H142" s="31" t="s">
        <v>458</v>
      </c>
      <c r="I142" s="29"/>
      <c r="J142" s="32"/>
      <c r="K142" s="32"/>
      <c r="L142" s="32" t="str">
        <f t="shared" si="14"/>
        <v/>
      </c>
      <c r="M142" s="32" t="str">
        <f t="shared" si="15"/>
        <v/>
      </c>
    </row>
    <row r="143" spans="1:13" ht="38.6" x14ac:dyDescent="0.55000000000000004">
      <c r="A143" s="40" t="s">
        <v>755</v>
      </c>
      <c r="B143" s="41" t="s">
        <v>198</v>
      </c>
      <c r="C143" s="41" t="s">
        <v>48</v>
      </c>
      <c r="D143" s="41" t="s">
        <v>49</v>
      </c>
      <c r="E143" s="40" t="s">
        <v>50</v>
      </c>
      <c r="F143" s="40"/>
      <c r="G143" s="40"/>
      <c r="H143" s="42" t="s">
        <v>51</v>
      </c>
      <c r="I143" s="40"/>
      <c r="J143" s="43"/>
      <c r="K143" s="43"/>
      <c r="L143" s="43" t="str">
        <f t="shared" ref="L113:L176" si="16">MID(H143,FIND("투입재료",H143)+6,FIND("결과물",H143)-FIND("투입재료",H143)-7)</f>
        <v>REQ 표</v>
      </c>
      <c r="M143" s="43" t="str">
        <f t="shared" ref="M98:M161" si="17">MID(H143,FIND("결과물",H143)+5,LEN(H143)-FIND("결과물",H143))</f>
        <v>level 3 REQ 표</v>
      </c>
    </row>
    <row r="144" spans="1:13" ht="38.6" x14ac:dyDescent="0.55000000000000004">
      <c r="A144" s="40" t="s">
        <v>652</v>
      </c>
      <c r="B144" s="44"/>
      <c r="C144" s="44"/>
      <c r="D144" s="44"/>
      <c r="E144" s="40" t="s">
        <v>52</v>
      </c>
      <c r="F144" s="40"/>
      <c r="G144" s="40"/>
      <c r="H144" s="42" t="s">
        <v>53</v>
      </c>
      <c r="I144" s="40"/>
      <c r="J144" s="43"/>
      <c r="K144" s="43"/>
      <c r="L144" s="43" t="str">
        <f t="shared" ref="L144:L152" si="18">MID(H144,FIND("투입재료",H144)+6,FIND("결과물",H144)-FIND("투입재료",H144)-7)</f>
        <v>level 3 요구조건</v>
      </c>
      <c r="M144" s="43" t="str">
        <f t="shared" ref="M144:M152" si="19">MID(H144,FIND("결과물",H144)+5,LEN(H144)-FIND("결과물",H144))</f>
        <v>level 4 REQ 표</v>
      </c>
    </row>
    <row r="145" spans="1:13" ht="38.6" x14ac:dyDescent="0.55000000000000004">
      <c r="A145" s="40" t="s">
        <v>653</v>
      </c>
      <c r="B145" s="44"/>
      <c r="C145" s="44"/>
      <c r="D145" s="45"/>
      <c r="E145" s="40" t="s">
        <v>54</v>
      </c>
      <c r="F145" s="40"/>
      <c r="G145" s="40"/>
      <c r="H145" s="42" t="s">
        <v>117</v>
      </c>
      <c r="I145" s="40"/>
      <c r="J145" s="43"/>
      <c r="K145" s="43"/>
      <c r="L145" s="43" t="str">
        <f t="shared" si="18"/>
        <v xml:space="preserve">level 3~4 요구조건 </v>
      </c>
      <c r="M145" s="43" t="str">
        <f t="shared" si="19"/>
        <v>level 5 REQ 표</v>
      </c>
    </row>
    <row r="146" spans="1:13" ht="38.6" x14ac:dyDescent="0.55000000000000004">
      <c r="A146" s="40" t="s">
        <v>654</v>
      </c>
      <c r="B146" s="44"/>
      <c r="C146" s="44"/>
      <c r="D146" s="41" t="s">
        <v>56</v>
      </c>
      <c r="E146" s="40" t="s">
        <v>57</v>
      </c>
      <c r="F146" s="40"/>
      <c r="G146" s="40"/>
      <c r="H146" s="42" t="s">
        <v>58</v>
      </c>
      <c r="I146" s="40"/>
      <c r="J146" s="43"/>
      <c r="K146" s="43"/>
      <c r="L146" s="43" t="str">
        <f t="shared" si="18"/>
        <v>level 3 요구조건</v>
      </c>
      <c r="M146" s="43" t="str">
        <f t="shared" si="19"/>
        <v>level 3 REQ 표</v>
      </c>
    </row>
    <row r="147" spans="1:13" ht="38.6" x14ac:dyDescent="0.55000000000000004">
      <c r="A147" s="40" t="s">
        <v>655</v>
      </c>
      <c r="B147" s="44"/>
      <c r="C147" s="44"/>
      <c r="D147" s="44"/>
      <c r="E147" s="40" t="s">
        <v>59</v>
      </c>
      <c r="F147" s="40"/>
      <c r="G147" s="40"/>
      <c r="H147" s="42" t="s">
        <v>60</v>
      </c>
      <c r="I147" s="40"/>
      <c r="J147" s="43"/>
      <c r="K147" s="43"/>
      <c r="L147" s="43" t="str">
        <f t="shared" si="18"/>
        <v>level 4 요구조건</v>
      </c>
      <c r="M147" s="43" t="str">
        <f t="shared" si="19"/>
        <v>level 4 REQ 표</v>
      </c>
    </row>
    <row r="148" spans="1:13" ht="38.6" x14ac:dyDescent="0.55000000000000004">
      <c r="A148" s="40" t="s">
        <v>656</v>
      </c>
      <c r="B148" s="44"/>
      <c r="C148" s="44"/>
      <c r="D148" s="45"/>
      <c r="E148" s="40" t="s">
        <v>61</v>
      </c>
      <c r="F148" s="40"/>
      <c r="G148" s="40"/>
      <c r="H148" s="42" t="s">
        <v>62</v>
      </c>
      <c r="I148" s="40"/>
      <c r="J148" s="43"/>
      <c r="K148" s="43"/>
      <c r="L148" s="43" t="str">
        <f t="shared" si="18"/>
        <v>level 5 요구조건</v>
      </c>
      <c r="M148" s="43" t="str">
        <f t="shared" si="19"/>
        <v>level 5 REQ 표</v>
      </c>
    </row>
    <row r="149" spans="1:13" ht="38.6" x14ac:dyDescent="0.55000000000000004">
      <c r="A149" s="40" t="s">
        <v>657</v>
      </c>
      <c r="B149" s="44"/>
      <c r="C149" s="44"/>
      <c r="D149" s="41" t="s">
        <v>63</v>
      </c>
      <c r="E149" s="40" t="s">
        <v>199</v>
      </c>
      <c r="F149" s="40"/>
      <c r="G149" s="40"/>
      <c r="H149" s="42" t="s">
        <v>200</v>
      </c>
      <c r="I149" s="40"/>
      <c r="J149" s="43"/>
      <c r="K149" s="43"/>
      <c r="L149" s="43" t="str">
        <f t="shared" si="18"/>
        <v>PAYC REQ 표</v>
      </c>
      <c r="M149" s="43" t="str">
        <f t="shared" si="19"/>
        <v>제조사 별 사용 가능한 COTS list 및 spec.</v>
      </c>
    </row>
    <row r="150" spans="1:13" ht="38.6" x14ac:dyDescent="0.55000000000000004">
      <c r="A150" s="40" t="s">
        <v>658</v>
      </c>
      <c r="B150" s="44"/>
      <c r="C150" s="44"/>
      <c r="D150" s="45"/>
      <c r="E150" s="40" t="s">
        <v>201</v>
      </c>
      <c r="F150" s="40"/>
      <c r="G150" s="40"/>
      <c r="H150" s="42" t="s">
        <v>202</v>
      </c>
      <c r="I150" s="40"/>
      <c r="J150" s="43"/>
      <c r="K150" s="43"/>
      <c r="L150" s="43" t="str">
        <f t="shared" si="18"/>
        <v xml:space="preserve">제조사 별 사용 가능한 COTS list 및 spec. , 총 촬영 시간, 하향할 수 있는 사진 장수/path, </v>
      </c>
      <c r="M150" s="43" t="str">
        <f t="shared" si="19"/>
        <v>최종 COTS</v>
      </c>
    </row>
    <row r="151" spans="1:13" ht="38.6" x14ac:dyDescent="0.55000000000000004">
      <c r="A151" s="40" t="s">
        <v>659</v>
      </c>
      <c r="B151" s="44"/>
      <c r="C151" s="44"/>
      <c r="D151" s="41" t="s">
        <v>74</v>
      </c>
      <c r="E151" s="42" t="s">
        <v>203</v>
      </c>
      <c r="F151" s="40"/>
      <c r="G151" s="40"/>
      <c r="H151" s="42" t="s">
        <v>204</v>
      </c>
      <c r="I151" s="40"/>
      <c r="J151" s="43"/>
      <c r="K151" s="43"/>
      <c r="L151" s="43" t="str">
        <f t="shared" si="18"/>
        <v>필요한 사진 수, Image acquistion time, Image processing time 등등</v>
      </c>
      <c r="M151" s="43" t="str">
        <f t="shared" si="19"/>
        <v>총 촬영 시간</v>
      </c>
    </row>
    <row r="152" spans="1:13" ht="38.6" x14ac:dyDescent="0.55000000000000004">
      <c r="A152" s="40" t="s">
        <v>660</v>
      </c>
      <c r="B152" s="45"/>
      <c r="C152" s="45"/>
      <c r="D152" s="45"/>
      <c r="E152" s="42" t="s">
        <v>205</v>
      </c>
      <c r="F152" s="40"/>
      <c r="G152" s="40"/>
      <c r="H152" s="42" t="s">
        <v>206</v>
      </c>
      <c r="I152" s="40"/>
      <c r="J152" s="43"/>
      <c r="K152" s="43"/>
      <c r="L152" s="43" t="str">
        <f t="shared" si="18"/>
        <v>사용자 요구문서, 궤도, 데이터 하양 조건</v>
      </c>
      <c r="M152" s="43" t="str">
        <f t="shared" si="19"/>
        <v>하향할 수 있는 사진 장수/path</v>
      </c>
    </row>
    <row r="153" spans="1:13" ht="38.6" x14ac:dyDescent="0.55000000000000004">
      <c r="A153" s="46" t="s">
        <v>756</v>
      </c>
      <c r="B153" s="47" t="s">
        <v>207</v>
      </c>
      <c r="C153" s="47" t="s">
        <v>119</v>
      </c>
      <c r="D153" s="47" t="s">
        <v>49</v>
      </c>
      <c r="E153" s="46" t="s">
        <v>50</v>
      </c>
      <c r="F153" s="46"/>
      <c r="G153" s="46"/>
      <c r="H153" s="48" t="s">
        <v>51</v>
      </c>
      <c r="I153" s="46"/>
      <c r="J153" s="49"/>
      <c r="K153" s="49"/>
      <c r="L153" s="49" t="str">
        <f t="shared" si="16"/>
        <v>REQ 표</v>
      </c>
      <c r="M153" s="49" t="str">
        <f t="shared" si="17"/>
        <v>level 3 REQ 표</v>
      </c>
    </row>
    <row r="154" spans="1:13" ht="38.6" x14ac:dyDescent="0.55000000000000004">
      <c r="A154" s="46" t="s">
        <v>661</v>
      </c>
      <c r="B154" s="50"/>
      <c r="C154" s="50"/>
      <c r="D154" s="50"/>
      <c r="E154" s="46" t="s">
        <v>52</v>
      </c>
      <c r="F154" s="46"/>
      <c r="G154" s="46"/>
      <c r="H154" s="48" t="s">
        <v>53</v>
      </c>
      <c r="I154" s="46"/>
      <c r="J154" s="49"/>
      <c r="K154" s="49"/>
      <c r="L154" s="49" t="str">
        <f t="shared" ref="L154:L217" si="20">MID(H154,FIND("투입재료",H154)+6,FIND("결과물",H154)-FIND("투입재료",H154)-7)</f>
        <v>level 3 요구조건</v>
      </c>
      <c r="M154" s="49" t="str">
        <f t="shared" ref="M154:M217" si="21">MID(H154,FIND("결과물",H154)+5,LEN(H154)-FIND("결과물",H154))</f>
        <v>level 4 REQ 표</v>
      </c>
    </row>
    <row r="155" spans="1:13" ht="38.6" x14ac:dyDescent="0.55000000000000004">
      <c r="A155" s="46" t="s">
        <v>662</v>
      </c>
      <c r="B155" s="50"/>
      <c r="C155" s="50"/>
      <c r="D155" s="51"/>
      <c r="E155" s="46" t="s">
        <v>54</v>
      </c>
      <c r="F155" s="46"/>
      <c r="G155" s="46"/>
      <c r="H155" s="48" t="s">
        <v>55</v>
      </c>
      <c r="I155" s="46"/>
      <c r="J155" s="49"/>
      <c r="K155" s="49"/>
      <c r="L155" s="49" t="str">
        <f t="shared" si="20"/>
        <v xml:space="preserve">level 4 요구조건 </v>
      </c>
      <c r="M155" s="49" t="str">
        <f t="shared" si="21"/>
        <v>level 5 REQ 표</v>
      </c>
    </row>
    <row r="156" spans="1:13" ht="38.6" x14ac:dyDescent="0.55000000000000004">
      <c r="A156" s="46" t="s">
        <v>663</v>
      </c>
      <c r="B156" s="50"/>
      <c r="C156" s="50"/>
      <c r="D156" s="47" t="s">
        <v>56</v>
      </c>
      <c r="E156" s="46" t="s">
        <v>57</v>
      </c>
      <c r="F156" s="46"/>
      <c r="G156" s="46"/>
      <c r="H156" s="48" t="s">
        <v>58</v>
      </c>
      <c r="I156" s="46"/>
      <c r="J156" s="49"/>
      <c r="K156" s="49"/>
      <c r="L156" s="49" t="str">
        <f t="shared" si="20"/>
        <v>level 3 요구조건</v>
      </c>
      <c r="M156" s="49" t="str">
        <f t="shared" si="21"/>
        <v>level 3 REQ 표</v>
      </c>
    </row>
    <row r="157" spans="1:13" ht="38.6" x14ac:dyDescent="0.55000000000000004">
      <c r="A157" s="46" t="s">
        <v>664</v>
      </c>
      <c r="B157" s="50"/>
      <c r="C157" s="50"/>
      <c r="D157" s="50"/>
      <c r="E157" s="46" t="s">
        <v>59</v>
      </c>
      <c r="F157" s="46"/>
      <c r="G157" s="46"/>
      <c r="H157" s="48" t="s">
        <v>60</v>
      </c>
      <c r="I157" s="46"/>
      <c r="J157" s="49"/>
      <c r="K157" s="49"/>
      <c r="L157" s="49" t="str">
        <f t="shared" si="20"/>
        <v>level 4 요구조건</v>
      </c>
      <c r="M157" s="49" t="str">
        <f t="shared" si="21"/>
        <v>level 4 REQ 표</v>
      </c>
    </row>
    <row r="158" spans="1:13" ht="38.6" x14ac:dyDescent="0.55000000000000004">
      <c r="A158" s="46" t="s">
        <v>665</v>
      </c>
      <c r="B158" s="50"/>
      <c r="C158" s="50"/>
      <c r="D158" s="51"/>
      <c r="E158" s="46" t="s">
        <v>61</v>
      </c>
      <c r="F158" s="46"/>
      <c r="G158" s="46"/>
      <c r="H158" s="48" t="s">
        <v>62</v>
      </c>
      <c r="I158" s="46"/>
      <c r="J158" s="49"/>
      <c r="K158" s="49"/>
      <c r="L158" s="49" t="str">
        <f t="shared" si="20"/>
        <v>level 5 요구조건</v>
      </c>
      <c r="M158" s="49" t="str">
        <f t="shared" si="21"/>
        <v>level 5 REQ 표</v>
      </c>
    </row>
    <row r="159" spans="1:13" ht="38.6" x14ac:dyDescent="0.55000000000000004">
      <c r="A159" s="46" t="s">
        <v>666</v>
      </c>
      <c r="B159" s="50"/>
      <c r="C159" s="50"/>
      <c r="D159" s="47" t="s">
        <v>63</v>
      </c>
      <c r="E159" s="46" t="s">
        <v>199</v>
      </c>
      <c r="F159" s="46"/>
      <c r="G159" s="46"/>
      <c r="H159" s="48" t="s">
        <v>208</v>
      </c>
      <c r="I159" s="46"/>
      <c r="J159" s="49"/>
      <c r="K159" s="49"/>
      <c r="L159" s="49" t="str">
        <f t="shared" si="20"/>
        <v>Bus REQ 표</v>
      </c>
      <c r="M159" s="49" t="str">
        <f t="shared" si="21"/>
        <v xml:space="preserve">제조사 별 사용 가능한 COTS list 및 spec. </v>
      </c>
    </row>
    <row r="160" spans="1:13" ht="38.6" x14ac:dyDescent="0.55000000000000004">
      <c r="A160" s="46" t="s">
        <v>667</v>
      </c>
      <c r="B160" s="50"/>
      <c r="C160" s="50"/>
      <c r="D160" s="51"/>
      <c r="E160" s="46" t="s">
        <v>201</v>
      </c>
      <c r="F160" s="46"/>
      <c r="G160" s="46"/>
      <c r="H160" s="48" t="s">
        <v>209</v>
      </c>
      <c r="I160" s="46"/>
      <c r="J160" s="49"/>
      <c r="K160" s="49"/>
      <c r="L160" s="49" t="str">
        <f t="shared" si="20"/>
        <v>제조사 별 사용 가능한 COTS list 및 spec., 예비 설계 해석 결과</v>
      </c>
      <c r="M160" s="49" t="str">
        <f t="shared" si="21"/>
        <v>최종 COTS 제품</v>
      </c>
    </row>
    <row r="161" spans="1:13" ht="38.6" x14ac:dyDescent="0.55000000000000004">
      <c r="A161" s="46" t="s">
        <v>668</v>
      </c>
      <c r="B161" s="50"/>
      <c r="C161" s="50"/>
      <c r="D161" s="52" t="s">
        <v>68</v>
      </c>
      <c r="E161" s="46" t="s">
        <v>210</v>
      </c>
      <c r="F161" s="46"/>
      <c r="G161" s="46"/>
      <c r="H161" s="48" t="s">
        <v>211</v>
      </c>
      <c r="I161" s="46"/>
      <c r="J161" s="49"/>
      <c r="K161" s="49"/>
      <c r="L161" s="49" t="str">
        <f t="shared" si="20"/>
        <v>3D-Modeling</v>
      </c>
      <c r="M161" s="49" t="str">
        <f t="shared" si="21"/>
        <v>system level 크기</v>
      </c>
    </row>
    <row r="162" spans="1:13" ht="38.6" x14ac:dyDescent="0.55000000000000004">
      <c r="A162" s="46" t="s">
        <v>669</v>
      </c>
      <c r="B162" s="50"/>
      <c r="C162" s="50"/>
      <c r="D162" s="50"/>
      <c r="E162" s="46" t="s">
        <v>212</v>
      </c>
      <c r="F162" s="46"/>
      <c r="G162" s="46"/>
      <c r="H162" s="48" t="s">
        <v>213</v>
      </c>
      <c r="I162" s="46"/>
      <c r="J162" s="49"/>
      <c r="K162" s="49"/>
      <c r="L162" s="49" t="str">
        <f t="shared" si="20"/>
        <v xml:space="preserve">3D-Modeling </v>
      </c>
      <c r="M162" s="49" t="str">
        <f t="shared" si="21"/>
        <v>system level 무게</v>
      </c>
    </row>
    <row r="163" spans="1:13" ht="38.6" x14ac:dyDescent="0.55000000000000004">
      <c r="A163" s="46" t="s">
        <v>757</v>
      </c>
      <c r="B163" s="50"/>
      <c r="C163" s="50"/>
      <c r="D163" s="50"/>
      <c r="E163" s="46" t="s">
        <v>214</v>
      </c>
      <c r="F163" s="46"/>
      <c r="G163" s="46"/>
      <c r="H163" s="48" t="s">
        <v>215</v>
      </c>
      <c r="I163" s="46"/>
      <c r="J163" s="49"/>
      <c r="K163" s="49"/>
      <c r="L163" s="49" t="str">
        <f t="shared" si="20"/>
        <v/>
      </c>
      <c r="M163" s="49" t="str">
        <f t="shared" si="21"/>
        <v>3U CubeSat 무게 중심 허용범위</v>
      </c>
    </row>
    <row r="164" spans="1:13" ht="38.6" x14ac:dyDescent="0.55000000000000004">
      <c r="A164" s="46" t="s">
        <v>758</v>
      </c>
      <c r="B164" s="50"/>
      <c r="C164" s="50"/>
      <c r="D164" s="50"/>
      <c r="E164" s="46" t="s">
        <v>216</v>
      </c>
      <c r="F164" s="46"/>
      <c r="G164" s="46"/>
      <c r="H164" s="48" t="s">
        <v>217</v>
      </c>
      <c r="I164" s="46"/>
      <c r="J164" s="49"/>
      <c r="K164" s="49"/>
      <c r="L164" s="49" t="str">
        <f t="shared" si="20"/>
        <v>Power Budget Analysis Excel sheet</v>
      </c>
      <c r="M164" s="49" t="str">
        <f t="shared" si="21"/>
        <v>system level 당 허용 소모 전략</v>
      </c>
    </row>
    <row r="165" spans="1:13" ht="38.6" x14ac:dyDescent="0.55000000000000004">
      <c r="A165" s="46" t="s">
        <v>759</v>
      </c>
      <c r="B165" s="50"/>
      <c r="C165" s="50"/>
      <c r="D165" s="50"/>
      <c r="E165" s="46" t="s">
        <v>218</v>
      </c>
      <c r="F165" s="46"/>
      <c r="G165" s="46"/>
      <c r="H165" s="48" t="s">
        <v>219</v>
      </c>
      <c r="I165" s="46"/>
      <c r="J165" s="49"/>
      <c r="K165" s="49"/>
      <c r="L165" s="49" t="str">
        <f t="shared" si="20"/>
        <v>Link Margin Anaylsis sheet</v>
      </c>
      <c r="M165" s="49" t="str">
        <f t="shared" si="21"/>
        <v>UHF Link Margin</v>
      </c>
    </row>
    <row r="166" spans="1:13" ht="38.6" x14ac:dyDescent="0.55000000000000004">
      <c r="A166" s="46" t="s">
        <v>760</v>
      </c>
      <c r="B166" s="50"/>
      <c r="C166" s="50"/>
      <c r="D166" s="50"/>
      <c r="E166" s="46" t="s">
        <v>220</v>
      </c>
      <c r="F166" s="46"/>
      <c r="G166" s="46"/>
      <c r="H166" s="48" t="s">
        <v>567</v>
      </c>
      <c r="I166" s="46"/>
      <c r="J166" s="49"/>
      <c r="K166" s="49"/>
      <c r="L166" s="49" t="str">
        <f t="shared" si="20"/>
        <v>Link Margin Anaylsis sheet</v>
      </c>
      <c r="M166" s="49" t="str">
        <f t="shared" si="21"/>
        <v>S-band Link Margin</v>
      </c>
    </row>
    <row r="167" spans="1:13" ht="38.6" x14ac:dyDescent="0.55000000000000004">
      <c r="A167" s="46" t="s">
        <v>761</v>
      </c>
      <c r="B167" s="50"/>
      <c r="C167" s="50"/>
      <c r="D167" s="51"/>
      <c r="E167" s="46" t="s">
        <v>221</v>
      </c>
      <c r="F167" s="46"/>
      <c r="G167" s="46"/>
      <c r="H167" s="48" t="s">
        <v>222</v>
      </c>
      <c r="I167" s="46"/>
      <c r="J167" s="49"/>
      <c r="K167" s="49"/>
      <c r="L167" s="49" t="str">
        <f t="shared" si="20"/>
        <v>열 해석 결과</v>
      </c>
      <c r="M167" s="49" t="str">
        <f t="shared" si="21"/>
        <v>궤도의 열환경에 의한 sensor 작동 가능한 온도 범위</v>
      </c>
    </row>
    <row r="168" spans="1:13" ht="38.6" x14ac:dyDescent="0.55000000000000004">
      <c r="A168" s="46" t="s">
        <v>762</v>
      </c>
      <c r="B168" s="50"/>
      <c r="C168" s="50"/>
      <c r="D168" s="47" t="s">
        <v>223</v>
      </c>
      <c r="E168" s="46" t="s">
        <v>224</v>
      </c>
      <c r="F168" s="46"/>
      <c r="G168" s="46"/>
      <c r="H168" s="48" t="s">
        <v>225</v>
      </c>
      <c r="I168" s="46"/>
      <c r="J168" s="49"/>
      <c r="K168" s="49"/>
      <c r="L168" s="49" t="str">
        <f t="shared" si="20"/>
        <v>한화시스템 시험조건</v>
      </c>
      <c r="M168" s="49" t="str">
        <f t="shared" si="21"/>
        <v>궤도 요구조건</v>
      </c>
    </row>
    <row r="169" spans="1:13" ht="38.6" x14ac:dyDescent="0.55000000000000004">
      <c r="A169" s="46" t="s">
        <v>763</v>
      </c>
      <c r="B169" s="50"/>
      <c r="C169" s="50"/>
      <c r="D169" s="50"/>
      <c r="E169" s="47" t="s">
        <v>226</v>
      </c>
      <c r="F169" s="46" t="s">
        <v>227</v>
      </c>
      <c r="G169" s="46"/>
      <c r="H169" s="48" t="s">
        <v>228</v>
      </c>
      <c r="I169" s="46"/>
      <c r="J169" s="49"/>
      <c r="K169" s="49"/>
      <c r="L169" s="49" t="str">
        <f t="shared" si="20"/>
        <v>Matlab 코드, 궤도 요구조건</v>
      </c>
      <c r="M169" s="49" t="str">
        <f t="shared" si="21"/>
        <v>궤도 요구조건 분석 결과</v>
      </c>
    </row>
    <row r="170" spans="1:13" ht="38.6" x14ac:dyDescent="0.55000000000000004">
      <c r="A170" s="46" t="s">
        <v>764</v>
      </c>
      <c r="B170" s="50"/>
      <c r="C170" s="50"/>
      <c r="D170" s="50"/>
      <c r="E170" s="50"/>
      <c r="F170" s="47" t="s">
        <v>229</v>
      </c>
      <c r="G170" s="46" t="s">
        <v>230</v>
      </c>
      <c r="H170" s="48" t="s">
        <v>231</v>
      </c>
      <c r="I170" s="46"/>
      <c r="J170" s="49"/>
      <c r="K170" s="49"/>
      <c r="L170" s="49" t="str">
        <f t="shared" si="20"/>
        <v>GMAT, Matlab, 궤도 요소</v>
      </c>
      <c r="M170" s="49" t="str">
        <f t="shared" si="21"/>
        <v>연세대학교 지상국 통신 시간, 연세대학교 지상국 통신 가능 구간</v>
      </c>
    </row>
    <row r="171" spans="1:13" ht="38.6" x14ac:dyDescent="0.55000000000000004">
      <c r="A171" s="46" t="s">
        <v>765</v>
      </c>
      <c r="B171" s="50"/>
      <c r="C171" s="50"/>
      <c r="D171" s="50"/>
      <c r="E171" s="50"/>
      <c r="F171" s="50"/>
      <c r="G171" s="46" t="s">
        <v>232</v>
      </c>
      <c r="H171" s="48" t="s">
        <v>233</v>
      </c>
      <c r="I171" s="46"/>
      <c r="J171" s="49"/>
      <c r="K171" s="49"/>
      <c r="L171" s="49" t="str">
        <f t="shared" si="20"/>
        <v>GMAT, Matlab, 궤도 요소</v>
      </c>
      <c r="M171" s="49" t="str">
        <f t="shared" si="21"/>
        <v>한화시스템 지상국 contact 시간, 한화시스템 지상국 contact 가능 구간</v>
      </c>
    </row>
    <row r="172" spans="1:13" ht="38.6" x14ac:dyDescent="0.55000000000000004">
      <c r="A172" s="46" t="s">
        <v>766</v>
      </c>
      <c r="B172" s="50"/>
      <c r="C172" s="50"/>
      <c r="D172" s="50"/>
      <c r="E172" s="50"/>
      <c r="F172" s="50"/>
      <c r="G172" s="46" t="s">
        <v>234</v>
      </c>
      <c r="H172" s="48" t="s">
        <v>235</v>
      </c>
      <c r="I172" s="46"/>
      <c r="J172" s="49"/>
      <c r="K172" s="49"/>
      <c r="L172" s="49" t="str">
        <f t="shared" si="20"/>
        <v>GMAT, Matlab, 궤도 요소</v>
      </c>
      <c r="M172" s="49" t="str">
        <f t="shared" si="21"/>
        <v>2개의 지상국 동시에 contact 시간, 2개의 지상국 동시에 contact 가능 구간</v>
      </c>
    </row>
    <row r="173" spans="1:13" ht="38.6" x14ac:dyDescent="0.55000000000000004">
      <c r="A173" s="46" t="s">
        <v>767</v>
      </c>
      <c r="B173" s="50"/>
      <c r="C173" s="50"/>
      <c r="D173" s="50"/>
      <c r="E173" s="50"/>
      <c r="F173" s="51"/>
      <c r="G173" s="46" t="s">
        <v>236</v>
      </c>
      <c r="H173" s="48" t="s">
        <v>237</v>
      </c>
      <c r="I173" s="46"/>
      <c r="J173" s="49"/>
      <c r="K173" s="49"/>
      <c r="L173" s="49" t="str">
        <f t="shared" si="20"/>
        <v>지상국 통신 시간, S-band 하향 속도, 임무 데이터 용량</v>
      </c>
      <c r="M173" s="49" t="str">
        <f t="shared" si="21"/>
        <v>S-band 하향 데이터 가능 용량 (몇장/path)</v>
      </c>
    </row>
    <row r="174" spans="1:13" ht="38.6" x14ac:dyDescent="0.55000000000000004">
      <c r="A174" s="46" t="s">
        <v>768</v>
      </c>
      <c r="B174" s="50"/>
      <c r="C174" s="50"/>
      <c r="D174" s="50"/>
      <c r="E174" s="50"/>
      <c r="F174" s="47" t="s">
        <v>238</v>
      </c>
      <c r="G174" s="46" t="s">
        <v>239</v>
      </c>
      <c r="H174" s="48" t="s">
        <v>240</v>
      </c>
      <c r="I174" s="46"/>
      <c r="J174" s="49"/>
      <c r="K174" s="49"/>
      <c r="L174" s="49" t="str">
        <f t="shared" si="20"/>
        <v>GMAT, Matlab, 궤도 요소, 운동방정식</v>
      </c>
      <c r="M174" s="49" t="str">
        <f t="shared" si="21"/>
        <v>대기 저항&amp;유효 단면적에 따른 추락 시기, 자세 제어 오차</v>
      </c>
    </row>
    <row r="175" spans="1:13" ht="38.6" x14ac:dyDescent="0.55000000000000004">
      <c r="A175" s="46" t="s">
        <v>769</v>
      </c>
      <c r="B175" s="50"/>
      <c r="C175" s="50"/>
      <c r="D175" s="50"/>
      <c r="E175" s="50"/>
      <c r="F175" s="50"/>
      <c r="G175" s="46" t="s">
        <v>241</v>
      </c>
      <c r="H175" s="48" t="s">
        <v>242</v>
      </c>
      <c r="I175" s="46"/>
      <c r="J175" s="49"/>
      <c r="K175" s="49"/>
      <c r="L175" s="49" t="str">
        <f t="shared" si="20"/>
        <v>GMAT, Matlab, 궤도 요소</v>
      </c>
      <c r="M175" s="49" t="str">
        <f t="shared" si="21"/>
        <v>궤도 요소 변화 데이터, Beta angle</v>
      </c>
    </row>
    <row r="176" spans="1:13" ht="38.6" x14ac:dyDescent="0.55000000000000004">
      <c r="A176" s="46" t="s">
        <v>770</v>
      </c>
      <c r="B176" s="50"/>
      <c r="C176" s="50"/>
      <c r="D176" s="50"/>
      <c r="E176" s="51"/>
      <c r="F176" s="51"/>
      <c r="G176" s="46" t="s">
        <v>243</v>
      </c>
      <c r="H176" s="53" t="s">
        <v>244</v>
      </c>
      <c r="I176" s="46"/>
      <c r="J176" s="49"/>
      <c r="K176" s="49"/>
      <c r="L176" s="49" t="str">
        <f t="shared" si="20"/>
        <v>GMAT, Matlab, 섭동력 등등</v>
      </c>
      <c r="M176" s="49" t="str">
        <f t="shared" si="21"/>
        <v>자세 각운동량 누적량</v>
      </c>
    </row>
    <row r="177" spans="1:13" ht="38.6" x14ac:dyDescent="0.55000000000000004">
      <c r="A177" s="46" t="s">
        <v>771</v>
      </c>
      <c r="B177" s="50"/>
      <c r="C177" s="50"/>
      <c r="D177" s="50"/>
      <c r="E177" s="47" t="s">
        <v>245</v>
      </c>
      <c r="F177" s="46" t="s">
        <v>246</v>
      </c>
      <c r="G177" s="46"/>
      <c r="H177" s="48" t="s">
        <v>247</v>
      </c>
      <c r="I177" s="46"/>
      <c r="J177" s="49"/>
      <c r="K177" s="49"/>
      <c r="L177" s="49" t="str">
        <f t="shared" si="20"/>
        <v>REQ 표, 사용자요구조건 문서</v>
      </c>
      <c r="M177" s="49" t="str">
        <f t="shared" si="21"/>
        <v>큐브위성 운용 모드 문서_개념 정의</v>
      </c>
    </row>
    <row r="178" spans="1:13" ht="38.6" x14ac:dyDescent="0.55000000000000004">
      <c r="A178" s="46" t="s">
        <v>772</v>
      </c>
      <c r="B178" s="50"/>
      <c r="C178" s="50"/>
      <c r="D178" s="50"/>
      <c r="E178" s="50"/>
      <c r="F178" s="46" t="s">
        <v>248</v>
      </c>
      <c r="G178" s="46"/>
      <c r="H178" s="48" t="s">
        <v>249</v>
      </c>
      <c r="I178" s="46"/>
      <c r="J178" s="49"/>
      <c r="K178" s="49"/>
      <c r="L178" s="49" t="str">
        <f t="shared" si="20"/>
        <v>REQ 표, 사용자요구조건 문서</v>
      </c>
      <c r="M178" s="49" t="str">
        <f t="shared" si="21"/>
        <v>큐브위성 운용 모드 문서_Task 정의</v>
      </c>
    </row>
    <row r="179" spans="1:13" ht="38.6" x14ac:dyDescent="0.55000000000000004">
      <c r="A179" s="46" t="s">
        <v>773</v>
      </c>
      <c r="B179" s="50"/>
      <c r="C179" s="50"/>
      <c r="D179" s="50"/>
      <c r="E179" s="51"/>
      <c r="F179" s="46" t="s">
        <v>250</v>
      </c>
      <c r="G179" s="46"/>
      <c r="H179" s="48" t="s">
        <v>251</v>
      </c>
      <c r="I179" s="46"/>
      <c r="J179" s="49"/>
      <c r="K179" s="49"/>
      <c r="L179" s="49" t="str">
        <f t="shared" si="20"/>
        <v>큐브위성 운용 모드 문서</v>
      </c>
      <c r="M179" s="49" t="str">
        <f t="shared" si="21"/>
        <v>큐브위성 운용 모드 graph</v>
      </c>
    </row>
    <row r="180" spans="1:13" ht="38.6" x14ac:dyDescent="0.55000000000000004">
      <c r="A180" s="46" t="s">
        <v>774</v>
      </c>
      <c r="B180" s="50"/>
      <c r="C180" s="50"/>
      <c r="D180" s="50"/>
      <c r="E180" s="52" t="s">
        <v>252</v>
      </c>
      <c r="F180" s="46" t="s">
        <v>253</v>
      </c>
      <c r="G180" s="46"/>
      <c r="H180" s="48" t="s">
        <v>254</v>
      </c>
      <c r="I180" s="46"/>
      <c r="J180" s="49"/>
      <c r="K180" s="49"/>
      <c r="L180" s="49" t="str">
        <f t="shared" si="20"/>
        <v>REQ 표, 사용자요구조건 문서</v>
      </c>
      <c r="M180" s="49" t="str">
        <f t="shared" si="21"/>
        <v>큐브위성 임무 모드 문서_개념 정의</v>
      </c>
    </row>
    <row r="181" spans="1:13" ht="38.6" x14ac:dyDescent="0.55000000000000004">
      <c r="A181" s="46" t="s">
        <v>775</v>
      </c>
      <c r="B181" s="50"/>
      <c r="C181" s="50"/>
      <c r="D181" s="50"/>
      <c r="E181" s="50"/>
      <c r="F181" s="46" t="s">
        <v>255</v>
      </c>
      <c r="G181" s="46"/>
      <c r="H181" s="48" t="s">
        <v>256</v>
      </c>
      <c r="I181" s="46"/>
      <c r="J181" s="49"/>
      <c r="K181" s="49"/>
      <c r="L181" s="49" t="str">
        <f t="shared" si="20"/>
        <v>REQ 표, 사용자요구조건 문서</v>
      </c>
      <c r="M181" s="49" t="str">
        <f t="shared" si="21"/>
        <v>큐브위성 임무 모드 문서_Tak 정의</v>
      </c>
    </row>
    <row r="182" spans="1:13" ht="38.6" x14ac:dyDescent="0.55000000000000004">
      <c r="A182" s="46" t="s">
        <v>776</v>
      </c>
      <c r="B182" s="50"/>
      <c r="C182" s="50"/>
      <c r="D182" s="50"/>
      <c r="E182" s="50"/>
      <c r="F182" s="46" t="s">
        <v>257</v>
      </c>
      <c r="G182" s="46"/>
      <c r="H182" s="48" t="s">
        <v>258</v>
      </c>
      <c r="I182" s="46"/>
      <c r="J182" s="49"/>
      <c r="K182" s="49"/>
      <c r="L182" s="49" t="str">
        <f t="shared" si="20"/>
        <v>큐브위성 임무 모드 문서</v>
      </c>
      <c r="M182" s="49" t="str">
        <f t="shared" si="21"/>
        <v>큐브위성 임무 모드 graph</v>
      </c>
    </row>
    <row r="183" spans="1:13" ht="38.6" x14ac:dyDescent="0.55000000000000004">
      <c r="A183" s="46" t="s">
        <v>777</v>
      </c>
      <c r="B183" s="50"/>
      <c r="C183" s="50"/>
      <c r="D183" s="51"/>
      <c r="E183" s="51"/>
      <c r="F183" s="46" t="s">
        <v>259</v>
      </c>
      <c r="G183" s="46"/>
      <c r="H183" s="48" t="s">
        <v>260</v>
      </c>
      <c r="I183" s="46"/>
      <c r="J183" s="49"/>
      <c r="K183" s="49"/>
      <c r="L183" s="49" t="str">
        <f t="shared" si="20"/>
        <v>REQ 표, 사용자요구조건 문서</v>
      </c>
      <c r="M183" s="49" t="str">
        <f t="shared" si="21"/>
        <v>큐브위성 임무 모드 문서_Back-up 임무 모드 작성</v>
      </c>
    </row>
    <row r="184" spans="1:13" ht="38.6" x14ac:dyDescent="0.55000000000000004">
      <c r="A184" s="46" t="s">
        <v>778</v>
      </c>
      <c r="B184" s="50"/>
      <c r="C184" s="50"/>
      <c r="D184" s="47" t="s">
        <v>74</v>
      </c>
      <c r="E184" s="47" t="s">
        <v>335</v>
      </c>
      <c r="F184" s="47" t="s">
        <v>261</v>
      </c>
      <c r="G184" s="46" t="s">
        <v>262</v>
      </c>
      <c r="H184" s="48" t="s">
        <v>263</v>
      </c>
      <c r="I184" s="46"/>
      <c r="J184" s="49"/>
      <c r="K184" s="49"/>
      <c r="L184" s="49" t="str">
        <f t="shared" si="20"/>
        <v>제조사 별 사용 가능한 COTS list 및 spec.</v>
      </c>
      <c r="M184" s="49" t="str">
        <f t="shared" si="21"/>
        <v>각 서브시스템 데이터 처리용량, 처리 속도</v>
      </c>
    </row>
    <row r="185" spans="1:13" ht="38.6" x14ac:dyDescent="0.55000000000000004">
      <c r="A185" s="46" t="s">
        <v>779</v>
      </c>
      <c r="B185" s="50"/>
      <c r="C185" s="50"/>
      <c r="D185" s="50"/>
      <c r="E185" s="50"/>
      <c r="F185" s="50"/>
      <c r="G185" s="46" t="s">
        <v>264</v>
      </c>
      <c r="H185" s="48" t="s">
        <v>265</v>
      </c>
      <c r="I185" s="46"/>
      <c r="J185" s="49"/>
      <c r="K185" s="49"/>
      <c r="L185" s="49" t="str">
        <f t="shared" si="20"/>
        <v>각 서브시스템의 데이터 처리용량, 처리 속도</v>
      </c>
      <c r="M185" s="49" t="str">
        <f t="shared" si="21"/>
        <v>데이터 인터페이스 line  sheet</v>
      </c>
    </row>
    <row r="186" spans="1:13" ht="38.6" x14ac:dyDescent="0.55000000000000004">
      <c r="A186" s="46" t="s">
        <v>780</v>
      </c>
      <c r="B186" s="50"/>
      <c r="C186" s="50"/>
      <c r="D186" s="50"/>
      <c r="E186" s="50"/>
      <c r="F186" s="50"/>
      <c r="G186" s="46" t="s">
        <v>266</v>
      </c>
      <c r="H186" s="48" t="s">
        <v>267</v>
      </c>
      <c r="I186" s="46"/>
      <c r="J186" s="49"/>
      <c r="K186" s="49"/>
      <c r="L186" s="49" t="str">
        <f t="shared" si="20"/>
        <v>데이터 인터페이스 line sheet</v>
      </c>
      <c r="M186" s="49" t="str">
        <f t="shared" si="21"/>
        <v>최종 OBC 요구 조건, REQ Level 3, 4의 TBD 값</v>
      </c>
    </row>
    <row r="187" spans="1:13" ht="38.6" x14ac:dyDescent="0.55000000000000004">
      <c r="A187" s="46" t="s">
        <v>781</v>
      </c>
      <c r="B187" s="50"/>
      <c r="C187" s="50"/>
      <c r="D187" s="50"/>
      <c r="E187" s="50"/>
      <c r="F187" s="51"/>
      <c r="G187" s="46" t="s">
        <v>268</v>
      </c>
      <c r="H187" s="48" t="s">
        <v>269</v>
      </c>
      <c r="I187" s="46"/>
      <c r="J187" s="49"/>
      <c r="K187" s="49"/>
      <c r="L187" s="49" t="str">
        <f t="shared" si="20"/>
        <v>OBC 최종 spec , 우주부품 개발 프로세스</v>
      </c>
      <c r="M187" s="49" t="str">
        <f t="shared" si="21"/>
        <v>OBC 제작 가능 업체 list</v>
      </c>
    </row>
    <row r="188" spans="1:13" ht="38.6" x14ac:dyDescent="0.55000000000000004">
      <c r="A188" s="46" t="s">
        <v>782</v>
      </c>
      <c r="B188" s="50"/>
      <c r="C188" s="50"/>
      <c r="D188" s="50"/>
      <c r="E188" s="50"/>
      <c r="F188" s="47" t="s">
        <v>270</v>
      </c>
      <c r="G188" s="46" t="s">
        <v>271</v>
      </c>
      <c r="H188" s="53" t="s">
        <v>272</v>
      </c>
      <c r="I188" s="46"/>
      <c r="J188" s="49"/>
      <c r="K188" s="49"/>
      <c r="L188" s="49" t="str">
        <f t="shared" si="20"/>
        <v>최종 OBC 요구 조건</v>
      </c>
      <c r="M188" s="49" t="str">
        <f t="shared" si="21"/>
        <v>탑재컴퓨터 운영체재 (선택), 개발컴퓨터 운영 체제 (선택)</v>
      </c>
    </row>
    <row r="189" spans="1:13" ht="38.6" x14ac:dyDescent="0.55000000000000004">
      <c r="A189" s="46" t="s">
        <v>783</v>
      </c>
      <c r="B189" s="50"/>
      <c r="C189" s="50"/>
      <c r="D189" s="50"/>
      <c r="E189" s="50"/>
      <c r="F189" s="50"/>
      <c r="G189" s="46" t="s">
        <v>273</v>
      </c>
      <c r="H189" s="53" t="s">
        <v>274</v>
      </c>
      <c r="I189" s="46"/>
      <c r="J189" s="49"/>
      <c r="K189" s="49"/>
      <c r="L189" s="49" t="str">
        <f t="shared" si="20"/>
        <v>탑재컴퓨터 운영체재, 개발컴퓨터 운영 체제</v>
      </c>
      <c r="M189" s="49" t="str">
        <f t="shared" si="21"/>
        <v>FSW 어플리케이션</v>
      </c>
    </row>
    <row r="190" spans="1:13" ht="38.6" x14ac:dyDescent="0.55000000000000004">
      <c r="A190" s="46" t="s">
        <v>784</v>
      </c>
      <c r="B190" s="50"/>
      <c r="C190" s="50"/>
      <c r="D190" s="50"/>
      <c r="E190" s="50"/>
      <c r="F190" s="51"/>
      <c r="G190" s="46" t="s">
        <v>275</v>
      </c>
      <c r="H190" s="53" t="s">
        <v>276</v>
      </c>
      <c r="I190" s="46"/>
      <c r="J190" s="49"/>
      <c r="K190" s="49"/>
      <c r="L190" s="49" t="str">
        <f t="shared" si="20"/>
        <v>탑재컴퓨터 운영체재, 개발컴퓨터 운영 체제, 제조사 별 사용 가능한 COTS list 및 spec.</v>
      </c>
      <c r="M190" s="49" t="str">
        <f t="shared" si="21"/>
        <v>하드웨어 제어 모듈</v>
      </c>
    </row>
    <row r="191" spans="1:13" ht="38.6" x14ac:dyDescent="0.55000000000000004">
      <c r="A191" s="46" t="s">
        <v>785</v>
      </c>
      <c r="B191" s="50"/>
      <c r="C191" s="50"/>
      <c r="D191" s="50"/>
      <c r="E191" s="50"/>
      <c r="F191" s="47" t="s">
        <v>277</v>
      </c>
      <c r="G191" s="54" t="s">
        <v>278</v>
      </c>
      <c r="H191" s="53" t="s">
        <v>279</v>
      </c>
      <c r="I191" s="46"/>
      <c r="J191" s="49"/>
      <c r="K191" s="49"/>
      <c r="L191" s="49" t="str">
        <f t="shared" si="20"/>
        <v>큐브위성 운용 모드 graph, 큐브위성 임무 모드 graph</v>
      </c>
      <c r="M191" s="49" t="str">
        <f t="shared" si="21"/>
        <v>위성-지상간 통신 flowchart</v>
      </c>
    </row>
    <row r="192" spans="1:13" ht="38.6" x14ac:dyDescent="0.55000000000000004">
      <c r="A192" s="46" t="s">
        <v>786</v>
      </c>
      <c r="B192" s="50"/>
      <c r="C192" s="50"/>
      <c r="D192" s="50"/>
      <c r="E192" s="50"/>
      <c r="F192" s="50"/>
      <c r="G192" s="46" t="s">
        <v>280</v>
      </c>
      <c r="H192" s="53" t="s">
        <v>281</v>
      </c>
      <c r="I192" s="46"/>
      <c r="J192" s="49"/>
      <c r="K192" s="49"/>
      <c r="L192" s="49" t="str">
        <f t="shared" si="20"/>
        <v>위성-지상간 통신 flowchart</v>
      </c>
      <c r="M192" s="49" t="str">
        <f t="shared" si="21"/>
        <v>TMTC 데이터 핸들링 모듈</v>
      </c>
    </row>
    <row r="193" spans="1:13" ht="38.6" x14ac:dyDescent="0.55000000000000004">
      <c r="A193" s="46" t="s">
        <v>787</v>
      </c>
      <c r="B193" s="50"/>
      <c r="C193" s="50"/>
      <c r="D193" s="50"/>
      <c r="E193" s="51"/>
      <c r="F193" s="51"/>
      <c r="G193" s="54" t="s">
        <v>282</v>
      </c>
      <c r="H193" s="53" t="s">
        <v>283</v>
      </c>
      <c r="I193" s="46"/>
      <c r="J193" s="49"/>
      <c r="K193" s="49"/>
      <c r="L193" s="49" t="str">
        <f t="shared" si="20"/>
        <v>위성-지상간 통신 flowchart</v>
      </c>
      <c r="M193" s="49" t="str">
        <f t="shared" si="21"/>
        <v>GNC 데이터 핸들링 모듈</v>
      </c>
    </row>
    <row r="194" spans="1:13" ht="38.6" x14ac:dyDescent="0.55000000000000004">
      <c r="A194" s="46" t="s">
        <v>788</v>
      </c>
      <c r="B194" s="50"/>
      <c r="C194" s="50"/>
      <c r="D194" s="50"/>
      <c r="E194" s="47" t="s">
        <v>284</v>
      </c>
      <c r="F194" s="46" t="s">
        <v>285</v>
      </c>
      <c r="G194" s="46"/>
      <c r="H194" s="48" t="s">
        <v>286</v>
      </c>
      <c r="I194" s="46"/>
      <c r="J194" s="49"/>
      <c r="K194" s="49"/>
      <c r="L194" s="49" t="str">
        <f t="shared" si="20"/>
        <v>제조사 별 사용 가능한 COTS list 및 spec</v>
      </c>
      <c r="M194" s="49" t="str">
        <f t="shared" si="21"/>
        <v>Power Budget Analysis Excel sheet, Power Margin</v>
      </c>
    </row>
    <row r="195" spans="1:13" ht="38.6" x14ac:dyDescent="0.55000000000000004">
      <c r="A195" s="46" t="s">
        <v>789</v>
      </c>
      <c r="B195" s="50"/>
      <c r="C195" s="50"/>
      <c r="D195" s="50"/>
      <c r="E195" s="50"/>
      <c r="F195" s="46" t="s">
        <v>287</v>
      </c>
      <c r="G195" s="46"/>
      <c r="H195" s="48" t="s">
        <v>288</v>
      </c>
      <c r="I195" s="46"/>
      <c r="J195" s="49"/>
      <c r="K195" s="49"/>
      <c r="L195" s="49" t="str">
        <f t="shared" si="20"/>
        <v>Power Budget Analysis Excel sheet</v>
      </c>
      <c r="M195" s="49" t="str">
        <f t="shared" si="21"/>
        <v>최종 EPS 요구조건, REQ Level 3, 4의 TBD 값</v>
      </c>
    </row>
    <row r="196" spans="1:13" ht="38.6" x14ac:dyDescent="0.55000000000000004">
      <c r="A196" s="46" t="s">
        <v>790</v>
      </c>
      <c r="B196" s="50"/>
      <c r="C196" s="50"/>
      <c r="D196" s="50"/>
      <c r="E196" s="51"/>
      <c r="F196" s="46" t="s">
        <v>289</v>
      </c>
      <c r="G196" s="46"/>
      <c r="H196" s="48" t="s">
        <v>290</v>
      </c>
      <c r="I196" s="46"/>
      <c r="J196" s="49"/>
      <c r="K196" s="49"/>
      <c r="L196" s="49" t="str">
        <f t="shared" si="20"/>
        <v>각 서브시스템별 소비 전력 및 작동 주기 (요구/제한조건), EPS 최종 spec.</v>
      </c>
      <c r="M196" s="49" t="str">
        <f t="shared" si="21"/>
        <v>Power 인터페이스 line sheet</v>
      </c>
    </row>
    <row r="197" spans="1:13" ht="38.6" x14ac:dyDescent="0.55000000000000004">
      <c r="A197" s="46" t="s">
        <v>791</v>
      </c>
      <c r="B197" s="50"/>
      <c r="C197" s="50"/>
      <c r="D197" s="50"/>
      <c r="E197" s="47" t="s">
        <v>291</v>
      </c>
      <c r="F197" s="47" t="s">
        <v>292</v>
      </c>
      <c r="G197" s="46" t="s">
        <v>293</v>
      </c>
      <c r="H197" s="48" t="s">
        <v>294</v>
      </c>
      <c r="I197" s="46"/>
      <c r="J197" s="49"/>
      <c r="K197" s="49"/>
      <c r="L197" s="49" t="str">
        <f t="shared" si="20"/>
        <v>Cubespace 데이터 시트 및 정보</v>
      </c>
      <c r="M197" s="49" t="str">
        <f t="shared" si="21"/>
        <v>Cube 3-axis 자세 지향 모드 정리 자료</v>
      </c>
    </row>
    <row r="198" spans="1:13" ht="38.6" x14ac:dyDescent="0.55000000000000004">
      <c r="A198" s="46" t="s">
        <v>792</v>
      </c>
      <c r="B198" s="50"/>
      <c r="C198" s="50"/>
      <c r="D198" s="50"/>
      <c r="E198" s="50"/>
      <c r="F198" s="50"/>
      <c r="G198" s="46" t="s">
        <v>295</v>
      </c>
      <c r="H198" s="48" t="s">
        <v>296</v>
      </c>
      <c r="I198" s="46"/>
      <c r="J198" s="49"/>
      <c r="K198" s="49"/>
      <c r="L198" s="49" t="str">
        <f t="shared" si="20"/>
        <v>Cubee 3-axis 자세 지향 모드 정리 자료</v>
      </c>
      <c r="M198" s="49" t="str">
        <f t="shared" si="21"/>
        <v>모드별 자세/포인팅 상세 flowchart</v>
      </c>
    </row>
    <row r="199" spans="1:13" ht="38.6" x14ac:dyDescent="0.55000000000000004">
      <c r="A199" s="46" t="s">
        <v>793</v>
      </c>
      <c r="B199" s="50"/>
      <c r="C199" s="50"/>
      <c r="D199" s="50"/>
      <c r="E199" s="50"/>
      <c r="F199" s="51"/>
      <c r="G199" s="46" t="s">
        <v>297</v>
      </c>
      <c r="H199" s="48" t="s">
        <v>298</v>
      </c>
      <c r="I199" s="46"/>
      <c r="J199" s="49"/>
      <c r="K199" s="49"/>
      <c r="L199" s="49" t="str">
        <f t="shared" si="20"/>
        <v>모드별 자세/포인팅 상세 flowchart</v>
      </c>
      <c r="M199" s="49" t="str">
        <f t="shared" si="21"/>
        <v>자세/포인팅 검증 알고리즘</v>
      </c>
    </row>
    <row r="200" spans="1:13" ht="38.6" x14ac:dyDescent="0.55000000000000004">
      <c r="A200" s="46" t="s">
        <v>794</v>
      </c>
      <c r="B200" s="50"/>
      <c r="C200" s="50"/>
      <c r="D200" s="50"/>
      <c r="E200" s="50"/>
      <c r="F200" s="47" t="s">
        <v>299</v>
      </c>
      <c r="G200" s="46" t="s">
        <v>300</v>
      </c>
      <c r="H200" s="48" t="s">
        <v>301</v>
      </c>
      <c r="I200" s="46" t="s">
        <v>302</v>
      </c>
      <c r="J200" s="49"/>
      <c r="K200" s="49"/>
      <c r="L200" s="49" t="str">
        <f t="shared" si="20"/>
        <v>위성 동력학 모델링</v>
      </c>
      <c r="M200" s="49" t="str">
        <f t="shared" si="21"/>
        <v>위성 상태정보 생성</v>
      </c>
    </row>
    <row r="201" spans="1:13" ht="38.6" x14ac:dyDescent="0.55000000000000004">
      <c r="A201" s="46" t="s">
        <v>795</v>
      </c>
      <c r="B201" s="50"/>
      <c r="C201" s="50"/>
      <c r="D201" s="50"/>
      <c r="E201" s="51"/>
      <c r="F201" s="51"/>
      <c r="G201" s="46" t="s">
        <v>303</v>
      </c>
      <c r="H201" s="48" t="s">
        <v>304</v>
      </c>
      <c r="I201" s="46"/>
      <c r="J201" s="49"/>
      <c r="K201" s="49"/>
      <c r="L201" s="49" t="str">
        <f t="shared" si="20"/>
        <v>GPS 수신기</v>
      </c>
      <c r="M201" s="49" t="str">
        <f t="shared" si="21"/>
        <v>GPS 신호 모사 데이터 분석 결과</v>
      </c>
    </row>
    <row r="202" spans="1:13" ht="38.6" x14ac:dyDescent="0.55000000000000004">
      <c r="A202" s="46" t="s">
        <v>796</v>
      </c>
      <c r="B202" s="50"/>
      <c r="C202" s="50"/>
      <c r="D202" s="50"/>
      <c r="E202" s="47" t="s">
        <v>305</v>
      </c>
      <c r="F202" s="46" t="s">
        <v>306</v>
      </c>
      <c r="G202" s="46"/>
      <c r="H202" s="48" t="s">
        <v>307</v>
      </c>
      <c r="I202" s="46"/>
      <c r="J202" s="49"/>
      <c r="K202" s="49"/>
      <c r="L202" s="49" t="str">
        <f t="shared" si="20"/>
        <v>UHF 안테나 성능, elevation angle, 통신 속도, 데이터 용량</v>
      </c>
      <c r="M202" s="49" t="str">
        <f t="shared" si="21"/>
        <v>UHF Uplink 마진 Excel sheet</v>
      </c>
    </row>
    <row r="203" spans="1:13" ht="38.6" x14ac:dyDescent="0.55000000000000004">
      <c r="A203" s="46" t="s">
        <v>797</v>
      </c>
      <c r="B203" s="50"/>
      <c r="C203" s="50"/>
      <c r="D203" s="50"/>
      <c r="E203" s="50"/>
      <c r="F203" s="46" t="s">
        <v>308</v>
      </c>
      <c r="G203" s="46"/>
      <c r="H203" s="48" t="s">
        <v>309</v>
      </c>
      <c r="I203" s="46"/>
      <c r="J203" s="49"/>
      <c r="K203" s="49"/>
      <c r="L203" s="49" t="str">
        <f t="shared" si="20"/>
        <v>UHF 안테나 성능, elevation angle, 통신 속도, 데이터 용량</v>
      </c>
      <c r="M203" s="49" t="str">
        <f t="shared" si="21"/>
        <v>UHF Donwlink 마진 Excel sheet</v>
      </c>
    </row>
    <row r="204" spans="1:13" ht="38.6" x14ac:dyDescent="0.55000000000000004">
      <c r="A204" s="46" t="s">
        <v>798</v>
      </c>
      <c r="B204" s="50"/>
      <c r="C204" s="50"/>
      <c r="D204" s="50"/>
      <c r="E204" s="50"/>
      <c r="F204" s="46" t="s">
        <v>310</v>
      </c>
      <c r="G204" s="46"/>
      <c r="H204" s="48" t="s">
        <v>311</v>
      </c>
      <c r="I204" s="46"/>
      <c r="J204" s="49"/>
      <c r="K204" s="49"/>
      <c r="L204" s="49" t="str">
        <f t="shared" si="20"/>
        <v>S-band 안테나 성능, elevation angle, 통신 속도, 데이터 용량</v>
      </c>
      <c r="M204" s="49" t="str">
        <f t="shared" si="21"/>
        <v>S-band Uplink 마진 Excel sheet</v>
      </c>
    </row>
    <row r="205" spans="1:13" ht="38.6" x14ac:dyDescent="0.55000000000000004">
      <c r="A205" s="46" t="s">
        <v>799</v>
      </c>
      <c r="B205" s="50"/>
      <c r="C205" s="50"/>
      <c r="D205" s="50"/>
      <c r="E205" s="50"/>
      <c r="F205" s="46" t="s">
        <v>312</v>
      </c>
      <c r="G205" s="46"/>
      <c r="H205" s="48" t="s">
        <v>313</v>
      </c>
      <c r="I205" s="46"/>
      <c r="J205" s="49"/>
      <c r="K205" s="49"/>
      <c r="L205" s="49" t="str">
        <f t="shared" si="20"/>
        <v>S-band 안테나 성능, elevation angle, 통신 속도, 데이터 용량</v>
      </c>
      <c r="M205" s="49" t="str">
        <f t="shared" si="21"/>
        <v>S-band Donwlink 마진 Excel sheet</v>
      </c>
    </row>
    <row r="206" spans="1:13" ht="38.6" x14ac:dyDescent="0.55000000000000004">
      <c r="A206" s="46" t="s">
        <v>800</v>
      </c>
      <c r="B206" s="50"/>
      <c r="C206" s="50"/>
      <c r="D206" s="50"/>
      <c r="E206" s="50"/>
      <c r="F206" s="46" t="s">
        <v>314</v>
      </c>
      <c r="G206" s="46"/>
      <c r="H206" s="48" t="s">
        <v>315</v>
      </c>
      <c r="I206" s="46"/>
      <c r="J206" s="49"/>
      <c r="K206" s="49"/>
      <c r="L206" s="49" t="str">
        <f t="shared" si="20"/>
        <v>UHF 마진 Excel sheet</v>
      </c>
      <c r="M206" s="49" t="str">
        <f t="shared" si="21"/>
        <v>UHF 통신 요구조건, REQ Level 3, 4의 TBD 값</v>
      </c>
    </row>
    <row r="207" spans="1:13" ht="38.6" x14ac:dyDescent="0.55000000000000004">
      <c r="A207" s="46" t="s">
        <v>801</v>
      </c>
      <c r="B207" s="50"/>
      <c r="C207" s="50"/>
      <c r="D207" s="50"/>
      <c r="E207" s="51"/>
      <c r="F207" s="46" t="s">
        <v>316</v>
      </c>
      <c r="G207" s="46"/>
      <c r="H207" s="48" t="s">
        <v>317</v>
      </c>
      <c r="I207" s="46"/>
      <c r="J207" s="49"/>
      <c r="K207" s="49"/>
      <c r="L207" s="49" t="str">
        <f t="shared" si="20"/>
        <v>S-band 마진 Excel sheet</v>
      </c>
      <c r="M207" s="49" t="str">
        <f t="shared" si="21"/>
        <v>S-band 통신 요구조건, REQ Level 3, 4의 TBD 값</v>
      </c>
    </row>
    <row r="208" spans="1:13" ht="38.6" x14ac:dyDescent="0.55000000000000004">
      <c r="A208" s="46" t="s">
        <v>802</v>
      </c>
      <c r="B208" s="50"/>
      <c r="C208" s="50"/>
      <c r="D208" s="50"/>
      <c r="E208" s="47" t="s">
        <v>318</v>
      </c>
      <c r="F208" s="47" t="s">
        <v>319</v>
      </c>
      <c r="G208" s="46" t="s">
        <v>320</v>
      </c>
      <c r="H208" s="48" t="s">
        <v>321</v>
      </c>
      <c r="I208" s="46"/>
      <c r="J208" s="49"/>
      <c r="K208" s="49"/>
      <c r="L208" s="49" t="str">
        <f t="shared" si="20"/>
        <v>3D 모델링</v>
      </c>
      <c r="M208" s="49" t="str">
        <f t="shared" si="21"/>
        <v>3U 큐브위성 frame 형상 및 전체 형상</v>
      </c>
    </row>
    <row r="209" spans="1:13" ht="38.6" x14ac:dyDescent="0.55000000000000004">
      <c r="A209" s="46" t="s">
        <v>803</v>
      </c>
      <c r="B209" s="50"/>
      <c r="C209" s="50"/>
      <c r="D209" s="50"/>
      <c r="E209" s="50"/>
      <c r="F209" s="51"/>
      <c r="G209" s="46" t="s">
        <v>322</v>
      </c>
      <c r="H209" s="48" t="s">
        <v>323</v>
      </c>
      <c r="I209" s="46"/>
      <c r="J209" s="49"/>
      <c r="K209" s="49"/>
      <c r="L209" s="49" t="str">
        <f t="shared" si="20"/>
        <v>3D 모델링</v>
      </c>
      <c r="M209" s="49" t="str">
        <f t="shared" si="21"/>
        <v>3D 모델링 무게 중심</v>
      </c>
    </row>
    <row r="210" spans="1:13" ht="38.6" x14ac:dyDescent="0.55000000000000004">
      <c r="A210" s="46" t="s">
        <v>804</v>
      </c>
      <c r="B210" s="50"/>
      <c r="C210" s="50"/>
      <c r="D210" s="50"/>
      <c r="E210" s="50"/>
      <c r="F210" s="47" t="s">
        <v>324</v>
      </c>
      <c r="G210" s="46" t="s">
        <v>325</v>
      </c>
      <c r="H210" s="48" t="s">
        <v>326</v>
      </c>
      <c r="I210" s="46"/>
      <c r="J210" s="49"/>
      <c r="K210" s="49"/>
      <c r="L210" s="49" t="str">
        <f t="shared" si="20"/>
        <v>3D 모델링</v>
      </c>
      <c r="M210" s="49" t="str">
        <f t="shared" si="21"/>
        <v>열 해석을 위한 간소화된 3D 모델</v>
      </c>
    </row>
    <row r="211" spans="1:13" ht="38.6" x14ac:dyDescent="0.55000000000000004">
      <c r="A211" s="46" t="s">
        <v>805</v>
      </c>
      <c r="B211" s="50"/>
      <c r="C211" s="50"/>
      <c r="D211" s="50"/>
      <c r="E211" s="50"/>
      <c r="F211" s="51"/>
      <c r="G211" s="46" t="s">
        <v>327</v>
      </c>
      <c r="H211" s="48" t="s">
        <v>328</v>
      </c>
      <c r="I211" s="46"/>
      <c r="J211" s="49"/>
      <c r="K211" s="49"/>
      <c r="L211" s="49" t="str">
        <f t="shared" si="20"/>
        <v>해석적 열 전달 결과값, 간소화된 3D 모델, 열 해석 프로그램</v>
      </c>
      <c r="M211" s="49" t="str">
        <f t="shared" si="21"/>
        <v>열 전달 결과값</v>
      </c>
    </row>
    <row r="212" spans="1:13" ht="38.6" x14ac:dyDescent="0.55000000000000004">
      <c r="A212" s="46" t="s">
        <v>806</v>
      </c>
      <c r="B212" s="50"/>
      <c r="C212" s="50"/>
      <c r="D212" s="50"/>
      <c r="E212" s="50"/>
      <c r="F212" s="46" t="s">
        <v>329</v>
      </c>
      <c r="G212" s="46"/>
      <c r="H212" s="48" t="s">
        <v>330</v>
      </c>
      <c r="I212" s="46"/>
      <c r="J212" s="49"/>
      <c r="K212" s="49"/>
      <c r="L212" s="49" t="str">
        <f t="shared" si="20"/>
        <v>3D 모델링, 구속분리 설계 선행연구 조사</v>
      </c>
      <c r="M212" s="49" t="str">
        <f t="shared" si="21"/>
        <v>태양전지판 구속분리 장치 3D 모델</v>
      </c>
    </row>
    <row r="213" spans="1:13" ht="38.6" x14ac:dyDescent="0.55000000000000004">
      <c r="A213" s="46" t="s">
        <v>807</v>
      </c>
      <c r="B213" s="50"/>
      <c r="C213" s="50"/>
      <c r="D213" s="50"/>
      <c r="E213" s="50"/>
      <c r="F213" s="46" t="s">
        <v>331</v>
      </c>
      <c r="G213" s="46"/>
      <c r="H213" s="48" t="s">
        <v>332</v>
      </c>
      <c r="I213" s="46"/>
      <c r="J213" s="49"/>
      <c r="K213" s="49"/>
      <c r="L213" s="49" t="str">
        <f t="shared" si="20"/>
        <v>3D 모델링, 구속분리 설계 선행연구 조사</v>
      </c>
      <c r="M213" s="49" t="str">
        <f t="shared" si="21"/>
        <v>S-band 안테나 구속분리 장치 3D 모델</v>
      </c>
    </row>
    <row r="214" spans="1:13" ht="38.6" x14ac:dyDescent="0.55000000000000004">
      <c r="A214" s="46" t="s">
        <v>808</v>
      </c>
      <c r="B214" s="50"/>
      <c r="C214" s="50"/>
      <c r="D214" s="51"/>
      <c r="E214" s="51"/>
      <c r="F214" s="46" t="s">
        <v>333</v>
      </c>
      <c r="G214" s="46"/>
      <c r="H214" s="48" t="s">
        <v>334</v>
      </c>
      <c r="I214" s="46"/>
      <c r="J214" s="49"/>
      <c r="K214" s="49"/>
      <c r="L214" s="49" t="str">
        <f t="shared" si="20"/>
        <v>체결 부품 규격, 3D 모델링</v>
      </c>
      <c r="M214" s="49" t="str">
        <f t="shared" si="21"/>
        <v>사용될 체결 부품 list</v>
      </c>
    </row>
    <row r="215" spans="1:13" ht="38.6" x14ac:dyDescent="0.55000000000000004">
      <c r="A215" s="46" t="s">
        <v>809</v>
      </c>
      <c r="B215" s="50"/>
      <c r="C215" s="50"/>
      <c r="D215" s="47" t="s">
        <v>92</v>
      </c>
      <c r="E215" s="47" t="s">
        <v>335</v>
      </c>
      <c r="F215" s="47" t="s">
        <v>336</v>
      </c>
      <c r="G215" s="46" t="s">
        <v>337</v>
      </c>
      <c r="H215" s="48" t="s">
        <v>338</v>
      </c>
      <c r="I215" s="46"/>
      <c r="J215" s="49"/>
      <c r="K215" s="49"/>
      <c r="L215" s="49" t="str">
        <f t="shared" si="20"/>
        <v>최종 OBC 요구 조건, 데이터 인터페이스 line sheet</v>
      </c>
      <c r="M215" s="49" t="str">
        <f t="shared" si="21"/>
        <v>세분화된 데이터 인터페이스 line sheet</v>
      </c>
    </row>
    <row r="216" spans="1:13" ht="38.6" x14ac:dyDescent="0.55000000000000004">
      <c r="A216" s="46" t="s">
        <v>810</v>
      </c>
      <c r="B216" s="50"/>
      <c r="C216" s="50"/>
      <c r="D216" s="50"/>
      <c r="E216" s="50"/>
      <c r="F216" s="51"/>
      <c r="G216" s="46" t="s">
        <v>339</v>
      </c>
      <c r="H216" s="48" t="s">
        <v>340</v>
      </c>
      <c r="I216" s="46"/>
      <c r="J216" s="49"/>
      <c r="K216" s="49"/>
      <c r="L216" s="49" t="str">
        <f t="shared" si="20"/>
        <v>최종 OBC 요구 조건, 세분화된 데이터 인터페이스 line sheet, OBC 제작 가능 업체 list</v>
      </c>
      <c r="M216" s="49" t="str">
        <f t="shared" si="21"/>
        <v>OBC FM</v>
      </c>
    </row>
    <row r="217" spans="1:13" ht="38.6" x14ac:dyDescent="0.55000000000000004">
      <c r="A217" s="46" t="s">
        <v>811</v>
      </c>
      <c r="B217" s="50"/>
      <c r="C217" s="50"/>
      <c r="D217" s="50"/>
      <c r="E217" s="51"/>
      <c r="F217" s="46" t="s">
        <v>341</v>
      </c>
      <c r="G217" s="46"/>
      <c r="H217" s="48" t="s">
        <v>342</v>
      </c>
      <c r="I217" s="46"/>
      <c r="J217" s="49"/>
      <c r="K217" s="49"/>
      <c r="L217" s="49" t="str">
        <f t="shared" si="20"/>
        <v xml:space="preserve"> FSW 어플리케이션, 하드웨어 제어 모듈</v>
      </c>
      <c r="M217" s="49" t="str">
        <f t="shared" si="21"/>
        <v xml:space="preserve"> 비행소프트웨어</v>
      </c>
    </row>
    <row r="218" spans="1:13" ht="38.6" x14ac:dyDescent="0.55000000000000004">
      <c r="A218" s="46" t="s">
        <v>812</v>
      </c>
      <c r="B218" s="50"/>
      <c r="C218" s="50"/>
      <c r="D218" s="50"/>
      <c r="E218" s="47" t="s">
        <v>284</v>
      </c>
      <c r="F218" s="46" t="s">
        <v>343</v>
      </c>
      <c r="G218" s="46"/>
      <c r="H218" s="48" t="s">
        <v>344</v>
      </c>
      <c r="I218" s="46"/>
      <c r="J218" s="49"/>
      <c r="K218" s="49"/>
      <c r="L218" s="49" t="str">
        <f t="shared" ref="L218:L270" si="22">MID(H218,FIND("투입재료",H218)+6,FIND("결과물",H218)-FIND("투입재료",H218)-7)</f>
        <v>태양전지판 면적, 각 서브시스템별 소비 전력 및 작동 주기, EPS 최종 spec.</v>
      </c>
      <c r="M218" s="49" t="str">
        <f t="shared" ref="M218:M270" si="23">MID(H218,FIND("결과물",H218)+5,LEN(H218)-FIND("결과물",H218))</f>
        <v>에너지 균형 분석 결과</v>
      </c>
    </row>
    <row r="219" spans="1:13" ht="38.6" x14ac:dyDescent="0.55000000000000004">
      <c r="A219" s="46" t="s">
        <v>813</v>
      </c>
      <c r="B219" s="50"/>
      <c r="C219" s="50"/>
      <c r="D219" s="50"/>
      <c r="E219" s="51"/>
      <c r="F219" s="46" t="s">
        <v>345</v>
      </c>
      <c r="G219" s="46"/>
      <c r="H219" s="48" t="s">
        <v>346</v>
      </c>
      <c r="I219" s="46"/>
      <c r="J219" s="49"/>
      <c r="K219" s="49"/>
      <c r="L219" s="49" t="str">
        <f t="shared" si="22"/>
        <v>에너지 균형 분석 결과, Power 인터페이스 line sheet</v>
      </c>
      <c r="M219" s="49" t="str">
        <f t="shared" si="23"/>
        <v>세분화된 전원 인터페이스 line sheet</v>
      </c>
    </row>
    <row r="220" spans="1:13" ht="38.6" x14ac:dyDescent="0.55000000000000004">
      <c r="A220" s="46" t="s">
        <v>814</v>
      </c>
      <c r="B220" s="50"/>
      <c r="C220" s="50"/>
      <c r="D220" s="50"/>
      <c r="E220" s="47" t="s">
        <v>291</v>
      </c>
      <c r="F220" s="47" t="s">
        <v>292</v>
      </c>
      <c r="G220" s="46" t="s">
        <v>347</v>
      </c>
      <c r="H220" s="48" t="s">
        <v>348</v>
      </c>
      <c r="I220" s="46"/>
      <c r="J220" s="49"/>
      <c r="K220" s="49"/>
      <c r="L220" s="49" t="str">
        <f t="shared" si="22"/>
        <v>자세/포인팅 검증 알고리즘</v>
      </c>
      <c r="M220" s="49" t="str">
        <f t="shared" si="23"/>
        <v>자세/포인팅 분석 결과</v>
      </c>
    </row>
    <row r="221" spans="1:13" ht="38.6" x14ac:dyDescent="0.55000000000000004">
      <c r="A221" s="46" t="s">
        <v>815</v>
      </c>
      <c r="B221" s="50"/>
      <c r="C221" s="50"/>
      <c r="D221" s="50"/>
      <c r="E221" s="51"/>
      <c r="F221" s="51"/>
      <c r="G221" s="46" t="s">
        <v>349</v>
      </c>
      <c r="H221" s="48" t="s">
        <v>350</v>
      </c>
      <c r="I221" s="46"/>
      <c r="J221" s="49"/>
      <c r="K221" s="49"/>
      <c r="L221" s="49" t="str">
        <f t="shared" si="22"/>
        <v>자세/포인팅 분석 결과, 자세/포인팅 분석 공급 자료</v>
      </c>
      <c r="M221" s="49" t="str">
        <f t="shared" si="23"/>
        <v>자세/포인팅 분석 신뢰성 자료</v>
      </c>
    </row>
    <row r="222" spans="1:13" ht="38.6" x14ac:dyDescent="0.55000000000000004">
      <c r="A222" s="46" t="s">
        <v>816</v>
      </c>
      <c r="B222" s="50"/>
      <c r="C222" s="50"/>
      <c r="D222" s="50"/>
      <c r="E222" s="47" t="s">
        <v>318</v>
      </c>
      <c r="F222" s="47" t="s">
        <v>351</v>
      </c>
      <c r="G222" s="46" t="s">
        <v>352</v>
      </c>
      <c r="H222" s="48" t="s">
        <v>353</v>
      </c>
      <c r="I222" s="46"/>
      <c r="J222" s="49"/>
      <c r="K222" s="49"/>
      <c r="L222" s="49" t="str">
        <f t="shared" si="22"/>
        <v>3D 모델링</v>
      </c>
      <c r="M222" s="49" t="str">
        <f t="shared" si="23"/>
        <v>간소화된 3D 모델</v>
      </c>
    </row>
    <row r="223" spans="1:13" ht="38.6" x14ac:dyDescent="0.55000000000000004">
      <c r="A223" s="46" t="s">
        <v>817</v>
      </c>
      <c r="B223" s="50"/>
      <c r="C223" s="50"/>
      <c r="D223" s="50"/>
      <c r="E223" s="50"/>
      <c r="F223" s="51"/>
      <c r="G223" s="46" t="s">
        <v>354</v>
      </c>
      <c r="H223" s="48" t="s">
        <v>355</v>
      </c>
      <c r="I223" s="46"/>
      <c r="J223" s="49"/>
      <c r="K223" s="49"/>
      <c r="L223" s="49" t="str">
        <f t="shared" si="22"/>
        <v>해석적 진동 해석 결과, 간소화된 3D 모델</v>
      </c>
      <c r="M223" s="49" t="str">
        <f t="shared" si="23"/>
        <v>진동 해석 결과</v>
      </c>
    </row>
    <row r="224" spans="1:13" ht="38.6" x14ac:dyDescent="0.55000000000000004">
      <c r="A224" s="46" t="s">
        <v>818</v>
      </c>
      <c r="B224" s="50"/>
      <c r="C224" s="50"/>
      <c r="D224" s="50"/>
      <c r="E224" s="50"/>
      <c r="F224" s="47" t="s">
        <v>356</v>
      </c>
      <c r="G224" s="46" t="s">
        <v>352</v>
      </c>
      <c r="H224" s="48" t="s">
        <v>357</v>
      </c>
      <c r="I224" s="46"/>
      <c r="J224" s="49"/>
      <c r="K224" s="49"/>
      <c r="L224" s="49" t="str">
        <f t="shared" si="22"/>
        <v>3D 모델링</v>
      </c>
      <c r="M224" s="49" t="str">
        <f t="shared" si="23"/>
        <v>열 해석을 위한 간소화 3D 모델</v>
      </c>
    </row>
    <row r="225" spans="1:13" ht="38.6" x14ac:dyDescent="0.55000000000000004">
      <c r="A225" s="46" t="s">
        <v>819</v>
      </c>
      <c r="B225" s="50"/>
      <c r="C225" s="50"/>
      <c r="D225" s="50"/>
      <c r="E225" s="50"/>
      <c r="F225" s="51"/>
      <c r="G225" s="46" t="s">
        <v>358</v>
      </c>
      <c r="H225" s="48" t="s">
        <v>328</v>
      </c>
      <c r="I225" s="46"/>
      <c r="J225" s="49"/>
      <c r="K225" s="49"/>
      <c r="L225" s="49" t="str">
        <f t="shared" si="22"/>
        <v>해석적 열 전달 결과값, 간소화된 3D 모델, 열 해석 프로그램</v>
      </c>
      <c r="M225" s="49" t="str">
        <f t="shared" si="23"/>
        <v>열 전달 결과값</v>
      </c>
    </row>
    <row r="226" spans="1:13" ht="38.6" x14ac:dyDescent="0.55000000000000004">
      <c r="A226" s="46" t="s">
        <v>820</v>
      </c>
      <c r="B226" s="50"/>
      <c r="C226" s="50"/>
      <c r="D226" s="50"/>
      <c r="E226" s="50"/>
      <c r="F226" s="46" t="s">
        <v>359</v>
      </c>
      <c r="G226" s="46"/>
      <c r="H226" s="48" t="s">
        <v>360</v>
      </c>
      <c r="I226" s="46"/>
      <c r="J226" s="49"/>
      <c r="K226" s="49"/>
      <c r="L226" s="49" t="str">
        <f t="shared" si="22"/>
        <v>해석적 결과, 태양전지판 설계, S-band 안테나 설계</v>
      </c>
      <c r="M226" s="49" t="str">
        <f t="shared" si="23"/>
        <v>동력학 해석 결과</v>
      </c>
    </row>
    <row r="227" spans="1:13" ht="38.6" x14ac:dyDescent="0.55000000000000004">
      <c r="A227" s="46" t="s">
        <v>821</v>
      </c>
      <c r="B227" s="50"/>
      <c r="C227" s="50"/>
      <c r="D227" s="51"/>
      <c r="E227" s="51"/>
      <c r="F227" s="46" t="s">
        <v>361</v>
      </c>
      <c r="G227" s="46"/>
      <c r="H227" s="48" t="s">
        <v>362</v>
      </c>
      <c r="I227" s="46"/>
      <c r="J227" s="49"/>
      <c r="K227" s="49"/>
      <c r="L227" s="49" t="str">
        <f t="shared" si="22"/>
        <v>동력학 해석 결과</v>
      </c>
      <c r="M227" s="49" t="str">
        <f t="shared" si="23"/>
        <v>태양전지판 구속분리 설계 최종안, S-band 안테나 구속분리 설계 최종안</v>
      </c>
    </row>
    <row r="228" spans="1:13" ht="38.6" x14ac:dyDescent="0.55000000000000004">
      <c r="A228" s="46" t="s">
        <v>822</v>
      </c>
      <c r="B228" s="50"/>
      <c r="C228" s="50"/>
      <c r="D228" s="52" t="s">
        <v>363</v>
      </c>
      <c r="E228" s="46" t="s">
        <v>364</v>
      </c>
      <c r="F228" s="46" t="s">
        <v>365</v>
      </c>
      <c r="G228" s="46"/>
      <c r="H228" s="48" t="s">
        <v>366</v>
      </c>
      <c r="I228" s="46"/>
      <c r="J228" s="49"/>
      <c r="K228" s="49"/>
      <c r="L228" s="49" t="str">
        <f t="shared" si="22"/>
        <v>REQ 문서, 총 조립 및 정렬 매뉴얼</v>
      </c>
      <c r="M228" s="49" t="str">
        <f t="shared" si="23"/>
        <v>GSE (EGSE 및 MGSE 통합)</v>
      </c>
    </row>
    <row r="229" spans="1:13" ht="38.6" x14ac:dyDescent="0.55000000000000004">
      <c r="A229" s="46" t="s">
        <v>823</v>
      </c>
      <c r="B229" s="50"/>
      <c r="C229" s="50"/>
      <c r="D229" s="55"/>
      <c r="E229" s="47" t="s">
        <v>367</v>
      </c>
      <c r="F229" s="47" t="s">
        <v>368</v>
      </c>
      <c r="G229" s="46" t="s">
        <v>369</v>
      </c>
      <c r="H229" s="48" t="s">
        <v>370</v>
      </c>
      <c r="I229" s="46"/>
      <c r="J229" s="49"/>
      <c r="K229" s="49"/>
      <c r="L229" s="49" t="str">
        <f t="shared" si="22"/>
        <v>REQ 문서, FSW</v>
      </c>
      <c r="M229" s="49" t="str">
        <f t="shared" si="23"/>
        <v>OBC 인터페이스 시험 절차서, S/W</v>
      </c>
    </row>
    <row r="230" spans="1:13" ht="38.6" x14ac:dyDescent="0.55000000000000004">
      <c r="A230" s="46" t="s">
        <v>824</v>
      </c>
      <c r="B230" s="50"/>
      <c r="C230" s="50"/>
      <c r="D230" s="55"/>
      <c r="E230" s="50"/>
      <c r="F230" s="50"/>
      <c r="G230" s="46" t="s">
        <v>371</v>
      </c>
      <c r="H230" s="48" t="s">
        <v>372</v>
      </c>
      <c r="I230" s="46"/>
      <c r="J230" s="49"/>
      <c r="K230" s="49"/>
      <c r="L230" s="49" t="str">
        <f t="shared" si="22"/>
        <v>OBC 인터페이스 시험 절차서</v>
      </c>
      <c r="M230" s="49" t="str">
        <f t="shared" si="23"/>
        <v>OBC 인터페이스 시험 물품 list</v>
      </c>
    </row>
    <row r="231" spans="1:13" ht="38.6" x14ac:dyDescent="0.55000000000000004">
      <c r="A231" s="46" t="s">
        <v>825</v>
      </c>
      <c r="B231" s="50"/>
      <c r="C231" s="50"/>
      <c r="D231" s="55"/>
      <c r="E231" s="50"/>
      <c r="F231" s="51"/>
      <c r="G231" s="46" t="s">
        <v>373</v>
      </c>
      <c r="H231" s="48" t="s">
        <v>374</v>
      </c>
      <c r="I231" s="46"/>
      <c r="J231" s="49"/>
      <c r="K231" s="49"/>
      <c r="L231" s="49" t="str">
        <f t="shared" si="22"/>
        <v>OBC 인터페이스 시험 절차서, S/W</v>
      </c>
      <c r="M231" s="49" t="str">
        <f t="shared" si="23"/>
        <v>OBC FM</v>
      </c>
    </row>
    <row r="232" spans="1:13" ht="38.6" x14ac:dyDescent="0.55000000000000004">
      <c r="A232" s="46" t="s">
        <v>826</v>
      </c>
      <c r="B232" s="50"/>
      <c r="C232" s="50"/>
      <c r="D232" s="55"/>
      <c r="E232" s="50"/>
      <c r="F232" s="54" t="s">
        <v>375</v>
      </c>
      <c r="G232" s="46"/>
      <c r="H232" s="48" t="s">
        <v>376</v>
      </c>
      <c r="I232" s="46"/>
      <c r="J232" s="49"/>
      <c r="K232" s="49"/>
      <c r="L232" s="49" t="str">
        <f t="shared" si="22"/>
        <v xml:space="preserve">EGSE, OBC FM, OBC 인터페이스 시험 절차서, </v>
      </c>
      <c r="M232" s="49" t="str">
        <f t="shared" si="23"/>
        <v xml:space="preserve">ETB 시험 </v>
      </c>
    </row>
    <row r="233" spans="1:13" ht="38.6" x14ac:dyDescent="0.55000000000000004">
      <c r="A233" s="46" t="s">
        <v>827</v>
      </c>
      <c r="B233" s="50"/>
      <c r="C233" s="50"/>
      <c r="D233" s="55"/>
      <c r="E233" s="50"/>
      <c r="F233" s="54" t="s">
        <v>377</v>
      </c>
      <c r="G233" s="46"/>
      <c r="H233" s="48" t="s">
        <v>378</v>
      </c>
      <c r="I233" s="46"/>
      <c r="J233" s="49"/>
      <c r="K233" s="49"/>
      <c r="L233" s="49" t="str">
        <f t="shared" si="22"/>
        <v>ETB 시험</v>
      </c>
      <c r="M233" s="49" t="str">
        <f t="shared" si="23"/>
        <v>ETB 보고서</v>
      </c>
    </row>
    <row r="234" spans="1:13" ht="38.6" x14ac:dyDescent="0.55000000000000004">
      <c r="A234" s="46" t="s">
        <v>828</v>
      </c>
      <c r="B234" s="50"/>
      <c r="C234" s="50"/>
      <c r="D234" s="55"/>
      <c r="E234" s="51"/>
      <c r="F234" s="46" t="s">
        <v>379</v>
      </c>
      <c r="G234" s="46"/>
      <c r="H234" s="48" t="s">
        <v>380</v>
      </c>
      <c r="I234" s="46"/>
      <c r="J234" s="49"/>
      <c r="K234" s="49"/>
      <c r="L234" s="49" t="str">
        <f t="shared" si="22"/>
        <v>REQ 문서</v>
      </c>
      <c r="M234" s="49" t="str">
        <f t="shared" si="23"/>
        <v>우주환경 시험 후 3U 큐브위성 기능 검증 절차서</v>
      </c>
    </row>
    <row r="235" spans="1:13" ht="38.6" x14ac:dyDescent="0.55000000000000004">
      <c r="A235" s="46" t="s">
        <v>829</v>
      </c>
      <c r="B235" s="50"/>
      <c r="C235" s="50"/>
      <c r="D235" s="55"/>
      <c r="E235" s="47" t="s">
        <v>381</v>
      </c>
      <c r="F235" s="47" t="s">
        <v>382</v>
      </c>
      <c r="G235" s="46" t="s">
        <v>383</v>
      </c>
      <c r="H235" s="48" t="s">
        <v>384</v>
      </c>
      <c r="I235" s="46"/>
      <c r="J235" s="49"/>
      <c r="K235" s="49"/>
      <c r="L235" s="49" t="str">
        <f t="shared" si="22"/>
        <v>REQ 문서</v>
      </c>
      <c r="M235" s="49" t="str">
        <f t="shared" si="23"/>
        <v>전원 인터페이스 시험 절차서</v>
      </c>
    </row>
    <row r="236" spans="1:13" ht="38.6" x14ac:dyDescent="0.55000000000000004">
      <c r="A236" s="46" t="s">
        <v>830</v>
      </c>
      <c r="B236" s="50"/>
      <c r="C236" s="50"/>
      <c r="D236" s="55"/>
      <c r="E236" s="50"/>
      <c r="F236" s="51"/>
      <c r="G236" s="46" t="s">
        <v>385</v>
      </c>
      <c r="H236" s="48" t="s">
        <v>386</v>
      </c>
      <c r="I236" s="46"/>
      <c r="J236" s="49"/>
      <c r="K236" s="49"/>
      <c r="L236" s="49" t="str">
        <f t="shared" si="22"/>
        <v>전원 인터페이스 시험 절차서</v>
      </c>
      <c r="M236" s="49" t="str">
        <f t="shared" si="23"/>
        <v>전원 인터페이스 시험 부품 list</v>
      </c>
    </row>
    <row r="237" spans="1:13" ht="38.6" x14ac:dyDescent="0.55000000000000004">
      <c r="A237" s="46" t="s">
        <v>831</v>
      </c>
      <c r="B237" s="50"/>
      <c r="C237" s="50"/>
      <c r="D237" s="55"/>
      <c r="E237" s="50"/>
      <c r="F237" s="54" t="s">
        <v>375</v>
      </c>
      <c r="G237" s="46"/>
      <c r="H237" s="48" t="s">
        <v>387</v>
      </c>
      <c r="I237" s="46"/>
      <c r="J237" s="49"/>
      <c r="K237" s="49"/>
      <c r="L237" s="49" t="str">
        <f t="shared" si="22"/>
        <v>EGSE, EPS FM, 전원 인터페이스 시험 절차서</v>
      </c>
      <c r="M237" s="49" t="str">
        <f t="shared" si="23"/>
        <v xml:space="preserve">ETB 시험 </v>
      </c>
    </row>
    <row r="238" spans="1:13" ht="38.6" x14ac:dyDescent="0.55000000000000004">
      <c r="A238" s="46" t="s">
        <v>832</v>
      </c>
      <c r="B238" s="50"/>
      <c r="C238" s="50"/>
      <c r="D238" s="55"/>
      <c r="E238" s="50"/>
      <c r="F238" s="54" t="s">
        <v>377</v>
      </c>
      <c r="G238" s="46"/>
      <c r="H238" s="48" t="s">
        <v>378</v>
      </c>
      <c r="I238" s="46"/>
      <c r="J238" s="49"/>
      <c r="K238" s="49"/>
      <c r="L238" s="49" t="str">
        <f t="shared" si="22"/>
        <v>ETB 시험</v>
      </c>
      <c r="M238" s="49" t="str">
        <f t="shared" si="23"/>
        <v>ETB 보고서</v>
      </c>
    </row>
    <row r="239" spans="1:13" ht="38.6" x14ac:dyDescent="0.55000000000000004">
      <c r="A239" s="46" t="s">
        <v>833</v>
      </c>
      <c r="B239" s="50"/>
      <c r="C239" s="50"/>
      <c r="D239" s="55"/>
      <c r="E239" s="51"/>
      <c r="F239" s="46" t="s">
        <v>388</v>
      </c>
      <c r="G239" s="46"/>
      <c r="H239" s="48" t="s">
        <v>380</v>
      </c>
      <c r="I239" s="46"/>
      <c r="J239" s="49"/>
      <c r="K239" s="49"/>
      <c r="L239" s="49" t="str">
        <f t="shared" si="22"/>
        <v>REQ 문서</v>
      </c>
      <c r="M239" s="49" t="str">
        <f t="shared" si="23"/>
        <v>우주환경 시험 후 3U 큐브위성 기능 검증 절차서</v>
      </c>
    </row>
    <row r="240" spans="1:13" ht="38.6" x14ac:dyDescent="0.55000000000000004">
      <c r="A240" s="46" t="s">
        <v>834</v>
      </c>
      <c r="B240" s="50"/>
      <c r="C240" s="50"/>
      <c r="D240" s="55"/>
      <c r="E240" s="47" t="s">
        <v>389</v>
      </c>
      <c r="F240" s="47" t="s">
        <v>390</v>
      </c>
      <c r="G240" s="46" t="s">
        <v>391</v>
      </c>
      <c r="H240" s="48" t="s">
        <v>392</v>
      </c>
      <c r="I240" s="46"/>
      <c r="J240" s="49"/>
      <c r="K240" s="49"/>
      <c r="L240" s="49" t="str">
        <f t="shared" si="22"/>
        <v>전파 규정 조사</v>
      </c>
      <c r="M240" s="49" t="str">
        <f t="shared" si="23"/>
        <v>전파 규정</v>
      </c>
    </row>
    <row r="241" spans="1:13" ht="38.6" x14ac:dyDescent="0.55000000000000004">
      <c r="A241" s="46" t="s">
        <v>835</v>
      </c>
      <c r="B241" s="50"/>
      <c r="C241" s="50"/>
      <c r="D241" s="55"/>
      <c r="E241" s="50"/>
      <c r="F241" s="51"/>
      <c r="G241" s="46" t="s">
        <v>393</v>
      </c>
      <c r="H241" s="48" t="s">
        <v>394</v>
      </c>
      <c r="I241" s="46"/>
      <c r="J241" s="49"/>
      <c r="K241" s="49"/>
      <c r="L241" s="49" t="str">
        <f t="shared" si="22"/>
        <v>시험환경 조사, REQ 문서</v>
      </c>
      <c r="M241" s="49" t="str">
        <f t="shared" si="23"/>
        <v>시험 장소, 옥외 RF 통신 시험 절차서 작성</v>
      </c>
    </row>
    <row r="242" spans="1:13" ht="38.6" x14ac:dyDescent="0.55000000000000004">
      <c r="A242" s="46" t="s">
        <v>836</v>
      </c>
      <c r="B242" s="50"/>
      <c r="C242" s="50"/>
      <c r="D242" s="55"/>
      <c r="E242" s="50"/>
      <c r="F242" s="54" t="s">
        <v>395</v>
      </c>
      <c r="G242" s="46"/>
      <c r="H242" s="48" t="s">
        <v>396</v>
      </c>
      <c r="I242" s="46"/>
      <c r="J242" s="49"/>
      <c r="K242" s="49"/>
      <c r="L242" s="49" t="str">
        <f t="shared" si="22"/>
        <v>시험 장소, 옥외 RF 통신 시험 절차서 작성, 통신시험 장비</v>
      </c>
      <c r="M242" s="49" t="str">
        <f t="shared" si="23"/>
        <v>옥외 RF 통신 시험</v>
      </c>
    </row>
    <row r="243" spans="1:13" ht="38.6" x14ac:dyDescent="0.55000000000000004">
      <c r="A243" s="46" t="s">
        <v>837</v>
      </c>
      <c r="B243" s="50"/>
      <c r="C243" s="50"/>
      <c r="D243" s="55"/>
      <c r="E243" s="50"/>
      <c r="F243" s="54" t="s">
        <v>397</v>
      </c>
      <c r="G243" s="46"/>
      <c r="H243" s="48" t="s">
        <v>398</v>
      </c>
      <c r="I243" s="46"/>
      <c r="J243" s="49"/>
      <c r="K243" s="49"/>
      <c r="L243" s="49" t="str">
        <f t="shared" si="22"/>
        <v>옥외 RF 통신 시험</v>
      </c>
      <c r="M243" s="49" t="str">
        <f t="shared" si="23"/>
        <v>옥외 RF 통신 시험 보고서</v>
      </c>
    </row>
    <row r="244" spans="1:13" ht="38.6" x14ac:dyDescent="0.55000000000000004">
      <c r="A244" s="46" t="s">
        <v>838</v>
      </c>
      <c r="B244" s="50"/>
      <c r="C244" s="50"/>
      <c r="D244" s="55"/>
      <c r="E244" s="50"/>
      <c r="F244" s="47" t="s">
        <v>399</v>
      </c>
      <c r="G244" s="46" t="s">
        <v>400</v>
      </c>
      <c r="H244" s="48" t="s">
        <v>401</v>
      </c>
      <c r="I244" s="46"/>
      <c r="J244" s="49"/>
      <c r="K244" s="49"/>
      <c r="L244" s="49" t="str">
        <f t="shared" si="22"/>
        <v>운용 모드 graph, REQ 문서</v>
      </c>
      <c r="M244" s="49" t="str">
        <f t="shared" si="23"/>
        <v>End to End 시험 절차서 작성</v>
      </c>
    </row>
    <row r="245" spans="1:13" ht="38.6" x14ac:dyDescent="0.55000000000000004">
      <c r="A245" s="46" t="s">
        <v>839</v>
      </c>
      <c r="B245" s="50"/>
      <c r="C245" s="50"/>
      <c r="D245" s="55"/>
      <c r="E245" s="50"/>
      <c r="F245" s="50"/>
      <c r="G245" s="46" t="s">
        <v>402</v>
      </c>
      <c r="H245" s="48" t="s">
        <v>403</v>
      </c>
      <c r="I245" s="46"/>
      <c r="J245" s="49"/>
      <c r="K245" s="49"/>
      <c r="L245" s="49" t="str">
        <f t="shared" si="22"/>
        <v>End to End 시험 절차서</v>
      </c>
      <c r="M245" s="49" t="str">
        <f t="shared" si="23"/>
        <v>End to End 시험 물품 list</v>
      </c>
    </row>
    <row r="246" spans="1:13" ht="38.6" x14ac:dyDescent="0.55000000000000004">
      <c r="A246" s="46" t="s">
        <v>840</v>
      </c>
      <c r="B246" s="50"/>
      <c r="C246" s="50"/>
      <c r="D246" s="55"/>
      <c r="E246" s="50"/>
      <c r="F246" s="50"/>
      <c r="G246" s="46" t="s">
        <v>404</v>
      </c>
      <c r="H246" s="48" t="s">
        <v>405</v>
      </c>
      <c r="I246" s="46"/>
      <c r="J246" s="49"/>
      <c r="K246" s="49"/>
      <c r="L246" s="49" t="str">
        <f t="shared" si="22"/>
        <v>End to End 시험 절차서</v>
      </c>
      <c r="M246" s="49" t="str">
        <f t="shared" si="23"/>
        <v>End to End 운용 알고리즘</v>
      </c>
    </row>
    <row r="247" spans="1:13" ht="38.6" x14ac:dyDescent="0.55000000000000004">
      <c r="A247" s="46" t="s">
        <v>841</v>
      </c>
      <c r="B247" s="50"/>
      <c r="C247" s="50"/>
      <c r="D247" s="55"/>
      <c r="E247" s="50"/>
      <c r="F247" s="51"/>
      <c r="G247" s="46" t="s">
        <v>406</v>
      </c>
      <c r="H247" s="48" t="s">
        <v>407</v>
      </c>
      <c r="I247" s="46"/>
      <c r="J247" s="49"/>
      <c r="K247" s="49"/>
      <c r="L247" s="49" t="str">
        <f t="shared" si="22"/>
        <v>End to End 시험 절차서</v>
      </c>
      <c r="M247" s="49" t="str">
        <f t="shared" si="23"/>
        <v>지상관제 시스템</v>
      </c>
    </row>
    <row r="248" spans="1:13" ht="38.6" x14ac:dyDescent="0.55000000000000004">
      <c r="A248" s="46" t="s">
        <v>842</v>
      </c>
      <c r="B248" s="50"/>
      <c r="C248" s="50"/>
      <c r="D248" s="55"/>
      <c r="E248" s="50"/>
      <c r="F248" s="46" t="s">
        <v>408</v>
      </c>
      <c r="G248" s="46"/>
      <c r="H248" s="48" t="s">
        <v>409</v>
      </c>
      <c r="I248" s="46"/>
      <c r="J248" s="49"/>
      <c r="K248" s="49"/>
      <c r="L248" s="49" t="str">
        <f t="shared" si="22"/>
        <v>End to End 시험 절차서, EGSE, OBC FM, 지상관제 시스템, 통신시험 장비</v>
      </c>
      <c r="M248" s="49" t="str">
        <f t="shared" si="23"/>
        <v>End to End 시험</v>
      </c>
    </row>
    <row r="249" spans="1:13" ht="38.6" x14ac:dyDescent="0.55000000000000004">
      <c r="A249" s="46" t="s">
        <v>843</v>
      </c>
      <c r="B249" s="50"/>
      <c r="C249" s="50"/>
      <c r="D249" s="55"/>
      <c r="E249" s="51"/>
      <c r="F249" s="46" t="s">
        <v>410</v>
      </c>
      <c r="G249" s="46"/>
      <c r="H249" s="48" t="s">
        <v>411</v>
      </c>
      <c r="I249" s="46"/>
      <c r="J249" s="49"/>
      <c r="K249" s="49"/>
      <c r="L249" s="49" t="str">
        <f t="shared" si="22"/>
        <v>End to End 시험 결과</v>
      </c>
      <c r="M249" s="49" t="str">
        <f t="shared" si="23"/>
        <v>End to End 시험 보고서</v>
      </c>
    </row>
    <row r="250" spans="1:13" ht="38.6" x14ac:dyDescent="0.55000000000000004">
      <c r="A250" s="46" t="s">
        <v>844</v>
      </c>
      <c r="B250" s="50"/>
      <c r="C250" s="50"/>
      <c r="D250" s="55"/>
      <c r="E250" s="47" t="s">
        <v>412</v>
      </c>
      <c r="F250" s="47" t="s">
        <v>413</v>
      </c>
      <c r="G250" s="46" t="s">
        <v>414</v>
      </c>
      <c r="H250" s="48" t="s">
        <v>415</v>
      </c>
      <c r="I250" s="46"/>
      <c r="J250" s="49"/>
      <c r="K250" s="49"/>
      <c r="L250" s="49" t="str">
        <f t="shared" si="22"/>
        <v>사용될 체결 부품, 측정공구</v>
      </c>
      <c r="M250" s="49" t="str">
        <f t="shared" si="23"/>
        <v>총 조립 및 정렬 매뉴얼 작성</v>
      </c>
    </row>
    <row r="251" spans="1:13" ht="38.6" x14ac:dyDescent="0.55000000000000004">
      <c r="A251" s="46" t="s">
        <v>845</v>
      </c>
      <c r="B251" s="50"/>
      <c r="C251" s="50"/>
      <c r="D251" s="55"/>
      <c r="E251" s="50"/>
      <c r="F251" s="51"/>
      <c r="G251" s="46" t="s">
        <v>416</v>
      </c>
      <c r="H251" s="48" t="s">
        <v>417</v>
      </c>
      <c r="I251" s="46"/>
      <c r="J251" s="49"/>
      <c r="K251" s="49"/>
      <c r="L251" s="49" t="str">
        <f t="shared" si="22"/>
        <v>총 조립 및 정렬 매뉴얼</v>
      </c>
      <c r="M251" s="49" t="str">
        <f t="shared" si="23"/>
        <v>위성체 조립을 위한 물품 list</v>
      </c>
    </row>
    <row r="252" spans="1:13" ht="38.6" x14ac:dyDescent="0.55000000000000004">
      <c r="A252" s="46" t="s">
        <v>846</v>
      </c>
      <c r="B252" s="50"/>
      <c r="C252" s="50"/>
      <c r="D252" s="55"/>
      <c r="E252" s="50"/>
      <c r="F252" s="46" t="s">
        <v>418</v>
      </c>
      <c r="G252" s="46"/>
      <c r="H252" s="48" t="s">
        <v>419</v>
      </c>
      <c r="I252" s="46"/>
      <c r="J252" s="49"/>
      <c r="K252" s="49"/>
      <c r="L252" s="49" t="str">
        <f t="shared" si="22"/>
        <v>총 조립 및 정렬 매뉴얼, 열해석 결과, 진동해석 결과 등등</v>
      </c>
      <c r="M252" s="49" t="str">
        <f t="shared" si="23"/>
        <v>우주환경 시험 후 3U 큐브위성 기능 검증 절차서</v>
      </c>
    </row>
    <row r="253" spans="1:13" ht="38.6" x14ac:dyDescent="0.55000000000000004">
      <c r="A253" s="46" t="s">
        <v>847</v>
      </c>
      <c r="B253" s="50"/>
      <c r="C253" s="50"/>
      <c r="D253" s="56"/>
      <c r="E253" s="51"/>
      <c r="F253" s="46" t="s">
        <v>420</v>
      </c>
      <c r="G253" s="46"/>
      <c r="H253" s="48" t="s">
        <v>421</v>
      </c>
      <c r="I253" s="46"/>
      <c r="J253" s="49"/>
      <c r="K253" s="49"/>
      <c r="L253" s="49" t="str">
        <f t="shared" si="22"/>
        <v>총 조립 및 정렬 매뉴얼</v>
      </c>
      <c r="M253" s="49" t="str">
        <f t="shared" si="23"/>
        <v>3U 큐브위성 FM</v>
      </c>
    </row>
    <row r="254" spans="1:13" ht="38.6" x14ac:dyDescent="0.55000000000000004">
      <c r="A254" s="46" t="s">
        <v>848</v>
      </c>
      <c r="B254" s="50"/>
      <c r="C254" s="50"/>
      <c r="D254" s="47" t="s">
        <v>111</v>
      </c>
      <c r="E254" s="47" t="s">
        <v>422</v>
      </c>
      <c r="F254" s="46" t="s">
        <v>423</v>
      </c>
      <c r="G254" s="46"/>
      <c r="H254" s="48" t="s">
        <v>424</v>
      </c>
      <c r="I254" s="46"/>
      <c r="J254" s="49"/>
      <c r="K254" s="49"/>
      <c r="L254" s="49" t="str">
        <f t="shared" si="22"/>
        <v>진동시험 장비, FM, REQ 문서</v>
      </c>
      <c r="M254" s="49" t="str">
        <f t="shared" si="23"/>
        <v>진동 시험 성적서</v>
      </c>
    </row>
    <row r="255" spans="1:13" ht="38.6" x14ac:dyDescent="0.55000000000000004">
      <c r="A255" s="46" t="s">
        <v>849</v>
      </c>
      <c r="B255" s="50"/>
      <c r="C255" s="50"/>
      <c r="D255" s="50"/>
      <c r="E255" s="50"/>
      <c r="F255" s="46" t="s">
        <v>425</v>
      </c>
      <c r="G255" s="46"/>
      <c r="H255" s="48" t="s">
        <v>424</v>
      </c>
      <c r="I255" s="46"/>
      <c r="J255" s="49"/>
      <c r="K255" s="49"/>
      <c r="L255" s="49" t="str">
        <f t="shared" si="22"/>
        <v>진동시험 장비, FM, REQ 문서</v>
      </c>
      <c r="M255" s="49" t="str">
        <f t="shared" si="23"/>
        <v>진동 시험 성적서</v>
      </c>
    </row>
    <row r="256" spans="1:13" ht="38.6" x14ac:dyDescent="0.55000000000000004">
      <c r="A256" s="46" t="s">
        <v>850</v>
      </c>
      <c r="B256" s="50"/>
      <c r="C256" s="50"/>
      <c r="D256" s="50"/>
      <c r="E256" s="51"/>
      <c r="F256" s="46" t="s">
        <v>426</v>
      </c>
      <c r="G256" s="46"/>
      <c r="H256" s="48" t="s">
        <v>424</v>
      </c>
      <c r="I256" s="46"/>
      <c r="J256" s="49"/>
      <c r="K256" s="49"/>
      <c r="L256" s="49" t="str">
        <f t="shared" si="22"/>
        <v>진동시험 장비, FM, REQ 문서</v>
      </c>
      <c r="M256" s="49" t="str">
        <f t="shared" si="23"/>
        <v>진동 시험 성적서</v>
      </c>
    </row>
    <row r="257" spans="1:13" ht="38.6" x14ac:dyDescent="0.55000000000000004">
      <c r="A257" s="46" t="s">
        <v>851</v>
      </c>
      <c r="B257" s="50"/>
      <c r="C257" s="50"/>
      <c r="D257" s="50"/>
      <c r="E257" s="47" t="s">
        <v>427</v>
      </c>
      <c r="F257" s="46" t="s">
        <v>428</v>
      </c>
      <c r="G257" s="46"/>
      <c r="H257" s="48" t="s">
        <v>429</v>
      </c>
      <c r="I257" s="46"/>
      <c r="J257" s="49"/>
      <c r="K257" s="49"/>
      <c r="L257" s="49" t="str">
        <f t="shared" si="22"/>
        <v>열진공 챔버, FM, REQ 문서</v>
      </c>
      <c r="M257" s="49" t="str">
        <f t="shared" si="23"/>
        <v>열 사이클 시험 성적서</v>
      </c>
    </row>
    <row r="258" spans="1:13" ht="38.6" x14ac:dyDescent="0.55000000000000004">
      <c r="A258" s="46" t="s">
        <v>852</v>
      </c>
      <c r="B258" s="50"/>
      <c r="C258" s="50"/>
      <c r="D258" s="50"/>
      <c r="E258" s="51"/>
      <c r="F258" s="46" t="s">
        <v>427</v>
      </c>
      <c r="G258" s="46" t="s">
        <v>430</v>
      </c>
      <c r="H258" s="48" t="s">
        <v>431</v>
      </c>
      <c r="I258" s="46"/>
      <c r="J258" s="49"/>
      <c r="K258" s="49"/>
      <c r="L258" s="49" t="str">
        <f t="shared" si="22"/>
        <v>열진공 챔버, FM, REQ 문서</v>
      </c>
      <c r="M258" s="49" t="str">
        <f t="shared" si="23"/>
        <v>열 진공 시험 성적서</v>
      </c>
    </row>
    <row r="259" spans="1:13" ht="38.6" x14ac:dyDescent="0.55000000000000004">
      <c r="A259" s="46" t="s">
        <v>853</v>
      </c>
      <c r="B259" s="50"/>
      <c r="C259" s="50"/>
      <c r="D259" s="50"/>
      <c r="E259" s="47" t="s">
        <v>432</v>
      </c>
      <c r="F259" s="47" t="s">
        <v>433</v>
      </c>
      <c r="G259" s="46" t="s">
        <v>434</v>
      </c>
      <c r="H259" s="48" t="s">
        <v>435</v>
      </c>
      <c r="I259" s="46"/>
      <c r="J259" s="49"/>
      <c r="K259" s="49"/>
      <c r="L259" s="49" t="str">
        <f t="shared" si="22"/>
        <v>EMC 시험 장비, FM, REQ 문서</v>
      </c>
      <c r="M259" s="49" t="str">
        <f t="shared" si="23"/>
        <v>EMC 시험 성적서</v>
      </c>
    </row>
    <row r="260" spans="1:13" ht="38.6" x14ac:dyDescent="0.55000000000000004">
      <c r="A260" s="46" t="s">
        <v>854</v>
      </c>
      <c r="B260" s="50"/>
      <c r="C260" s="50"/>
      <c r="D260" s="50"/>
      <c r="E260" s="50"/>
      <c r="F260" s="51"/>
      <c r="G260" s="46" t="s">
        <v>436</v>
      </c>
      <c r="H260" s="48" t="s">
        <v>435</v>
      </c>
      <c r="I260" s="46"/>
      <c r="J260" s="49"/>
      <c r="K260" s="49"/>
      <c r="L260" s="49" t="str">
        <f t="shared" si="22"/>
        <v>EMC 시험 장비, FM, REQ 문서</v>
      </c>
      <c r="M260" s="49" t="str">
        <f t="shared" si="23"/>
        <v>EMC 시험 성적서</v>
      </c>
    </row>
    <row r="261" spans="1:13" ht="38.6" x14ac:dyDescent="0.55000000000000004">
      <c r="A261" s="46" t="s">
        <v>855</v>
      </c>
      <c r="B261" s="50"/>
      <c r="C261" s="50"/>
      <c r="D261" s="50"/>
      <c r="E261" s="50"/>
      <c r="F261" s="47" t="s">
        <v>437</v>
      </c>
      <c r="G261" s="46" t="s">
        <v>438</v>
      </c>
      <c r="H261" s="48" t="s">
        <v>435</v>
      </c>
      <c r="I261" s="46"/>
      <c r="J261" s="49"/>
      <c r="K261" s="49"/>
      <c r="L261" s="49" t="str">
        <f t="shared" si="22"/>
        <v>EMC 시험 장비, FM, REQ 문서</v>
      </c>
      <c r="M261" s="49" t="str">
        <f t="shared" si="23"/>
        <v>EMC 시험 성적서</v>
      </c>
    </row>
    <row r="262" spans="1:13" ht="38.6" x14ac:dyDescent="0.55000000000000004">
      <c r="A262" s="46" t="s">
        <v>856</v>
      </c>
      <c r="B262" s="50"/>
      <c r="C262" s="50"/>
      <c r="D262" s="50"/>
      <c r="E262" s="50"/>
      <c r="F262" s="50"/>
      <c r="G262" s="46" t="s">
        <v>439</v>
      </c>
      <c r="H262" s="48" t="s">
        <v>435</v>
      </c>
      <c r="I262" s="46"/>
      <c r="J262" s="49"/>
      <c r="K262" s="49"/>
      <c r="L262" s="49" t="str">
        <f t="shared" si="22"/>
        <v>EMC 시험 장비, FM, REQ 문서</v>
      </c>
      <c r="M262" s="49" t="str">
        <f t="shared" si="23"/>
        <v>EMC 시험 성적서</v>
      </c>
    </row>
    <row r="263" spans="1:13" ht="38.6" x14ac:dyDescent="0.55000000000000004">
      <c r="A263" s="46" t="s">
        <v>857</v>
      </c>
      <c r="B263" s="50"/>
      <c r="C263" s="50"/>
      <c r="D263" s="50"/>
      <c r="E263" s="50"/>
      <c r="F263" s="50"/>
      <c r="G263" s="46" t="s">
        <v>440</v>
      </c>
      <c r="H263" s="48" t="s">
        <v>435</v>
      </c>
      <c r="I263" s="46"/>
      <c r="J263" s="49"/>
      <c r="K263" s="49"/>
      <c r="L263" s="49" t="str">
        <f t="shared" si="22"/>
        <v>EMC 시험 장비, FM, REQ 문서</v>
      </c>
      <c r="M263" s="49" t="str">
        <f t="shared" si="23"/>
        <v>EMC 시험 성적서</v>
      </c>
    </row>
    <row r="264" spans="1:13" ht="38.6" x14ac:dyDescent="0.55000000000000004">
      <c r="A264" s="46" t="s">
        <v>858</v>
      </c>
      <c r="B264" s="50"/>
      <c r="C264" s="50"/>
      <c r="D264" s="50"/>
      <c r="E264" s="50"/>
      <c r="F264" s="50"/>
      <c r="G264" s="46" t="s">
        <v>441</v>
      </c>
      <c r="H264" s="48" t="s">
        <v>435</v>
      </c>
      <c r="I264" s="46"/>
      <c r="J264" s="49"/>
      <c r="K264" s="49"/>
      <c r="L264" s="49" t="str">
        <f t="shared" si="22"/>
        <v>EMC 시험 장비, FM, REQ 문서</v>
      </c>
      <c r="M264" s="49" t="str">
        <f t="shared" si="23"/>
        <v>EMC 시험 성적서</v>
      </c>
    </row>
    <row r="265" spans="1:13" ht="38.6" x14ac:dyDescent="0.55000000000000004">
      <c r="A265" s="46" t="s">
        <v>859</v>
      </c>
      <c r="B265" s="50"/>
      <c r="C265" s="50"/>
      <c r="D265" s="51"/>
      <c r="E265" s="51"/>
      <c r="F265" s="51"/>
      <c r="G265" s="46" t="s">
        <v>442</v>
      </c>
      <c r="H265" s="48" t="s">
        <v>435</v>
      </c>
      <c r="I265" s="46"/>
      <c r="J265" s="49"/>
      <c r="K265" s="49"/>
      <c r="L265" s="49" t="str">
        <f t="shared" si="22"/>
        <v>EMC 시험 장비, FM, REQ 문서</v>
      </c>
      <c r="M265" s="49" t="str">
        <f t="shared" si="23"/>
        <v>EMC 시험 성적서</v>
      </c>
    </row>
    <row r="266" spans="1:13" ht="38.6" x14ac:dyDescent="0.55000000000000004">
      <c r="A266" s="46" t="s">
        <v>860</v>
      </c>
      <c r="B266" s="50"/>
      <c r="C266" s="50"/>
      <c r="D266" s="52" t="s">
        <v>443</v>
      </c>
      <c r="E266" s="46" t="s">
        <v>444</v>
      </c>
      <c r="F266" s="46"/>
      <c r="G266" s="46"/>
      <c r="H266" s="48" t="s">
        <v>445</v>
      </c>
      <c r="I266" s="46"/>
      <c r="J266" s="49"/>
      <c r="K266" s="49"/>
      <c r="L266" s="49" t="str">
        <f t="shared" si="22"/>
        <v>우주환경 시험 후 3U 큐브위성 성능 검증 절차서</v>
      </c>
      <c r="M266" s="49" t="str">
        <f t="shared" si="23"/>
        <v>우주환경 시험 후 크기 측정 check list</v>
      </c>
    </row>
    <row r="267" spans="1:13" ht="38.6" x14ac:dyDescent="0.55000000000000004">
      <c r="A267" s="46" t="s">
        <v>861</v>
      </c>
      <c r="B267" s="50"/>
      <c r="C267" s="50"/>
      <c r="D267" s="50"/>
      <c r="E267" s="46" t="s">
        <v>446</v>
      </c>
      <c r="F267" s="46"/>
      <c r="G267" s="46"/>
      <c r="H267" s="48" t="s">
        <v>447</v>
      </c>
      <c r="I267" s="46"/>
      <c r="J267" s="49"/>
      <c r="K267" s="49"/>
      <c r="L267" s="49" t="str">
        <f t="shared" si="22"/>
        <v>우주환경 시험 후 3U 큐브위성 성능 검증 절차서</v>
      </c>
      <c r="M267" s="49" t="str">
        <f t="shared" si="23"/>
        <v>우주환경 시험 후 무게 측정 check list</v>
      </c>
    </row>
    <row r="268" spans="1:13" ht="38.6" x14ac:dyDescent="0.55000000000000004">
      <c r="A268" s="46" t="s">
        <v>862</v>
      </c>
      <c r="B268" s="50"/>
      <c r="C268" s="50"/>
      <c r="D268" s="50"/>
      <c r="E268" s="46" t="s">
        <v>448</v>
      </c>
      <c r="F268" s="46"/>
      <c r="G268" s="46"/>
      <c r="H268" s="48" t="s">
        <v>449</v>
      </c>
      <c r="I268" s="46"/>
      <c r="J268" s="49"/>
      <c r="K268" s="49"/>
      <c r="L268" s="49" t="str">
        <f t="shared" si="22"/>
        <v>우주환경 시험 후 3U 큐브위성 성능 검증 절차서</v>
      </c>
      <c r="M268" s="49" t="str">
        <f t="shared" si="23"/>
        <v>우주환경 시험 후 기능 확인 check list</v>
      </c>
    </row>
    <row r="269" spans="1:13" ht="38.6" x14ac:dyDescent="0.55000000000000004">
      <c r="A269" s="46" t="s">
        <v>863</v>
      </c>
      <c r="B269" s="50"/>
      <c r="C269" s="50"/>
      <c r="D269" s="50"/>
      <c r="E269" s="46" t="s">
        <v>450</v>
      </c>
      <c r="F269" s="46"/>
      <c r="G269" s="46"/>
      <c r="H269" s="48" t="s">
        <v>449</v>
      </c>
      <c r="I269" s="46"/>
      <c r="J269" s="49"/>
      <c r="K269" s="49"/>
      <c r="L269" s="49" t="str">
        <f t="shared" si="22"/>
        <v>우주환경 시험 후 3U 큐브위성 성능 검증 절차서</v>
      </c>
      <c r="M269" s="49" t="str">
        <f t="shared" si="23"/>
        <v>우주환경 시험 후 기능 확인 check list</v>
      </c>
    </row>
    <row r="270" spans="1:13" ht="38.6" x14ac:dyDescent="0.55000000000000004">
      <c r="A270" s="46" t="s">
        <v>864</v>
      </c>
      <c r="B270" s="51"/>
      <c r="C270" s="51"/>
      <c r="D270" s="51"/>
      <c r="E270" s="46" t="s">
        <v>451</v>
      </c>
      <c r="F270" s="57"/>
      <c r="G270" s="46"/>
      <c r="H270" s="48" t="s">
        <v>697</v>
      </c>
      <c r="I270" s="46"/>
      <c r="J270" s="49"/>
      <c r="K270" s="49"/>
      <c r="L270" s="49" t="str">
        <f t="shared" si="22"/>
        <v>우주환경 시험 후 3U 큐브위성 성능 검증 절차서</v>
      </c>
      <c r="M270" s="49" t="str">
        <f t="shared" si="23"/>
        <v>우주환경 시험 후 기능 확인 check list</v>
      </c>
    </row>
    <row r="271" spans="1:13" ht="38.6" x14ac:dyDescent="0.55000000000000004">
      <c r="A271" s="58" t="s">
        <v>670</v>
      </c>
      <c r="B271" s="59" t="s">
        <v>481</v>
      </c>
      <c r="C271" s="59" t="s">
        <v>459</v>
      </c>
      <c r="D271" s="60" t="s">
        <v>49</v>
      </c>
      <c r="E271" s="61" t="s">
        <v>50</v>
      </c>
      <c r="F271" s="58"/>
      <c r="G271" s="58"/>
      <c r="H271" s="62" t="s">
        <v>51</v>
      </c>
      <c r="I271" s="58"/>
      <c r="J271" s="63"/>
      <c r="K271" s="63"/>
      <c r="L271" s="63" t="str">
        <f t="shared" ref="L241:L296" si="24">MID(H271,FIND("투입재료",H271)+6,FIND("결과물",H271)-FIND("투입재료",H271)-7)</f>
        <v>REQ 표</v>
      </c>
      <c r="M271" s="63" t="str">
        <f t="shared" ref="M226:M289" si="25">MID(H271,FIND("결과물",H271)+5,LEN(H271)-FIND("결과물",H271))</f>
        <v>level 3 REQ 표</v>
      </c>
    </row>
    <row r="272" spans="1:13" ht="38.6" x14ac:dyDescent="0.55000000000000004">
      <c r="A272" s="58" t="s">
        <v>671</v>
      </c>
      <c r="B272" s="64"/>
      <c r="C272" s="64"/>
      <c r="D272" s="65"/>
      <c r="E272" s="61" t="s">
        <v>52</v>
      </c>
      <c r="F272" s="58"/>
      <c r="G272" s="58"/>
      <c r="H272" s="62" t="s">
        <v>53</v>
      </c>
      <c r="I272" s="58"/>
      <c r="J272" s="63"/>
      <c r="K272" s="63"/>
      <c r="L272" s="63" t="str">
        <f t="shared" ref="L272:L296" si="26">MID(H272,FIND("투입재료",H272)+6,FIND("결과물",H272)-FIND("투입재료",H272)-7)</f>
        <v>level 3 요구조건</v>
      </c>
      <c r="M272" s="63" t="str">
        <f t="shared" ref="M272:M296" si="27">MID(H272,FIND("결과물",H272)+5,LEN(H272)-FIND("결과물",H272))</f>
        <v>level 4 REQ 표</v>
      </c>
    </row>
    <row r="273" spans="1:13" ht="38.6" x14ac:dyDescent="0.55000000000000004">
      <c r="A273" s="58" t="s">
        <v>672</v>
      </c>
      <c r="B273" s="64"/>
      <c r="C273" s="64"/>
      <c r="D273" s="66"/>
      <c r="E273" s="61" t="s">
        <v>54</v>
      </c>
      <c r="F273" s="58"/>
      <c r="G273" s="58"/>
      <c r="H273" s="62" t="s">
        <v>55</v>
      </c>
      <c r="I273" s="58"/>
      <c r="J273" s="63"/>
      <c r="K273" s="63"/>
      <c r="L273" s="63" t="str">
        <f t="shared" si="26"/>
        <v xml:space="preserve">level 4 요구조건 </v>
      </c>
      <c r="M273" s="63" t="str">
        <f t="shared" si="27"/>
        <v>level 5 REQ 표</v>
      </c>
    </row>
    <row r="274" spans="1:13" ht="38.6" x14ac:dyDescent="0.55000000000000004">
      <c r="A274" s="58" t="s">
        <v>673</v>
      </c>
      <c r="B274" s="64"/>
      <c r="C274" s="64"/>
      <c r="D274" s="60" t="s">
        <v>460</v>
      </c>
      <c r="E274" s="61" t="s">
        <v>57</v>
      </c>
      <c r="F274" s="58"/>
      <c r="G274" s="58"/>
      <c r="H274" s="62" t="s">
        <v>58</v>
      </c>
      <c r="I274" s="58"/>
      <c r="J274" s="63"/>
      <c r="K274" s="63"/>
      <c r="L274" s="63" t="str">
        <f t="shared" si="26"/>
        <v>level 3 요구조건</v>
      </c>
      <c r="M274" s="63" t="str">
        <f t="shared" si="27"/>
        <v>level 3 REQ 표</v>
      </c>
    </row>
    <row r="275" spans="1:13" ht="38.6" x14ac:dyDescent="0.55000000000000004">
      <c r="A275" s="58" t="s">
        <v>674</v>
      </c>
      <c r="B275" s="64"/>
      <c r="C275" s="64"/>
      <c r="D275" s="65"/>
      <c r="E275" s="61" t="s">
        <v>59</v>
      </c>
      <c r="F275" s="58"/>
      <c r="G275" s="58"/>
      <c r="H275" s="62" t="s">
        <v>60</v>
      </c>
      <c r="I275" s="58"/>
      <c r="J275" s="63"/>
      <c r="K275" s="63"/>
      <c r="L275" s="63" t="str">
        <f t="shared" si="26"/>
        <v>level 4 요구조건</v>
      </c>
      <c r="M275" s="63" t="str">
        <f t="shared" si="27"/>
        <v>level 4 REQ 표</v>
      </c>
    </row>
    <row r="276" spans="1:13" ht="38.6" x14ac:dyDescent="0.55000000000000004">
      <c r="A276" s="58" t="s">
        <v>675</v>
      </c>
      <c r="B276" s="64"/>
      <c r="C276" s="64"/>
      <c r="D276" s="66"/>
      <c r="E276" s="61" t="s">
        <v>61</v>
      </c>
      <c r="F276" s="58"/>
      <c r="G276" s="58"/>
      <c r="H276" s="62" t="s">
        <v>62</v>
      </c>
      <c r="I276" s="58"/>
      <c r="J276" s="63"/>
      <c r="K276" s="63"/>
      <c r="L276" s="63" t="str">
        <f t="shared" si="26"/>
        <v>level 5 요구조건</v>
      </c>
      <c r="M276" s="63" t="str">
        <f t="shared" si="27"/>
        <v>level 5 REQ 표</v>
      </c>
    </row>
    <row r="277" spans="1:13" ht="38.6" x14ac:dyDescent="0.55000000000000004">
      <c r="A277" s="58" t="s">
        <v>676</v>
      </c>
      <c r="B277" s="64"/>
      <c r="C277" s="64"/>
      <c r="D277" s="67" t="s">
        <v>68</v>
      </c>
      <c r="E277" s="61" t="s">
        <v>218</v>
      </c>
      <c r="F277" s="58"/>
      <c r="G277" s="58"/>
      <c r="H277" s="62" t="s">
        <v>219</v>
      </c>
      <c r="I277" s="58"/>
      <c r="J277" s="63"/>
      <c r="K277" s="63"/>
      <c r="L277" s="63" t="str">
        <f t="shared" si="26"/>
        <v>Link Margin Anaylsis sheet</v>
      </c>
      <c r="M277" s="63" t="str">
        <f t="shared" si="27"/>
        <v>UHF Link Margin</v>
      </c>
    </row>
    <row r="278" spans="1:13" ht="38.6" x14ac:dyDescent="0.55000000000000004">
      <c r="A278" s="58" t="s">
        <v>677</v>
      </c>
      <c r="B278" s="64"/>
      <c r="C278" s="64"/>
      <c r="D278" s="68"/>
      <c r="E278" s="61" t="s">
        <v>220</v>
      </c>
      <c r="F278" s="58"/>
      <c r="G278" s="58"/>
      <c r="H278" s="62" t="s">
        <v>567</v>
      </c>
      <c r="I278" s="58"/>
      <c r="J278" s="63"/>
      <c r="K278" s="63"/>
      <c r="L278" s="63" t="str">
        <f t="shared" si="26"/>
        <v>Link Margin Anaylsis sheet</v>
      </c>
      <c r="M278" s="63" t="str">
        <f t="shared" si="27"/>
        <v>S-band Link Margin</v>
      </c>
    </row>
    <row r="279" spans="1:13" ht="38.6" x14ac:dyDescent="0.55000000000000004">
      <c r="A279" s="58" t="s">
        <v>678</v>
      </c>
      <c r="B279" s="64"/>
      <c r="C279" s="64"/>
      <c r="D279" s="59" t="s">
        <v>461</v>
      </c>
      <c r="E279" s="61" t="s">
        <v>462</v>
      </c>
      <c r="F279" s="58"/>
      <c r="G279" s="58"/>
      <c r="H279" s="62" t="s">
        <v>465</v>
      </c>
      <c r="I279" s="58"/>
      <c r="J279" s="63"/>
      <c r="K279" s="63"/>
      <c r="L279" s="63" t="str">
        <f t="shared" si="26"/>
        <v>지상국 관련 상위 요구조건</v>
      </c>
      <c r="M279" s="63" t="str">
        <f t="shared" si="27"/>
        <v>지상국 주요 기능 목록</v>
      </c>
    </row>
    <row r="280" spans="1:13" ht="38.6" x14ac:dyDescent="0.55000000000000004">
      <c r="A280" s="58" t="s">
        <v>679</v>
      </c>
      <c r="B280" s="64"/>
      <c r="C280" s="64"/>
      <c r="D280" s="64"/>
      <c r="E280" s="61" t="s">
        <v>463</v>
      </c>
      <c r="F280" s="58"/>
      <c r="G280" s="58"/>
      <c r="H280" s="62" t="s">
        <v>466</v>
      </c>
      <c r="I280" s="58"/>
      <c r="J280" s="63"/>
      <c r="K280" s="63"/>
      <c r="L280" s="63" t="str">
        <f t="shared" si="26"/>
        <v>지상국 주요 기능 목록</v>
      </c>
      <c r="M280" s="63" t="str">
        <f t="shared" si="27"/>
        <v>지상국 서브시스템 구성</v>
      </c>
    </row>
    <row r="281" spans="1:13" ht="38.6" x14ac:dyDescent="0.55000000000000004">
      <c r="A281" s="58" t="s">
        <v>680</v>
      </c>
      <c r="B281" s="64"/>
      <c r="C281" s="64"/>
      <c r="D281" s="68"/>
      <c r="E281" s="61" t="s">
        <v>464</v>
      </c>
      <c r="F281" s="58"/>
      <c r="G281" s="58"/>
      <c r="H281" s="62" t="s">
        <v>467</v>
      </c>
      <c r="I281" s="58"/>
      <c r="J281" s="63"/>
      <c r="K281" s="63"/>
      <c r="L281" s="63" t="str">
        <f t="shared" si="26"/>
        <v>지상국 서브시스템 구성, BUS operation 전략</v>
      </c>
      <c r="M281" s="63" t="str">
        <f t="shared" si="27"/>
        <v>지상국 서브시스템 기능 목록</v>
      </c>
    </row>
    <row r="282" spans="1:13" ht="38.6" x14ac:dyDescent="0.55000000000000004">
      <c r="A282" s="58" t="s">
        <v>681</v>
      </c>
      <c r="B282" s="69"/>
      <c r="C282" s="69"/>
      <c r="D282" s="60" t="s">
        <v>468</v>
      </c>
      <c r="E282" s="63" t="s">
        <v>469</v>
      </c>
      <c r="F282" s="63"/>
      <c r="G282" s="63"/>
      <c r="H282" s="62" t="s">
        <v>553</v>
      </c>
      <c r="I282" s="63"/>
      <c r="J282" s="63"/>
      <c r="K282" s="63"/>
      <c r="L282" s="63" t="str">
        <f t="shared" si="26"/>
        <v>통신 스펙, 통신 관련 요구조건</v>
      </c>
      <c r="M282" s="63" t="str">
        <f t="shared" si="27"/>
        <v>ICS 예비설계안</v>
      </c>
    </row>
    <row r="283" spans="1:13" ht="38.6" x14ac:dyDescent="0.55000000000000004">
      <c r="A283" s="58" t="s">
        <v>682</v>
      </c>
      <c r="B283" s="69"/>
      <c r="C283" s="69"/>
      <c r="D283" s="69"/>
      <c r="E283" s="61" t="s">
        <v>470</v>
      </c>
      <c r="F283" s="63"/>
      <c r="G283" s="63"/>
      <c r="H283" s="62" t="s">
        <v>554</v>
      </c>
      <c r="I283" s="63"/>
      <c r="J283" s="63"/>
      <c r="K283" s="63"/>
      <c r="L283" s="63" t="str">
        <f t="shared" si="26"/>
        <v>큐브위성 HK data 목록, 데이터 패킷 구성 기준 및 규약</v>
      </c>
      <c r="M283" s="63" t="str">
        <f t="shared" si="27"/>
        <v>TTNC 예비설계안</v>
      </c>
    </row>
    <row r="284" spans="1:13" ht="38.6" x14ac:dyDescent="0.55000000000000004">
      <c r="A284" s="58" t="s">
        <v>683</v>
      </c>
      <c r="B284" s="69"/>
      <c r="C284" s="69"/>
      <c r="D284" s="69"/>
      <c r="E284" s="61" t="s">
        <v>471</v>
      </c>
      <c r="F284" s="63"/>
      <c r="G284" s="63"/>
      <c r="H284" s="62" t="s">
        <v>555</v>
      </c>
      <c r="I284" s="63"/>
      <c r="J284" s="63"/>
      <c r="K284" s="63"/>
      <c r="L284" s="63" t="str">
        <f t="shared" si="26"/>
        <v>큐브위성 운용 모드 목록, 명령 가능 목록</v>
      </c>
      <c r="M284" s="63" t="str">
        <f t="shared" si="27"/>
        <v>SOS 예비설계안</v>
      </c>
    </row>
    <row r="285" spans="1:13" ht="38.6" x14ac:dyDescent="0.55000000000000004">
      <c r="A285" s="58" t="s">
        <v>684</v>
      </c>
      <c r="B285" s="69"/>
      <c r="C285" s="69"/>
      <c r="D285" s="69"/>
      <c r="E285" s="61" t="s">
        <v>472</v>
      </c>
      <c r="F285" s="63"/>
      <c r="G285" s="63"/>
      <c r="H285" s="62" t="s">
        <v>556</v>
      </c>
      <c r="I285" s="63"/>
      <c r="J285" s="63"/>
      <c r="K285" s="63"/>
      <c r="L285" s="63" t="str">
        <f t="shared" si="26"/>
        <v>임무 시나리오, 명령 가능 목록</v>
      </c>
      <c r="M285" s="63" t="str">
        <f t="shared" si="27"/>
        <v>MPS 예비설계안</v>
      </c>
    </row>
    <row r="286" spans="1:13" ht="38.6" x14ac:dyDescent="0.55000000000000004">
      <c r="A286" s="58" t="s">
        <v>685</v>
      </c>
      <c r="B286" s="69"/>
      <c r="C286" s="69"/>
      <c r="D286" s="70"/>
      <c r="E286" s="61" t="s">
        <v>473</v>
      </c>
      <c r="F286" s="63"/>
      <c r="G286" s="63"/>
      <c r="H286" s="62" t="s">
        <v>557</v>
      </c>
      <c r="I286" s="63"/>
      <c r="J286" s="63"/>
      <c r="K286" s="63"/>
      <c r="L286" s="63" t="str">
        <f t="shared" si="26"/>
        <v>큐브위성 궤도 및 자세 정보 형식, 위성 동역학 모델 소프트웨어, 지상 궤도 결정 요구조건</v>
      </c>
      <c r="M286" s="63" t="str">
        <f t="shared" si="27"/>
        <v>FDS 예비설계안</v>
      </c>
    </row>
    <row r="287" spans="1:13" ht="38.6" x14ac:dyDescent="0.55000000000000004">
      <c r="A287" s="58" t="s">
        <v>686</v>
      </c>
      <c r="B287" s="69"/>
      <c r="C287" s="69"/>
      <c r="D287" s="71" t="s">
        <v>474</v>
      </c>
      <c r="E287" s="63" t="s">
        <v>469</v>
      </c>
      <c r="F287" s="63"/>
      <c r="G287" s="63"/>
      <c r="H287" s="62" t="s">
        <v>558</v>
      </c>
      <c r="I287" s="63"/>
      <c r="J287" s="63"/>
      <c r="K287" s="63"/>
      <c r="L287" s="63" t="str">
        <f t="shared" si="26"/>
        <v>통신 스펙, 통신 관련 요구조건, ICS 예비설계안</v>
      </c>
      <c r="M287" s="63" t="str">
        <f t="shared" si="27"/>
        <v>ICS 상세설계안</v>
      </c>
    </row>
    <row r="288" spans="1:13" ht="38.6" x14ac:dyDescent="0.55000000000000004">
      <c r="A288" s="58" t="s">
        <v>687</v>
      </c>
      <c r="B288" s="69"/>
      <c r="C288" s="69"/>
      <c r="D288" s="69"/>
      <c r="E288" s="61" t="s">
        <v>470</v>
      </c>
      <c r="F288" s="63"/>
      <c r="G288" s="63"/>
      <c r="H288" s="62" t="s">
        <v>559</v>
      </c>
      <c r="I288" s="63"/>
      <c r="J288" s="63"/>
      <c r="K288" s="63"/>
      <c r="L288" s="63" t="str">
        <f t="shared" si="26"/>
        <v>큐브위성 HK data 목록, 데이터 패킷 구성 기준 및 규약, TTNC 예비설계안</v>
      </c>
      <c r="M288" s="63" t="str">
        <f t="shared" si="27"/>
        <v>TTNC 상세설계안</v>
      </c>
    </row>
    <row r="289" spans="1:13" ht="38.6" x14ac:dyDescent="0.55000000000000004">
      <c r="A289" s="58" t="s">
        <v>688</v>
      </c>
      <c r="B289" s="69"/>
      <c r="C289" s="69"/>
      <c r="D289" s="69"/>
      <c r="E289" s="61" t="s">
        <v>471</v>
      </c>
      <c r="F289" s="63"/>
      <c r="G289" s="63"/>
      <c r="H289" s="62" t="s">
        <v>560</v>
      </c>
      <c r="I289" s="63"/>
      <c r="J289" s="63"/>
      <c r="K289" s="63"/>
      <c r="L289" s="63" t="str">
        <f t="shared" si="26"/>
        <v>큐브위성 운용 모드 목록, 명령 가능 목록, SOS 예비설계안</v>
      </c>
      <c r="M289" s="63" t="str">
        <f t="shared" si="27"/>
        <v>SOS 상세설계안</v>
      </c>
    </row>
    <row r="290" spans="1:13" ht="38.6" x14ac:dyDescent="0.55000000000000004">
      <c r="A290" s="58" t="s">
        <v>689</v>
      </c>
      <c r="B290" s="69"/>
      <c r="C290" s="69"/>
      <c r="D290" s="69"/>
      <c r="E290" s="61" t="s">
        <v>472</v>
      </c>
      <c r="F290" s="63"/>
      <c r="G290" s="63"/>
      <c r="H290" s="62" t="s">
        <v>561</v>
      </c>
      <c r="I290" s="63"/>
      <c r="J290" s="63"/>
      <c r="K290" s="63"/>
      <c r="L290" s="63" t="str">
        <f t="shared" si="26"/>
        <v>임무 시나리오, 명령 가능 목록, MPS 예비설계안</v>
      </c>
      <c r="M290" s="63" t="str">
        <f t="shared" si="27"/>
        <v>MPS 상세설계안</v>
      </c>
    </row>
    <row r="291" spans="1:13" ht="38.6" x14ac:dyDescent="0.55000000000000004">
      <c r="A291" s="58" t="s">
        <v>690</v>
      </c>
      <c r="B291" s="69"/>
      <c r="C291" s="69"/>
      <c r="D291" s="69"/>
      <c r="E291" s="61" t="s">
        <v>473</v>
      </c>
      <c r="F291" s="63"/>
      <c r="G291" s="63"/>
      <c r="H291" s="62" t="s">
        <v>562</v>
      </c>
      <c r="I291" s="63"/>
      <c r="J291" s="63"/>
      <c r="K291" s="63"/>
      <c r="L291" s="63" t="str">
        <f t="shared" si="26"/>
        <v>큐브위성 궤도 및 자세 정보 형식, 위성 동역학 모델 소프트웨어, 지상 궤도 결정 요구조건, FDS 예비설계안</v>
      </c>
      <c r="M291" s="63" t="str">
        <f t="shared" si="27"/>
        <v>FDS 상세설계안</v>
      </c>
    </row>
    <row r="292" spans="1:13" ht="38.6" x14ac:dyDescent="0.55000000000000004">
      <c r="A292" s="58" t="s">
        <v>691</v>
      </c>
      <c r="B292" s="69"/>
      <c r="C292" s="69"/>
      <c r="D292" s="70"/>
      <c r="E292" s="63" t="s">
        <v>475</v>
      </c>
      <c r="F292" s="63"/>
      <c r="G292" s="63"/>
      <c r="H292" s="62" t="s">
        <v>563</v>
      </c>
      <c r="I292" s="63"/>
      <c r="J292" s="63"/>
      <c r="K292" s="63"/>
      <c r="L292" s="63" t="str">
        <f t="shared" si="26"/>
        <v>지상국 서브시스템 상세설계안</v>
      </c>
      <c r="M292" s="63" t="str">
        <f t="shared" si="27"/>
        <v>지상국 소프트웨어</v>
      </c>
    </row>
    <row r="293" spans="1:13" ht="38.6" x14ac:dyDescent="0.55000000000000004">
      <c r="A293" s="58" t="s">
        <v>692</v>
      </c>
      <c r="B293" s="69"/>
      <c r="C293" s="69"/>
      <c r="D293" s="71" t="s">
        <v>476</v>
      </c>
      <c r="E293" s="63" t="s">
        <v>479</v>
      </c>
      <c r="F293" s="63"/>
      <c r="G293" s="63"/>
      <c r="H293" s="62" t="s">
        <v>564</v>
      </c>
      <c r="I293" s="63"/>
      <c r="J293" s="63"/>
      <c r="K293" s="63"/>
      <c r="L293" s="63" t="str">
        <f t="shared" si="26"/>
        <v>지상국 서브시스템 및 소프트웨어 개발 결과</v>
      </c>
      <c r="M293" s="63" t="str">
        <f t="shared" si="27"/>
        <v>지상국 시스템 초안</v>
      </c>
    </row>
    <row r="294" spans="1:13" ht="38.6" x14ac:dyDescent="0.55000000000000004">
      <c r="A294" s="58" t="s">
        <v>693</v>
      </c>
      <c r="B294" s="69"/>
      <c r="C294" s="69"/>
      <c r="D294" s="69"/>
      <c r="E294" s="63" t="s">
        <v>480</v>
      </c>
      <c r="F294" s="63"/>
      <c r="G294" s="63"/>
      <c r="H294" s="62" t="s">
        <v>565</v>
      </c>
      <c r="I294" s="63"/>
      <c r="J294" s="63"/>
      <c r="K294" s="63"/>
      <c r="L294" s="63" t="str">
        <f t="shared" si="26"/>
        <v>지상국 시스템 초안</v>
      </c>
      <c r="M294" s="63" t="str">
        <f t="shared" si="27"/>
        <v>지상국 시스템 Issue &amp; Concern 목록, 개선 계획</v>
      </c>
    </row>
    <row r="295" spans="1:13" ht="38.6" x14ac:dyDescent="0.55000000000000004">
      <c r="A295" s="58" t="s">
        <v>694</v>
      </c>
      <c r="B295" s="69"/>
      <c r="C295" s="69"/>
      <c r="D295" s="69"/>
      <c r="E295" s="63" t="s">
        <v>477</v>
      </c>
      <c r="F295" s="63"/>
      <c r="G295" s="63"/>
      <c r="H295" s="62" t="s">
        <v>566</v>
      </c>
      <c r="I295" s="63"/>
      <c r="J295" s="63"/>
      <c r="K295" s="63"/>
      <c r="L295" s="63" t="str">
        <f t="shared" si="26"/>
        <v>지상국 시스템 초안 (or 수정안), 큐브위성 통신 모듈(EM), 통신 관련 budget 표, 지상국 요구조건 표</v>
      </c>
      <c r="M295" s="63" t="str">
        <f t="shared" si="27"/>
        <v>Far-field test 결과 보고서</v>
      </c>
    </row>
    <row r="296" spans="1:13" ht="38.6" x14ac:dyDescent="0.55000000000000004">
      <c r="A296" s="58" t="s">
        <v>695</v>
      </c>
      <c r="B296" s="70"/>
      <c r="C296" s="70"/>
      <c r="D296" s="70"/>
      <c r="E296" s="63" t="s">
        <v>478</v>
      </c>
      <c r="F296" s="63"/>
      <c r="G296" s="63"/>
      <c r="H296" s="62" t="s">
        <v>568</v>
      </c>
      <c r="I296" s="63"/>
      <c r="J296" s="63"/>
      <c r="K296" s="63"/>
      <c r="L296" s="63" t="str">
        <f t="shared" si="26"/>
        <v>지상국 시스템 초안 (or 수정안), 지상국 시스템 Issue &amp; Concern 목록, 개선 결과, 지상국 요구조건 표</v>
      </c>
      <c r="M296" s="63" t="str">
        <f t="shared" si="27"/>
        <v>지상국 시스템 최종안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2015-06-05T18:19:34Z</dcterms:created>
  <dcterms:modified xsi:type="dcterms:W3CDTF">2022-04-11T04:04:24Z</dcterms:modified>
</cp:coreProperties>
</file>