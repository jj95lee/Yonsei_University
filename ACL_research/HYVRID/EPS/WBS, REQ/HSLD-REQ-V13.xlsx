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ACL2022_17\Downloads\"/>
    </mc:Choice>
  </mc:AlternateContent>
  <xr:revisionPtr revIDLastSave="0" documentId="13_ncr:1_{FBCAF843-568C-4CD8-AF1B-2AD18FFC1A31}" xr6:coauthVersionLast="47" xr6:coauthVersionMax="47" xr10:uidLastSave="{00000000-0000-0000-0000-000000000000}"/>
  <bookViews>
    <workbookView xWindow="-120" yWindow="-120" windowWidth="29040" windowHeight="15840" firstSheet="2" activeTab="5" xr2:uid="{EABE1437-3961-4528-95E8-C25E6C07EB2A}"/>
  </bookViews>
  <sheets>
    <sheet name="Requirements Description" sheetId="1" r:id="rId1"/>
    <sheet name="Revision" sheetId="11" r:id="rId2"/>
    <sheet name="Mission" sheetId="9" r:id="rId3"/>
    <sheet name="PAYS" sheetId="15" r:id="rId4"/>
    <sheet name="PAYC" sheetId="28" r:id="rId5"/>
    <sheet name="PAYR" sheetId="27" r:id="rId6"/>
    <sheet name="SYS" sheetId="6" r:id="rId7"/>
    <sheet name="GRD " sheetId="1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7" i="28" l="1"/>
  <c r="Q6" i="28"/>
  <c r="Q4" i="28"/>
  <c r="Q5" i="28"/>
  <c r="E6" i="28"/>
  <c r="E21" i="14"/>
  <c r="E20" i="14"/>
  <c r="E19" i="14"/>
  <c r="E18" i="14"/>
  <c r="E17" i="14"/>
  <c r="E16" i="14"/>
  <c r="E15" i="14"/>
  <c r="E14" i="14"/>
  <c r="E13" i="14"/>
  <c r="E12" i="14"/>
  <c r="E11" i="14"/>
  <c r="E10" i="14"/>
  <c r="E9" i="14"/>
  <c r="E8" i="14"/>
  <c r="E7" i="14"/>
  <c r="E6" i="14"/>
  <c r="E5" i="14"/>
  <c r="E4" i="14"/>
  <c r="AC8" i="15"/>
  <c r="AC7" i="15"/>
  <c r="E27" i="6"/>
  <c r="E26" i="6"/>
  <c r="E21" i="6"/>
  <c r="E19" i="6"/>
  <c r="E18" i="6"/>
  <c r="E17" i="6"/>
  <c r="E15" i="6"/>
  <c r="E16" i="6"/>
  <c r="E25" i="6"/>
  <c r="E24" i="6"/>
  <c r="E23" i="6"/>
  <c r="E22" i="6"/>
  <c r="E20" i="6"/>
  <c r="E14" i="6"/>
  <c r="E13" i="6"/>
  <c r="E12" i="6"/>
  <c r="E11" i="6"/>
  <c r="E10" i="6"/>
  <c r="E9" i="6"/>
  <c r="E8" i="6"/>
  <c r="E7" i="6"/>
  <c r="E6" i="6"/>
  <c r="E5" i="6"/>
  <c r="E4" i="6"/>
  <c r="E13" i="27"/>
  <c r="E12" i="27"/>
  <c r="E11" i="27"/>
  <c r="E10" i="27"/>
  <c r="E9" i="27"/>
  <c r="E8" i="27"/>
  <c r="E7" i="27"/>
  <c r="E5" i="27"/>
  <c r="E6" i="27"/>
  <c r="E4" i="27"/>
  <c r="E12" i="28"/>
  <c r="E11" i="28"/>
  <c r="E10" i="28"/>
  <c r="E9" i="28"/>
  <c r="E8" i="28"/>
  <c r="E7" i="28"/>
  <c r="E5" i="28"/>
  <c r="E4" i="28"/>
  <c r="E11" i="15"/>
  <c r="E10" i="15"/>
  <c r="E9" i="15"/>
  <c r="E8" i="15"/>
  <c r="E7" i="15"/>
  <c r="E6" i="15"/>
  <c r="E5" i="15"/>
  <c r="E4" i="15"/>
  <c r="E31" i="9"/>
  <c r="E30" i="9"/>
  <c r="E29" i="9"/>
  <c r="E28" i="9"/>
  <c r="E27" i="9"/>
  <c r="E19" i="9"/>
  <c r="E18" i="9"/>
  <c r="E17" i="9"/>
  <c r="E26" i="9"/>
  <c r="E20" i="9"/>
  <c r="E23" i="9"/>
  <c r="E25" i="9"/>
  <c r="E24" i="9"/>
  <c r="E22" i="9"/>
  <c r="E21" i="9"/>
  <c r="E11" i="9"/>
  <c r="Q23" i="28" l="1"/>
  <c r="Q41" i="15"/>
  <c r="Q40" i="15"/>
  <c r="Q32" i="15"/>
  <c r="Q31" i="15"/>
  <c r="Q30" i="15"/>
  <c r="Q23" i="15"/>
  <c r="Q22" i="15"/>
  <c r="Q21" i="15"/>
  <c r="Q20" i="15"/>
  <c r="Q19" i="15"/>
  <c r="Q18" i="15"/>
  <c r="Q8" i="15"/>
  <c r="Q7" i="15"/>
  <c r="Q6" i="15"/>
  <c r="Q5" i="15"/>
  <c r="Q4" i="15"/>
  <c r="Q22" i="28"/>
  <c r="Q14" i="28"/>
  <c r="Q13" i="28"/>
  <c r="Q12" i="28"/>
  <c r="Q12" i="6"/>
  <c r="AC4" i="15" l="1"/>
  <c r="AC5" i="15"/>
  <c r="AC6" i="15"/>
  <c r="AC9" i="15"/>
  <c r="AC22" i="15" l="1"/>
  <c r="Q225" i="6"/>
  <c r="Q228" i="6"/>
  <c r="Q227" i="6"/>
  <c r="Q124" i="6"/>
  <c r="Q117" i="6"/>
  <c r="Q11" i="6"/>
  <c r="Q154" i="6"/>
  <c r="Q201" i="6"/>
  <c r="Q202" i="6"/>
  <c r="Q200" i="6"/>
  <c r="R155" i="6" l="1"/>
  <c r="Q155" i="6"/>
  <c r="AC19" i="15" l="1"/>
  <c r="AC18" i="15"/>
  <c r="Q39" i="27"/>
  <c r="Q30" i="27"/>
  <c r="Q29" i="27"/>
  <c r="Q9" i="27"/>
  <c r="AC21" i="15"/>
  <c r="AC20" i="15"/>
  <c r="Q153" i="6"/>
  <c r="Q5" i="6"/>
  <c r="Q231" i="6"/>
  <c r="Q230" i="6"/>
  <c r="Q8" i="6"/>
  <c r="Q38" i="27" l="1"/>
  <c r="Q36" i="27"/>
  <c r="Q8" i="27"/>
  <c r="Q7" i="27"/>
  <c r="Q147" i="6" l="1"/>
  <c r="Q232" i="6" l="1"/>
  <c r="Q152" i="6"/>
  <c r="Q151" i="6"/>
  <c r="Q150" i="6"/>
  <c r="Q149" i="6"/>
  <c r="Q37" i="27"/>
  <c r="Q6" i="27"/>
  <c r="Q5" i="27"/>
  <c r="Q4" i="27"/>
  <c r="Q226" i="6" l="1"/>
  <c r="Q229" i="6"/>
  <c r="Q204" i="6"/>
  <c r="Q197" i="6"/>
  <c r="Q203" i="6"/>
  <c r="Q199" i="6"/>
  <c r="Q198" i="6"/>
  <c r="Q148" i="6" l="1"/>
  <c r="Q146" i="6"/>
  <c r="Q145" i="6"/>
  <c r="Q120" i="6" l="1"/>
  <c r="Q119" i="6"/>
  <c r="Q118" i="6"/>
  <c r="Q125" i="6"/>
  <c r="Q121" i="6"/>
  <c r="Q122" i="6"/>
  <c r="Q123" i="6"/>
  <c r="Q10" i="6"/>
  <c r="Q9" i="6"/>
  <c r="Q7" i="6"/>
  <c r="Q6" i="6"/>
  <c r="Q4" i="6"/>
  <c r="N5" i="14"/>
  <c r="N4" i="14"/>
  <c r="Q233" i="6"/>
  <c r="N233" i="6"/>
  <c r="N232" i="6"/>
  <c r="E4" i="9" l="1"/>
  <c r="Q17" i="14"/>
  <c r="Q16" i="14"/>
  <c r="Q15" i="14"/>
  <c r="Q14" i="14"/>
  <c r="Q13" i="14"/>
  <c r="Q12" i="14"/>
  <c r="Q11" i="14"/>
  <c r="Q10" i="14"/>
  <c r="Q9" i="14"/>
  <c r="Q8" i="14"/>
  <c r="Q7" i="14"/>
  <c r="Q6" i="14"/>
  <c r="Q5" i="14"/>
  <c r="Q4" i="14"/>
  <c r="Q41" i="14"/>
  <c r="Q44" i="14"/>
  <c r="Q43" i="14"/>
  <c r="Q42" i="14"/>
  <c r="Q40" i="14"/>
  <c r="Q39" i="14"/>
  <c r="Q38" i="14"/>
  <c r="Q68" i="14"/>
  <c r="Q67" i="14"/>
  <c r="Q66" i="14"/>
  <c r="Q65" i="14"/>
  <c r="Q79" i="14"/>
  <c r="Q81" i="14"/>
  <c r="Q80" i="14"/>
  <c r="Q91" i="14"/>
  <c r="Q90" i="14"/>
  <c r="Q89" i="14"/>
  <c r="Q116" i="6" l="1"/>
  <c r="Q180" i="6" l="1"/>
  <c r="Q181" i="6"/>
  <c r="Q182" i="6"/>
  <c r="E10" i="9" l="1"/>
  <c r="E9" i="9"/>
</calcChain>
</file>

<file path=xl/sharedStrings.xml><?xml version="1.0" encoding="utf-8"?>
<sst xmlns="http://schemas.openxmlformats.org/spreadsheetml/2006/main" count="2601" uniqueCount="1111">
  <si>
    <t>I</t>
    <phoneticPr fontId="1" type="noConversion"/>
  </si>
  <si>
    <t>Requirement Summary</t>
    <phoneticPr fontId="1" type="noConversion"/>
  </si>
  <si>
    <t>전체 임무 목적</t>
    <phoneticPr fontId="1" type="noConversion"/>
  </si>
  <si>
    <t>Lv1</t>
    <phoneticPr fontId="1" type="noConversion"/>
  </si>
  <si>
    <t>Lv3</t>
    <phoneticPr fontId="1" type="noConversion"/>
  </si>
  <si>
    <t>Lv0</t>
    <phoneticPr fontId="1" type="noConversion"/>
  </si>
  <si>
    <t>Lv2-1</t>
    <phoneticPr fontId="1" type="noConversion"/>
  </si>
  <si>
    <t>Lv2-2</t>
    <phoneticPr fontId="1" type="noConversion"/>
  </si>
  <si>
    <t>Lv4</t>
    <phoneticPr fontId="1" type="noConversion"/>
  </si>
  <si>
    <t>Lv5</t>
    <phoneticPr fontId="1" type="noConversion"/>
  </si>
  <si>
    <t>기술적 임무 목적</t>
    <phoneticPr fontId="1" type="noConversion"/>
  </si>
  <si>
    <t>기술적 임무 목적 달성을 위한 임무요구조건</t>
    <phoneticPr fontId="1" type="noConversion"/>
  </si>
  <si>
    <t>큐브위성경연대회 과제 수행에 필요한 일반적인 임무요구조건</t>
    <phoneticPr fontId="1" type="noConversion"/>
  </si>
  <si>
    <t>모든 서브시스템에 요구되는 조건이나 관리자레벨에서 결정이 필요한 사항(지상국 등록 여부 등) 시스템 요구조건</t>
    <phoneticPr fontId="1" type="noConversion"/>
  </si>
  <si>
    <t>II</t>
    <phoneticPr fontId="1" type="noConversion"/>
  </si>
  <si>
    <t>작성요령</t>
    <phoneticPr fontId="1" type="noConversion"/>
  </si>
  <si>
    <t>ID</t>
    <phoneticPr fontId="1" type="noConversion"/>
  </si>
  <si>
    <t>각 요구조건에 고유 ID 부여, SE가 부여 후, 숫자만 추후 변경</t>
    <phoneticPr fontId="1" type="noConversion"/>
  </si>
  <si>
    <t>Title</t>
    <phoneticPr fontId="1" type="noConversion"/>
  </si>
  <si>
    <t>Reqirement</t>
    <phoneticPr fontId="1" type="noConversion"/>
  </si>
  <si>
    <t>Rationale</t>
    <phoneticPr fontId="1" type="noConversion"/>
  </si>
  <si>
    <t>현 요구조건의 상위요구조건 ID(시스템 요구조건, 미션 요구조건, 타 서브시스템 요구조건과 연관, 논문 등 참고시 REF 표시)</t>
    <phoneticPr fontId="1" type="noConversion"/>
  </si>
  <si>
    <t>Verification</t>
    <phoneticPr fontId="1" type="noConversion"/>
  </si>
  <si>
    <t>요구조건에 대한 설명 및 기준이 되는 참고문헌 내용 설명</t>
    <phoneticPr fontId="1" type="noConversion"/>
  </si>
  <si>
    <t>Analysis</t>
    <phoneticPr fontId="1" type="noConversion"/>
  </si>
  <si>
    <t>Inspection</t>
    <phoneticPr fontId="1" type="noConversion"/>
  </si>
  <si>
    <t>길이, 질량 등 육안 검증사항</t>
    <phoneticPr fontId="1" type="noConversion"/>
  </si>
  <si>
    <t>Test</t>
    <phoneticPr fontId="1" type="noConversion"/>
  </si>
  <si>
    <t>제작된 시스템 바탕으로 기능 작동 여부 검증</t>
    <phoneticPr fontId="1" type="noConversion"/>
  </si>
  <si>
    <t>확인</t>
    <phoneticPr fontId="1" type="noConversion"/>
  </si>
  <si>
    <t>III</t>
    <phoneticPr fontId="1" type="noConversion"/>
  </si>
  <si>
    <t>유의사항</t>
    <phoneticPr fontId="1" type="noConversion"/>
  </si>
  <si>
    <t>형식</t>
    <phoneticPr fontId="1" type="noConversion"/>
  </si>
  <si>
    <t>내용</t>
    <phoneticPr fontId="1" type="noConversion"/>
  </si>
  <si>
    <t>각 요구조건의 모든항목을 작성해야함</t>
    <phoneticPr fontId="1" type="noConversion"/>
  </si>
  <si>
    <t>수정</t>
    <phoneticPr fontId="1" type="noConversion"/>
  </si>
  <si>
    <r>
      <t xml:space="preserve">각 서브시스템 수정사항은 통합 시 내용 반영을 위해 </t>
    </r>
    <r>
      <rPr>
        <b/>
        <sz val="11"/>
        <color rgb="FFFF0000"/>
        <rFont val="맑은 고딕"/>
        <family val="3"/>
        <charset val="129"/>
        <scheme val="minor"/>
      </rPr>
      <t>빨간글씨</t>
    </r>
    <r>
      <rPr>
        <sz val="11"/>
        <color theme="1"/>
        <rFont val="맑은 고딕"/>
        <family val="2"/>
        <charset val="129"/>
        <scheme val="minor"/>
      </rPr>
      <t>로 표시</t>
    </r>
    <phoneticPr fontId="1" type="noConversion"/>
  </si>
  <si>
    <t>IV</t>
    <phoneticPr fontId="1" type="noConversion"/>
  </si>
  <si>
    <t>Requirement</t>
    <phoneticPr fontId="1" type="noConversion"/>
  </si>
  <si>
    <t>Verification
내용</t>
    <phoneticPr fontId="1" type="noConversion"/>
  </si>
  <si>
    <t>Verification Method</t>
    <phoneticPr fontId="1" type="noConversion"/>
  </si>
  <si>
    <t>A</t>
    <phoneticPr fontId="1" type="noConversion"/>
  </si>
  <si>
    <t>T</t>
    <phoneticPr fontId="1" type="noConversion"/>
  </si>
  <si>
    <t>D</t>
    <phoneticPr fontId="1" type="noConversion"/>
  </si>
  <si>
    <t>O</t>
    <phoneticPr fontId="1" type="noConversion"/>
  </si>
  <si>
    <t>기초 참고문헌</t>
    <phoneticPr fontId="1" type="noConversion"/>
  </si>
  <si>
    <t>REF. 1</t>
    <phoneticPr fontId="1" type="noConversion"/>
  </si>
  <si>
    <t>REF. 2</t>
    <phoneticPr fontId="1" type="noConversion"/>
  </si>
  <si>
    <t>요구조건을 정확한 내용 및 수치로 입력 (예: 2U 엄폐위성은 각 축 5 deg 이하의 절대자세제어 정밀도를 가진다)</t>
    <phoneticPr fontId="1" type="noConversion"/>
  </si>
  <si>
    <t>각 요구조건 내용을 요약하는 영어 (키워드)</t>
    <phoneticPr fontId="1" type="noConversion"/>
  </si>
  <si>
    <t>수학적 모델링을 통한 분석도구를 통한 검증 (예: MATLAB 기반 시뮬레이션)</t>
    <phoneticPr fontId="1" type="noConversion"/>
  </si>
  <si>
    <t>주요 성능지수를 측정 (예: 휠의 최대회전속도가 실험적으로 3000RPM임을 필요 장치에 의해 측정됨)</t>
    <phoneticPr fontId="1" type="noConversion"/>
  </si>
  <si>
    <t>요구조건 만족 여부 (C: Complete, N: Not yet, or None)</t>
    <phoneticPr fontId="1" type="noConversion"/>
  </si>
  <si>
    <t>각 서브시스템 의 파트별 요구조건 (하드웨어 위주, Lv3의 모든 부품에 해당하는 내용이 하위 항목으로 들어감, 예: RWA 전력소모는 ~W 이하여야 함)</t>
    <phoneticPr fontId="1" type="noConversion"/>
  </si>
  <si>
    <t>각 서브시스템 요구조건 (하드웨어 제외, 미션 요구조건, 시스템 요구조건에서 임무, 제어 등 소프트웨어상 내용위주, 예: RWA 3개 필요-제어알고리즘을 위해)</t>
    <phoneticPr fontId="1" type="noConversion"/>
  </si>
  <si>
    <t>REF. 3</t>
    <phoneticPr fontId="1" type="noConversion"/>
  </si>
  <si>
    <t>REF. 4</t>
    <phoneticPr fontId="1" type="noConversion"/>
  </si>
  <si>
    <t>REF. 5</t>
    <phoneticPr fontId="1" type="noConversion"/>
  </si>
  <si>
    <t>Revision #</t>
    <phoneticPr fontId="1" type="noConversion"/>
  </si>
  <si>
    <t>Date</t>
    <phoneticPr fontId="1" type="noConversion"/>
  </si>
  <si>
    <t>Author</t>
    <phoneticPr fontId="1" type="noConversion"/>
  </si>
  <si>
    <t>Description</t>
    <phoneticPr fontId="1" type="noConversion"/>
  </si>
  <si>
    <t>Verification
내용</t>
  </si>
  <si>
    <t>Verification Method</t>
  </si>
  <si>
    <t>확인</t>
  </si>
  <si>
    <t>Title</t>
  </si>
  <si>
    <t>Requirement</t>
  </si>
  <si>
    <t>Rationale</t>
  </si>
  <si>
    <t>A</t>
  </si>
  <si>
    <t>I</t>
  </si>
  <si>
    <t>T</t>
  </si>
  <si>
    <t>D</t>
  </si>
  <si>
    <t>정밀 태양 센서 (Fine Sun Sensor, FSS)</t>
  </si>
  <si>
    <t>LEVEL 3</t>
    <phoneticPr fontId="1" type="noConversion"/>
  </si>
  <si>
    <t>LEVEL 0</t>
    <phoneticPr fontId="1" type="noConversion"/>
  </si>
  <si>
    <t>LEVEL 1</t>
    <phoneticPr fontId="1" type="noConversion"/>
  </si>
  <si>
    <t>반작용 휠 (Reaction Wheel Assembly, RWA)</t>
  </si>
  <si>
    <t>구조 프레임 (Structure Frame, FRM)</t>
  </si>
  <si>
    <t>LEVEL 4</t>
  </si>
  <si>
    <t>Verification 내용</t>
  </si>
  <si>
    <t>ID</t>
  </si>
  <si>
    <t>LEVEL 5</t>
  </si>
  <si>
    <t>기술문서</t>
    <phoneticPr fontId="1" type="noConversion"/>
  </si>
  <si>
    <t>REF. 6</t>
    <phoneticPr fontId="1" type="noConversion"/>
  </si>
  <si>
    <t>전체 임무 목적 (Entire Mission Objective, EMO)</t>
    <phoneticPr fontId="1" type="noConversion"/>
  </si>
  <si>
    <t>기술문서</t>
  </si>
  <si>
    <t>통신계(Communication Subsystem, COMS)</t>
  </si>
  <si>
    <t>LEVEL5</t>
  </si>
  <si>
    <t>TRXU</t>
  </si>
  <si>
    <t>ANTU</t>
  </si>
  <si>
    <t>On-Board Computer</t>
  </si>
  <si>
    <t>Payload Board</t>
  </si>
  <si>
    <t>명령 및 데이터 처리계 (Command and Data Handling Subsystem)</t>
  </si>
  <si>
    <t>지상국 UHF 송수신기(UHF Tranciever)</t>
  </si>
  <si>
    <t>별 센서 (Star Tracker, STT)</t>
  </si>
  <si>
    <t>비정밀 태양 센서 (Coarse Sun Sensor, CSS)</t>
  </si>
  <si>
    <t>자기장 센서 (Magnetometer, MMT)</t>
  </si>
  <si>
    <t>자이로 센서 (Gyro)</t>
  </si>
  <si>
    <t>자기장 토커 (Magnetorquer, MTQ)</t>
  </si>
  <si>
    <t>GPS 수신기 (GPS Receiver, GPS)</t>
  </si>
  <si>
    <t>GPS 안테나 (GPS Antenna, GA)</t>
  </si>
  <si>
    <t>UHF 송수신기 (UHF Transceiver)</t>
    <phoneticPr fontId="1" type="noConversion"/>
  </si>
  <si>
    <t>UHF 안테나 (UHF Antenna)</t>
    <phoneticPr fontId="1" type="noConversion"/>
  </si>
  <si>
    <t>S 대역 안테나 (S band Antenna)</t>
    <phoneticPr fontId="1" type="noConversion"/>
  </si>
  <si>
    <t>Demonstration</t>
    <phoneticPr fontId="1" type="noConversion"/>
  </si>
  <si>
    <t>UHF 지상국 안테나 및 로테이터(Antenna, Rotator)</t>
    <phoneticPr fontId="1" type="noConversion"/>
  </si>
  <si>
    <t>지상국 S 대역 수신기(S-band Receiver)</t>
    <phoneticPr fontId="1" type="noConversion"/>
  </si>
  <si>
    <t>전력 분배 및 제어 장치 (Power Distribution and Control Unit, PCDU)</t>
    <phoneticPr fontId="1" type="noConversion"/>
  </si>
  <si>
    <t>태양전지판 (Solar Array, SA)</t>
    <phoneticPr fontId="1" type="noConversion"/>
  </si>
  <si>
    <t>배터리 (Battery, BAT)</t>
    <phoneticPr fontId="1" type="noConversion"/>
  </si>
  <si>
    <t>MMT</t>
    <phoneticPr fontId="1" type="noConversion"/>
  </si>
  <si>
    <t>LEVEL 4</t>
    <phoneticPr fontId="1" type="noConversion"/>
  </si>
  <si>
    <t>MMT</t>
  </si>
  <si>
    <t>Instrument Control Subsystem</t>
    <phoneticPr fontId="1" type="noConversion"/>
  </si>
  <si>
    <t>Graphic User Interface</t>
    <phoneticPr fontId="1" type="noConversion"/>
  </si>
  <si>
    <t>GUI</t>
    <phoneticPr fontId="1" type="noConversion"/>
  </si>
  <si>
    <t>Ground Station Software</t>
    <phoneticPr fontId="1" type="noConversion"/>
  </si>
  <si>
    <t>Flight Dynamics Subsystem</t>
    <phoneticPr fontId="1" type="noConversion"/>
  </si>
  <si>
    <t>Mission Planning Subsystem</t>
    <phoneticPr fontId="1" type="noConversion"/>
  </si>
  <si>
    <t>Satellite Operation Subsystem</t>
    <phoneticPr fontId="1" type="noConversion"/>
  </si>
  <si>
    <t>지상국(Ground Station, GRD)</t>
    <phoneticPr fontId="1" type="noConversion"/>
  </si>
  <si>
    <t>S 대역 송수신기 (S band Transmitter)</t>
    <phoneticPr fontId="1" type="noConversion"/>
  </si>
  <si>
    <t>TRXU</t>
    <phoneticPr fontId="1" type="noConversion"/>
  </si>
  <si>
    <t>RXS</t>
  </si>
  <si>
    <t>RXS</t>
    <phoneticPr fontId="1" type="noConversion"/>
  </si>
  <si>
    <t>ANTU</t>
    <phoneticPr fontId="1" type="noConversion"/>
  </si>
  <si>
    <t>위성 자세 및 궤도 결정 및 제어 (Attitude and Orbit Determination and Control Subsystem, ADCS)</t>
  </si>
  <si>
    <t>Soyoun Won</t>
    <phoneticPr fontId="1" type="noConversion"/>
  </si>
  <si>
    <t>기술검증</t>
    <phoneticPr fontId="1" type="noConversion"/>
  </si>
  <si>
    <t>EMO-001</t>
    <phoneticPr fontId="1" type="noConversion"/>
  </si>
  <si>
    <t>SYS-002</t>
  </si>
  <si>
    <t>SYS-003</t>
  </si>
  <si>
    <t>SYS-005</t>
  </si>
  <si>
    <t>SYS-008</t>
  </si>
  <si>
    <t>SYS-010</t>
  </si>
  <si>
    <t>SYS-011</t>
  </si>
  <si>
    <t>SYS-012</t>
  </si>
  <si>
    <t>SYS-014</t>
  </si>
  <si>
    <t>SYS-016</t>
  </si>
  <si>
    <t>SYS-017</t>
  </si>
  <si>
    <t>SYS-018</t>
  </si>
  <si>
    <t>SYS-019</t>
  </si>
  <si>
    <t>SYS-020</t>
  </si>
  <si>
    <t>System Storage Duration</t>
    <phoneticPr fontId="1" type="noConversion"/>
  </si>
  <si>
    <t>Launch Vehicle Requirement</t>
    <phoneticPr fontId="1" type="noConversion"/>
  </si>
  <si>
    <t>Total Center of Mass</t>
    <phoneticPr fontId="1" type="noConversion"/>
  </si>
  <si>
    <t>Coordinate system</t>
    <phoneticPr fontId="1" type="noConversion"/>
  </si>
  <si>
    <t>Total Thermal Condition</t>
    <phoneticPr fontId="1" type="noConversion"/>
  </si>
  <si>
    <t>Fault Detection &amp; Isolation</t>
    <phoneticPr fontId="1" type="noConversion"/>
  </si>
  <si>
    <t>Autonomic Schedule Execution</t>
    <phoneticPr fontId="1" type="noConversion"/>
  </si>
  <si>
    <t>Signal start time</t>
    <phoneticPr fontId="1" type="noConversion"/>
  </si>
  <si>
    <t>Orbit determination</t>
    <phoneticPr fontId="1" type="noConversion"/>
  </si>
  <si>
    <t>기술제안문서</t>
    <phoneticPr fontId="1" type="noConversion"/>
  </si>
  <si>
    <t>-</t>
    <phoneticPr fontId="1" type="noConversion"/>
  </si>
  <si>
    <t>O</t>
  </si>
  <si>
    <t>서브시스템 HW 및 MCU 핀 검토</t>
    <phoneticPr fontId="1" type="noConversion"/>
  </si>
  <si>
    <t>OBC/FSW 기능 시험</t>
    <phoneticPr fontId="1" type="noConversion"/>
  </si>
  <si>
    <t>FSW 내 EADC 탑재</t>
    <phoneticPr fontId="1" type="noConversion"/>
  </si>
  <si>
    <t>HW 지상시험</t>
    <phoneticPr fontId="1" type="noConversion"/>
  </si>
  <si>
    <t>Command license</t>
    <phoneticPr fontId="1" type="noConversion"/>
  </si>
  <si>
    <t>Telemetry &amp; Telecommand</t>
    <phoneticPr fontId="1" type="noConversion"/>
  </si>
  <si>
    <t>SYS-004</t>
  </si>
  <si>
    <t>SYS-013</t>
  </si>
  <si>
    <t>SYS-021</t>
  </si>
  <si>
    <t>SYS-022</t>
  </si>
  <si>
    <t>PAYS-002</t>
  </si>
  <si>
    <t>PAYS-003</t>
  </si>
  <si>
    <t>PAYS-005</t>
  </si>
  <si>
    <t>PAYS-006</t>
  </si>
  <si>
    <t>PAYS-008</t>
  </si>
  <si>
    <t>ID</t>
    <phoneticPr fontId="1" type="noConversion"/>
  </si>
  <si>
    <t>LEVEL 4</t>
    <phoneticPr fontId="1" type="noConversion"/>
  </si>
  <si>
    <t>본체 시스템 요구조건 (BUS System Requirement)</t>
    <phoneticPr fontId="1" type="noConversion"/>
  </si>
  <si>
    <t>Life time</t>
    <phoneticPr fontId="1" type="noConversion"/>
  </si>
  <si>
    <t>Mass</t>
    <phoneticPr fontId="1" type="noConversion"/>
  </si>
  <si>
    <t>Size</t>
    <phoneticPr fontId="1" type="noConversion"/>
  </si>
  <si>
    <t>Power Consumption</t>
    <phoneticPr fontId="1" type="noConversion"/>
  </si>
  <si>
    <t>Title</t>
    <phoneticPr fontId="1" type="noConversion"/>
  </si>
  <si>
    <t>GRD-003</t>
  </si>
  <si>
    <t>GRD-004</t>
  </si>
  <si>
    <t>GRD-005</t>
  </si>
  <si>
    <t>GRD-006</t>
  </si>
  <si>
    <t>GRD-007</t>
  </si>
  <si>
    <t>GRD-008</t>
  </si>
  <si>
    <t>GRD-009</t>
  </si>
  <si>
    <t>GRD-010</t>
  </si>
  <si>
    <t>GRD-011</t>
  </si>
  <si>
    <t>GRD-012</t>
  </si>
  <si>
    <t>GRD-013</t>
  </si>
  <si>
    <t>Bus mass</t>
    <phoneticPr fontId="1" type="noConversion"/>
  </si>
  <si>
    <t>Bus Size</t>
    <phoneticPr fontId="1" type="noConversion"/>
  </si>
  <si>
    <t>Integration</t>
    <phoneticPr fontId="1" type="noConversion"/>
  </si>
  <si>
    <t>위성은 우주 환경에서 모든 하드웨어의 온도가 보관 온도 내에 있어야 하며, 해당 하드웨어를 사용하는 경우 작동 온도 범위 내로 온도가 유지되어야 함</t>
    <phoneticPr fontId="1" type="noConversion"/>
  </si>
  <si>
    <t>Material</t>
    <phoneticPr fontId="1" type="noConversion"/>
  </si>
  <si>
    <t>위성의 frame은 위성의 레일과 발사관 레일 사이에 냉용접이 일어나는 것을 방지하기 위해 anodizing 처리가 되어야 함</t>
    <phoneticPr fontId="1" type="noConversion"/>
  </si>
  <si>
    <t>Thermal Model analysis</t>
    <phoneticPr fontId="1" type="noConversion"/>
  </si>
  <si>
    <t>시뮬레이션</t>
    <phoneticPr fontId="1" type="noConversion"/>
  </si>
  <si>
    <t>육안검사</t>
    <phoneticPr fontId="1" type="noConversion"/>
  </si>
  <si>
    <t>TCS-001</t>
    <phoneticPr fontId="1" type="noConversion"/>
  </si>
  <si>
    <t>TCS-002</t>
  </si>
  <si>
    <t>TCS-003</t>
  </si>
  <si>
    <t>PD-002</t>
  </si>
  <si>
    <t>PD-003</t>
  </si>
  <si>
    <t>PD-004</t>
  </si>
  <si>
    <t>PD-005</t>
  </si>
  <si>
    <t>CAM-001</t>
    <phoneticPr fontId="1" type="noConversion"/>
  </si>
  <si>
    <t>CAM-002</t>
  </si>
  <si>
    <t>thermal condition</t>
    <phoneticPr fontId="1" type="noConversion"/>
  </si>
  <si>
    <t>radiation condition</t>
    <phoneticPr fontId="1" type="noConversion"/>
  </si>
  <si>
    <t>size</t>
    <phoneticPr fontId="1" type="noConversion"/>
  </si>
  <si>
    <t>데이터시트 확인</t>
    <phoneticPr fontId="1" type="noConversion"/>
  </si>
  <si>
    <t>포토다이오드 크기 측정</t>
    <phoneticPr fontId="1" type="noConversion"/>
  </si>
  <si>
    <t>EPS-001</t>
    <phoneticPr fontId="1" type="noConversion"/>
  </si>
  <si>
    <t>EPS-002</t>
  </si>
  <si>
    <t>EPS-003</t>
  </si>
  <si>
    <t>EPS-004</t>
  </si>
  <si>
    <t>EPS-005</t>
  </si>
  <si>
    <t>EPS-008</t>
  </si>
  <si>
    <t>EPS-009</t>
  </si>
  <si>
    <t>EPS-010</t>
  </si>
  <si>
    <t>EPS-011</t>
  </si>
  <si>
    <t>전압, 전류, 온도 등 보도 상태 정보를 자체적으로 수집할 수 있어야 함</t>
    <phoneticPr fontId="1" type="noConversion"/>
  </si>
  <si>
    <t>각 서브시스템의 on/off 시킬 수 있는 스위치 기능을 가지고 있어야 함</t>
    <phoneticPr fontId="1" type="noConversion"/>
  </si>
  <si>
    <t>Housekeeping Data</t>
    <phoneticPr fontId="1" type="noConversion"/>
  </si>
  <si>
    <t>ADCS는 상태 데이터 수집이 가능해야 함</t>
    <phoneticPr fontId="1" type="noConversion"/>
  </si>
  <si>
    <t>Attitude Stability</t>
    <phoneticPr fontId="1" type="noConversion"/>
  </si>
  <si>
    <t>width 10</t>
    <phoneticPr fontId="1" type="noConversion"/>
  </si>
  <si>
    <t>width 30</t>
    <phoneticPr fontId="1" type="noConversion"/>
  </si>
  <si>
    <t>width 100</t>
    <phoneticPr fontId="1" type="noConversion"/>
  </si>
  <si>
    <t>width5</t>
    <phoneticPr fontId="1" type="noConversion"/>
  </si>
  <si>
    <t>width20</t>
    <phoneticPr fontId="1" type="noConversion"/>
  </si>
  <si>
    <t>질량 계산 및 조립 후 질량 측정</t>
    <phoneticPr fontId="1" type="noConversion"/>
  </si>
  <si>
    <t>3차원 모델링 및 위성 크기 측정</t>
    <phoneticPr fontId="1" type="noConversion"/>
  </si>
  <si>
    <t>지상국-위성HW 지상시험</t>
    <phoneticPr fontId="1" type="noConversion"/>
  </si>
  <si>
    <t>구조해석 및 발사환경 시험</t>
    <phoneticPr fontId="1" type="noConversion"/>
  </si>
  <si>
    <t>MATLAB/SIMULINK 시뮬레이션</t>
    <phoneticPr fontId="1" type="noConversion"/>
  </si>
  <si>
    <t>MATLAB/SIMULINK 시뮬레이션</t>
    <phoneticPr fontId="1" type="noConversion"/>
  </si>
  <si>
    <r>
      <t xml:space="preserve">온보드 항법으로는 Knowledge &lt; </t>
    </r>
    <r>
      <rPr>
        <sz val="11"/>
        <color rgb="FFFF0000"/>
        <rFont val="맑은 고딕"/>
        <family val="3"/>
        <charset val="129"/>
        <scheme val="minor"/>
      </rPr>
      <t xml:space="preserve">10 m (각 축, 3 </t>
    </r>
    <r>
      <rPr>
        <sz val="11"/>
        <color rgb="FFFF0000"/>
        <rFont val="Calibri"/>
        <family val="3"/>
        <charset val="161"/>
      </rPr>
      <t>σ</t>
    </r>
    <r>
      <rPr>
        <sz val="11"/>
        <color rgb="FFFF0000"/>
        <rFont val="맑은 고딕"/>
        <family val="3"/>
        <charset val="129"/>
        <scheme val="minor"/>
      </rPr>
      <t>) (TBD)</t>
    </r>
    <phoneticPr fontId="1" type="noConversion"/>
  </si>
  <si>
    <t>height25</t>
    <phoneticPr fontId="1" type="noConversion"/>
  </si>
  <si>
    <t>ADCS-003</t>
  </si>
  <si>
    <t>ADCS-004</t>
  </si>
  <si>
    <t>ADCS-005</t>
  </si>
  <si>
    <t>ADCS-006</t>
  </si>
  <si>
    <t>ADCS-007</t>
  </si>
  <si>
    <t>ADCS-008</t>
  </si>
  <si>
    <t>ADCS-009</t>
  </si>
  <si>
    <t>SMS-001</t>
    <phoneticPr fontId="1" type="noConversion"/>
  </si>
  <si>
    <t>SMS-002</t>
  </si>
  <si>
    <t>SMS-003</t>
  </si>
  <si>
    <t>SMS-004</t>
  </si>
  <si>
    <t>SMS-005</t>
  </si>
  <si>
    <t>SMS-006</t>
  </si>
  <si>
    <t>SMS-007</t>
  </si>
  <si>
    <t>SMS-008</t>
  </si>
  <si>
    <t>SMS-009</t>
  </si>
  <si>
    <t>SMS-010</t>
  </si>
  <si>
    <t>CNDH-003</t>
  </si>
  <si>
    <t>CNDH-005</t>
  </si>
  <si>
    <t>CNDH-006</t>
  </si>
  <si>
    <t>CNDH-007</t>
  </si>
  <si>
    <t>CNDH-008</t>
  </si>
  <si>
    <t>CNDH-009</t>
  </si>
  <si>
    <t>COMS-003</t>
  </si>
  <si>
    <t>COMS-004</t>
  </si>
  <si>
    <t>COMS-005</t>
  </si>
  <si>
    <t>COMS-006</t>
  </si>
  <si>
    <t>blank</t>
    <phoneticPr fontId="1" type="noConversion"/>
  </si>
  <si>
    <t>Interface</t>
    <phoneticPr fontId="1" type="noConversion"/>
  </si>
  <si>
    <t>SYS-001</t>
    <phoneticPr fontId="1" type="noConversion"/>
  </si>
  <si>
    <t>SYS-006</t>
  </si>
  <si>
    <t>SYS-007</t>
  </si>
  <si>
    <t>SYS-009</t>
  </si>
  <si>
    <t>SYS-015</t>
  </si>
  <si>
    <t>Deactivation before Separation</t>
    <phoneticPr fontId="1" type="noConversion"/>
  </si>
  <si>
    <t>Electrical Power Distribution</t>
    <phoneticPr fontId="1" type="noConversion"/>
  </si>
  <si>
    <t>Minimum Electrical Power Generation</t>
    <phoneticPr fontId="1" type="noConversion"/>
  </si>
  <si>
    <t>Maximum Electrical Power Load</t>
    <phoneticPr fontId="1" type="noConversion"/>
  </si>
  <si>
    <t>Electrical Power Margin</t>
    <phoneticPr fontId="1" type="noConversion"/>
  </si>
  <si>
    <t>Health Status Monitoring</t>
    <phoneticPr fontId="1" type="noConversion"/>
  </si>
  <si>
    <t>Fault Management</t>
    <phoneticPr fontId="1" type="noConversion"/>
  </si>
  <si>
    <t>Electrical Power Control</t>
    <phoneticPr fontId="1" type="noConversion"/>
  </si>
  <si>
    <t>System Ground</t>
    <phoneticPr fontId="1" type="noConversion"/>
  </si>
  <si>
    <t>전체 위성 시스템에 최소 1점 이상의 접지 영역을 제공해야 함</t>
    <phoneticPr fontId="1" type="noConversion"/>
  </si>
  <si>
    <t>RF 계측기를 이용한 주파수 측정</t>
    <phoneticPr fontId="1" type="noConversion"/>
  </si>
  <si>
    <t>Margin of Safety</t>
  </si>
  <si>
    <t>구조설계 및 분석</t>
    <phoneticPr fontId="1" type="noConversion"/>
  </si>
  <si>
    <t>Quasi-Static Load</t>
  </si>
  <si>
    <t>Vibration Test</t>
  </si>
  <si>
    <t>Shock Analysis</t>
    <phoneticPr fontId="1" type="noConversion"/>
  </si>
  <si>
    <t>NX 10.0 시뮬레이션</t>
  </si>
  <si>
    <t xml:space="preserve">Deployment Switch </t>
  </si>
  <si>
    <t>킬스위치 기능 탑재</t>
    <phoneticPr fontId="1" type="noConversion"/>
  </si>
  <si>
    <t>위성의 변경 가능한 제어 변수는 지상 명령에 의해 수정될 수 있어야 함</t>
    <phoneticPr fontId="1" type="noConversion"/>
  </si>
  <si>
    <t>위성과 지상국의 시간은 서로 동기화되어야 함</t>
    <phoneticPr fontId="1" type="noConversion"/>
  </si>
  <si>
    <t>위성은 소프트웨어 혹은 하드웨어의 오류 발생을 검출하고 대응할 수 있어야 함</t>
    <phoneticPr fontId="1" type="noConversion"/>
  </si>
  <si>
    <t>위성의 궤도진입 이전 EPS가 활성화 되어 있으면 안됨</t>
    <phoneticPr fontId="1" type="noConversion"/>
  </si>
  <si>
    <t>지상국은 위성과 UHF 대역 신호를 안정적으로 송수신할 수 있어야 함</t>
    <phoneticPr fontId="1" type="noConversion"/>
  </si>
  <si>
    <t>지상국은 위성이 송신하는 S 대역 신호를 안정적으로 수신할 수 있어야 함</t>
    <phoneticPr fontId="1" type="noConversion"/>
  </si>
  <si>
    <t>지상국은 도플러 효과에 의한 위성의 주파수 변화를 추적할 수 있어야 함</t>
    <phoneticPr fontId="1" type="noConversion"/>
  </si>
  <si>
    <t>지상국은 하드웨어, 소프트웨어 간에 호환이 되어야 함</t>
    <phoneticPr fontId="1" type="noConversion"/>
  </si>
  <si>
    <t>지상국의 PC는 TBD 이상의 성능을 가져야 함</t>
    <phoneticPr fontId="1" type="noConversion"/>
  </si>
  <si>
    <t>지상국은 위성의 제어 변수를 변경하는 명령을 송신할 수 있어야 함</t>
    <phoneticPr fontId="1" type="noConversion"/>
  </si>
  <si>
    <t>지상국은 수신한 위성 센서 데이터를 바탕으로 위성의 정밀한 상태 정보를 결정할 수 있어야 함</t>
    <phoneticPr fontId="1" type="noConversion"/>
  </si>
  <si>
    <t>지상국은 무선국으로 등록되어야 함</t>
    <phoneticPr fontId="1" type="noConversion"/>
  </si>
  <si>
    <t>Amateur radio station</t>
    <phoneticPr fontId="1" type="noConversion"/>
  </si>
  <si>
    <t>UHF Communication</t>
    <phoneticPr fontId="1" type="noConversion"/>
  </si>
  <si>
    <t>S-band Communication</t>
    <phoneticPr fontId="1" type="noConversion"/>
  </si>
  <si>
    <t>Satellite tracking</t>
    <phoneticPr fontId="1" type="noConversion"/>
  </si>
  <si>
    <t>Frequency tracking</t>
    <phoneticPr fontId="1" type="noConversion"/>
  </si>
  <si>
    <t>GS compatibility</t>
    <phoneticPr fontId="1" type="noConversion"/>
  </si>
  <si>
    <t>Computer spec.</t>
    <phoneticPr fontId="1" type="noConversion"/>
  </si>
  <si>
    <t>Configurability</t>
    <phoneticPr fontId="1" type="noConversion"/>
  </si>
  <si>
    <t>Communication compatibility</t>
    <phoneticPr fontId="1" type="noConversion"/>
  </si>
  <si>
    <t>지상국 소프트웨어는 수신한 위성 정보를 저장하고 시각적으로 보여줄 수 있어야 함</t>
    <phoneticPr fontId="1" type="noConversion"/>
  </si>
  <si>
    <t>Receiver sensitivity</t>
    <phoneticPr fontId="1" type="noConversion"/>
  </si>
  <si>
    <t>Satellite monitoring</t>
    <phoneticPr fontId="1" type="noConversion"/>
  </si>
  <si>
    <t>지상국의 하드웨어는 위성 신호를 수신기의 민감도 이상으로 수신할 수 있어야 함</t>
    <phoneticPr fontId="1" type="noConversion"/>
  </si>
  <si>
    <t>Satellite state determination</t>
    <phoneticPr fontId="1" type="noConversion"/>
  </si>
  <si>
    <t>아마추어 무선국 등록</t>
    <phoneticPr fontId="1" type="noConversion"/>
  </si>
  <si>
    <t>통신 전략 확인</t>
    <phoneticPr fontId="1" type="noConversion"/>
  </si>
  <si>
    <t>통신 시험</t>
    <phoneticPr fontId="1" type="noConversion"/>
  </si>
  <si>
    <t>지상국 GUI/FDS 성능 검증</t>
    <phoneticPr fontId="1" type="noConversion"/>
  </si>
  <si>
    <t>지상국 GUI 성능 검증</t>
    <phoneticPr fontId="1" type="noConversion"/>
  </si>
  <si>
    <t>인터페이스 확인</t>
    <phoneticPr fontId="1" type="noConversion"/>
  </si>
  <si>
    <t>데이터 시트 확인</t>
    <phoneticPr fontId="1" type="noConversion"/>
  </si>
  <si>
    <t>지상국 FDS 성능 검증</t>
    <phoneticPr fontId="1" type="noConversion"/>
  </si>
  <si>
    <t>ICS-003</t>
  </si>
  <si>
    <t>ICS-004</t>
  </si>
  <si>
    <t>ICS-005</t>
  </si>
  <si>
    <t>ICS-006</t>
  </si>
  <si>
    <t>ICS-007</t>
  </si>
  <si>
    <t>ICS-008</t>
  </si>
  <si>
    <t>ICS-009</t>
  </si>
  <si>
    <t>ICS-010</t>
  </si>
  <si>
    <t>ICS-011</t>
  </si>
  <si>
    <t>ICS-012</t>
  </si>
  <si>
    <t>ICS-013</t>
  </si>
  <si>
    <t>ICS-014</t>
  </si>
  <si>
    <t>지상국 ICS는 위성 송수신기가 지원하는 프로토콜을 따라야 함</t>
    <phoneticPr fontId="1" type="noConversion"/>
  </si>
  <si>
    <t>UHF 대역의 TBD 에서 송수신이 가능해야 함</t>
    <phoneticPr fontId="1" type="noConversion"/>
  </si>
  <si>
    <t>지상국은 위성이 송신하는 비콘을 수신할 수 있어야 함 (&gt; TBD bps)</t>
    <phoneticPr fontId="1" type="noConversion"/>
  </si>
  <si>
    <t>지상국은 위성이 송신하는 UHF 대역 데이터를 수신할 수 있어야 함 (&gt; TBD bps)</t>
    <phoneticPr fontId="1" type="noConversion"/>
  </si>
  <si>
    <t>S 대역의 TBD에서 수신이 가능해야 함</t>
    <phoneticPr fontId="1" type="noConversion"/>
  </si>
  <si>
    <t>지상국은 위성이 송신하는 S 대역 데이터를 수신할 수 있어야 함 (&gt; TBD bps)</t>
    <phoneticPr fontId="1" type="noConversion"/>
  </si>
  <si>
    <t>지상국의 상향 링크 마진은 TBD 이상이어야 함</t>
    <phoneticPr fontId="1" type="noConversion"/>
  </si>
  <si>
    <t>지상국 안테나는 예측된 위성의 움직임을 TBD deg 이내로 추적지향할 수 있어야 함</t>
    <phoneticPr fontId="1" type="noConversion"/>
  </si>
  <si>
    <t>지상국은 도플러 효과에 의해 변경된 위성 주파수에 따라 주파수를 변경할 수 있어야 함</t>
    <phoneticPr fontId="1" type="noConversion"/>
  </si>
  <si>
    <t>지상국 소프트웨어는 지상국의 모든 하드웨어를 제어할 수 있어야 함</t>
    <phoneticPr fontId="1" type="noConversion"/>
  </si>
  <si>
    <t>지상국 소프트웨어는 다른 서브시스템들의 데이터를 읽어올 수 있어야 함</t>
    <phoneticPr fontId="1" type="noConversion"/>
  </si>
  <si>
    <t>지상국 소프트웨어는 다른 서브시스템들의 데이터 양식에 맞춰 읽어온 데이터를 변환할 수 있어야 함</t>
    <phoneticPr fontId="1" type="noConversion"/>
  </si>
  <si>
    <t>지상국 소프트웨어는 다른 서브시스템들로 데이터를 전송할 수 있어야 함</t>
    <phoneticPr fontId="1" type="noConversion"/>
  </si>
  <si>
    <t>지상국 소프트웨어는 위성 운용에 필요한 데이터를 저장할 수 있어야 함</t>
    <phoneticPr fontId="1" type="noConversion"/>
  </si>
  <si>
    <t>지상국 소프트웨어는 위성 운용에 필요한 데이터를 시각화 할 수 있어야 함</t>
    <phoneticPr fontId="1" type="noConversion"/>
  </si>
  <si>
    <t>지상국 소프트웨어는 도플러 효과에 의한 위성의 주파수 변화를 추적할 수 있어야 함</t>
    <phoneticPr fontId="1" type="noConversion"/>
  </si>
  <si>
    <t>GSW-001</t>
    <phoneticPr fontId="1" type="noConversion"/>
  </si>
  <si>
    <t>GSW-002</t>
  </si>
  <si>
    <t>GSW-003</t>
  </si>
  <si>
    <t>GSW-004</t>
  </si>
  <si>
    <t>GSW-005</t>
  </si>
  <si>
    <t>GSW-006</t>
  </si>
  <si>
    <t>GSW-007</t>
  </si>
  <si>
    <t>GSW-008</t>
  </si>
  <si>
    <t>H/W control</t>
    <phoneticPr fontId="1" type="noConversion"/>
  </si>
  <si>
    <t>Data reading</t>
    <phoneticPr fontId="1" type="noConversion"/>
  </si>
  <si>
    <t>Data conversion</t>
    <phoneticPr fontId="1" type="noConversion"/>
  </si>
  <si>
    <t>Data sending</t>
    <phoneticPr fontId="1" type="noConversion"/>
  </si>
  <si>
    <t>Data Storage</t>
    <phoneticPr fontId="1" type="noConversion"/>
  </si>
  <si>
    <t>Visualization</t>
    <phoneticPr fontId="1" type="noConversion"/>
  </si>
  <si>
    <t>Frequency Tracking</t>
    <phoneticPr fontId="1" type="noConversion"/>
  </si>
  <si>
    <t>FDS는 위성의 GPS raw 데이터를 바탕으로 오차 TBD이내의 정밀 궤도 결정을 수행할 수 있어야 함</t>
    <phoneticPr fontId="1" type="noConversion"/>
  </si>
  <si>
    <t>FDS는 정밀 궤도 결정 결과를 바탕으로 오차 TBD 이내의 정밀 궤도 예측을 수행할 수 있어야 함</t>
    <phoneticPr fontId="1" type="noConversion"/>
  </si>
  <si>
    <t>FDS는 TLE 혹은 정밀 궤도 예측 결과를 바탕으로 식, 통신 가능 시간, 임무 가능 시간 등의 이벤트를 각 TBD 초 이내의 오차로 예측할 수 있어야 함</t>
    <phoneticPr fontId="1" type="noConversion"/>
  </si>
  <si>
    <t>FDS는 결정 및 예측 결과를 다른 서브시스템으로 절달하기 전의 상태로 저장할 수 있어야 함</t>
    <phoneticPr fontId="1" type="noConversion"/>
  </si>
  <si>
    <t>OD</t>
    <phoneticPr fontId="1" type="noConversion"/>
  </si>
  <si>
    <t>OP</t>
    <phoneticPr fontId="1" type="noConversion"/>
  </si>
  <si>
    <t>EP</t>
    <phoneticPr fontId="1" type="noConversion"/>
  </si>
  <si>
    <t>Date storage</t>
    <phoneticPr fontId="1" type="noConversion"/>
  </si>
  <si>
    <t>FDS-001</t>
    <phoneticPr fontId="1" type="noConversion"/>
  </si>
  <si>
    <t>FDS-002</t>
  </si>
  <si>
    <t>FDS-003</t>
  </si>
  <si>
    <t>FDS-004</t>
  </si>
  <si>
    <t>MPS는 FDS의 임무 수행 가능 기간 예측 결과를 바탕으로 임무 수행 일정을 결정</t>
    <phoneticPr fontId="1" type="noConversion"/>
  </si>
  <si>
    <t>MPS는 결정된 임무 수행 일정을 정해진 양식에 맞춰 작성해야 함</t>
    <phoneticPr fontId="1" type="noConversion"/>
  </si>
  <si>
    <t>MPS는 결정된 임무 수행 일정을 다른 서브시스템으로 전달하지 전의 상태로 저장할 수 있어야 함</t>
    <phoneticPr fontId="1" type="noConversion"/>
  </si>
  <si>
    <t>Mission Schedule Decision</t>
    <phoneticPr fontId="1" type="noConversion"/>
  </si>
  <si>
    <t>Schedule command generation</t>
    <phoneticPr fontId="1" type="noConversion"/>
  </si>
  <si>
    <t>MPS-001</t>
    <phoneticPr fontId="1" type="noConversion"/>
  </si>
  <si>
    <t>MPS-002</t>
  </si>
  <si>
    <t>MPS-003</t>
  </si>
  <si>
    <t>위성 상태 정보를 바탕으로 변수 변경 방법 등의 내용이 포함된 위성을 운용할 매뉴얼이 있어야 함</t>
    <phoneticPr fontId="1" type="noConversion"/>
  </si>
  <si>
    <t>SOS는 결정된 위성 운용 일정을 정해진 양식에 맞춰 작성해야 함</t>
    <phoneticPr fontId="1" type="noConversion"/>
  </si>
  <si>
    <t>SOS는 결정된 위성 운용 일정을 다른 서브시스템으로 전달하기 전의 상태로 저장할 수 있어야 함</t>
    <phoneticPr fontId="1" type="noConversion"/>
  </si>
  <si>
    <t>Operation Manual</t>
    <phoneticPr fontId="1" type="noConversion"/>
  </si>
  <si>
    <t>Data storage</t>
    <phoneticPr fontId="1" type="noConversion"/>
  </si>
  <si>
    <t>SOS-001</t>
    <phoneticPr fontId="1" type="noConversion"/>
  </si>
  <si>
    <t>SOS-002</t>
  </si>
  <si>
    <t>SOS-003</t>
  </si>
  <si>
    <t>매뉴얼에 따른 위성 운용 데모 수행</t>
    <phoneticPr fontId="1" type="noConversion"/>
  </si>
  <si>
    <t>SOS 기능 시험</t>
    <phoneticPr fontId="1" type="noConversion"/>
  </si>
  <si>
    <t>○</t>
  </si>
  <si>
    <t>○</t>
    <phoneticPr fontId="1" type="noConversion"/>
  </si>
  <si>
    <t>위성 운용 데모 수행</t>
    <phoneticPr fontId="1" type="noConversion"/>
  </si>
  <si>
    <t>MPS 기능 시험</t>
    <phoneticPr fontId="1" type="noConversion"/>
  </si>
  <si>
    <t>OD 알고리즘 성능 검증</t>
    <phoneticPr fontId="1" type="noConversion"/>
  </si>
  <si>
    <t>전파기 성능 검증</t>
    <phoneticPr fontId="1" type="noConversion"/>
  </si>
  <si>
    <t>이벤트 예측 성능 검증</t>
    <phoneticPr fontId="1" type="noConversion"/>
  </si>
  <si>
    <t>FDS 기능 시험</t>
    <phoneticPr fontId="1" type="noConversion"/>
  </si>
  <si>
    <t>H/W 운용 시험</t>
    <phoneticPr fontId="1" type="noConversion"/>
  </si>
  <si>
    <t>데이터 인터페이스 시험</t>
    <phoneticPr fontId="1" type="noConversion"/>
  </si>
  <si>
    <t>데이터 선별 및 저장 시험</t>
    <phoneticPr fontId="1" type="noConversion"/>
  </si>
  <si>
    <t>GUI 기능 테스트</t>
    <phoneticPr fontId="1" type="noConversion"/>
  </si>
  <si>
    <t>Command license</t>
  </si>
  <si>
    <t>Communication protocol</t>
    <phoneticPr fontId="1" type="noConversion"/>
  </si>
  <si>
    <t>UHF opertaion frequency</t>
    <phoneticPr fontId="1" type="noConversion"/>
  </si>
  <si>
    <t>Beacon data rate</t>
    <phoneticPr fontId="1" type="noConversion"/>
  </si>
  <si>
    <t>UHF downlink date rate</t>
    <phoneticPr fontId="1" type="noConversion"/>
  </si>
  <si>
    <t>S-band operation frequency</t>
    <phoneticPr fontId="1" type="noConversion"/>
  </si>
  <si>
    <t>S-band downlink data rate</t>
    <phoneticPr fontId="1" type="noConversion"/>
  </si>
  <si>
    <t>UHF uplink date rate</t>
    <phoneticPr fontId="1" type="noConversion"/>
  </si>
  <si>
    <t>Uplink link-margin</t>
    <phoneticPr fontId="1" type="noConversion"/>
  </si>
  <si>
    <t>지상국은 UHF 대역에서 TBD bps 에상으로 위성에 명령을 데이터 손실 없이 송신할 수 있어야 함</t>
    <phoneticPr fontId="1" type="noConversion"/>
  </si>
  <si>
    <t>링크 분석</t>
    <phoneticPr fontId="1" type="noConversion"/>
  </si>
  <si>
    <t>raw 데이터 성능 검증</t>
    <phoneticPr fontId="1" type="noConversion"/>
  </si>
  <si>
    <t>주파수 변경 가능 확인</t>
    <phoneticPr fontId="1" type="noConversion"/>
  </si>
  <si>
    <t>ADCS-001</t>
    <phoneticPr fontId="1" type="noConversion"/>
  </si>
  <si>
    <t>ADCS-002</t>
  </si>
  <si>
    <t>OBC/FSW 기능시험</t>
    <phoneticPr fontId="1" type="noConversion"/>
  </si>
  <si>
    <t>System Life time</t>
    <phoneticPr fontId="1" type="noConversion"/>
  </si>
  <si>
    <t>DOD 분석 및 TID 확인</t>
    <phoneticPr fontId="1" type="noConversion"/>
  </si>
  <si>
    <t>배터리 수명 분석</t>
    <phoneticPr fontId="1" type="noConversion"/>
  </si>
  <si>
    <t>Schedule Uplink</t>
    <phoneticPr fontId="1" type="noConversion"/>
  </si>
  <si>
    <t>Time Synchronization</t>
    <phoneticPr fontId="1" type="noConversion"/>
  </si>
  <si>
    <t>Error Handling</t>
    <phoneticPr fontId="1" type="noConversion"/>
  </si>
  <si>
    <t>Communication Watchdog</t>
    <phoneticPr fontId="1" type="noConversion"/>
  </si>
  <si>
    <t>작업 일정 추가 테스트</t>
    <phoneticPr fontId="1" type="noConversion"/>
  </si>
  <si>
    <t>지상국 명령에 따른 시스템 변수 변경</t>
    <phoneticPr fontId="1" type="noConversion"/>
  </si>
  <si>
    <t>시간 동기화 확인</t>
    <phoneticPr fontId="1" type="noConversion"/>
  </si>
  <si>
    <t>오류 검출 및 대응 알고리즘 동작</t>
    <phoneticPr fontId="1" type="noConversion"/>
  </si>
  <si>
    <t>조건에 따른 시스템 재실행 후 작업 일정 수행</t>
    <phoneticPr fontId="1" type="noConversion"/>
  </si>
  <si>
    <t>Downlink link margin</t>
    <phoneticPr fontId="1" type="noConversion"/>
  </si>
  <si>
    <t>Uplink data transmission</t>
    <phoneticPr fontId="1" type="noConversion"/>
  </si>
  <si>
    <t>Downlink data transmission</t>
    <phoneticPr fontId="1" type="noConversion"/>
  </si>
  <si>
    <t>Frequency registration</t>
    <phoneticPr fontId="1" type="noConversion"/>
  </si>
  <si>
    <t>위성의 주파수는 우주국/위성망 등록에 따른 허가를 받아야 함</t>
    <phoneticPr fontId="1" type="noConversion"/>
  </si>
  <si>
    <t>링크 분석, 통신 시험</t>
    <phoneticPr fontId="1" type="noConversion"/>
  </si>
  <si>
    <t>데이터 시트 확인, 통신 시험</t>
    <phoneticPr fontId="1" type="noConversion"/>
  </si>
  <si>
    <t>주파수 등록</t>
    <phoneticPr fontId="1" type="noConversion"/>
  </si>
  <si>
    <t>프로토콜, 암호화 방식 확인</t>
    <phoneticPr fontId="1" type="noConversion"/>
  </si>
  <si>
    <r>
      <t xml:space="preserve">TBD 이상의 위치에서 하양 링크 마진은 </t>
    </r>
    <r>
      <rPr>
        <sz val="11"/>
        <color rgb="FFFF0000"/>
        <rFont val="맑은 고딕"/>
        <family val="3"/>
        <charset val="129"/>
        <scheme val="minor"/>
      </rPr>
      <t>TBD</t>
    </r>
    <r>
      <rPr>
        <sz val="11"/>
        <rFont val="맑은 고딕"/>
        <family val="3"/>
        <charset val="129"/>
        <scheme val="minor"/>
      </rPr>
      <t xml:space="preserve"> dB 이상이어야 함</t>
    </r>
    <phoneticPr fontId="1" type="noConversion"/>
  </si>
  <si>
    <r>
      <t xml:space="preserve">위성은 UHF 대역으로 지상국의 명령을 데이터의 손실 없이 받을 수 있어야 함 (&gt; </t>
    </r>
    <r>
      <rPr>
        <sz val="11"/>
        <color rgb="FFFF0000"/>
        <rFont val="맑은 고딕"/>
        <family val="3"/>
        <charset val="129"/>
        <scheme val="minor"/>
      </rPr>
      <t>TBD</t>
    </r>
    <r>
      <rPr>
        <sz val="11"/>
        <rFont val="맑은 고딕"/>
        <family val="3"/>
        <charset val="129"/>
        <scheme val="minor"/>
      </rPr>
      <t xml:space="preserve"> bps)</t>
    </r>
    <phoneticPr fontId="1" type="noConversion"/>
  </si>
  <si>
    <r>
      <t xml:space="preserve">위성은 </t>
    </r>
    <r>
      <rPr>
        <sz val="11"/>
        <color rgb="FFFF0000"/>
        <rFont val="맑은 고딕"/>
        <family val="3"/>
        <charset val="129"/>
        <scheme val="minor"/>
      </rPr>
      <t>TBD</t>
    </r>
    <r>
      <rPr>
        <sz val="11"/>
        <color theme="1"/>
        <rFont val="맑은 고딕"/>
        <family val="2"/>
        <charset val="129"/>
        <scheme val="minor"/>
      </rPr>
      <t xml:space="preserve"> 이상 지상국과의 통신에 실패한 경우 전체 시스템을 재실행 할 수 있어야 함</t>
    </r>
    <phoneticPr fontId="1" type="noConversion"/>
  </si>
  <si>
    <r>
      <t xml:space="preserve">큐브위성의 질량중심은 형상중심의 x, y 축 방향으로 </t>
    </r>
    <r>
      <rPr>
        <sz val="11"/>
        <color rgb="FFFF0000"/>
        <rFont val="맑은 고딕"/>
        <family val="3"/>
        <charset val="129"/>
        <scheme val="minor"/>
      </rPr>
      <t>TBD</t>
    </r>
    <r>
      <rPr>
        <sz val="11"/>
        <color theme="1"/>
        <rFont val="맑은 고딕"/>
        <family val="2"/>
        <charset val="129"/>
        <scheme val="minor"/>
      </rPr>
      <t xml:space="preserve">mm. z 축방향으로 </t>
    </r>
    <r>
      <rPr>
        <sz val="11"/>
        <color rgb="FFFF0000"/>
        <rFont val="맑은 고딕"/>
        <family val="3"/>
        <charset val="129"/>
        <scheme val="minor"/>
      </rPr>
      <t>TBD</t>
    </r>
    <r>
      <rPr>
        <sz val="11"/>
        <color theme="1"/>
        <rFont val="맑은 고딕"/>
        <family val="2"/>
        <charset val="129"/>
        <scheme val="minor"/>
      </rPr>
      <t>mm이내에 있어야 함</t>
    </r>
    <phoneticPr fontId="1" type="noConversion"/>
  </si>
  <si>
    <t>Verification 
내용</t>
    <phoneticPr fontId="1" type="noConversion"/>
  </si>
  <si>
    <r>
      <t xml:space="preserve">정격 전압 </t>
    </r>
    <r>
      <rPr>
        <sz val="11"/>
        <color rgb="FFFF0000"/>
        <rFont val="맑은 고딕"/>
        <family val="3"/>
        <charset val="129"/>
        <scheme val="minor"/>
      </rPr>
      <t>TBD</t>
    </r>
    <r>
      <rPr>
        <sz val="11"/>
        <rFont val="맑은 고딕"/>
        <family val="2"/>
        <charset val="129"/>
        <scheme val="minor"/>
      </rPr>
      <t>, 비정격 전압을 각 서브시스템에 공급해야 함</t>
    </r>
    <phoneticPr fontId="1" type="noConversion"/>
  </si>
  <si>
    <r>
      <t xml:space="preserve">EPS 구성요소는 임무 종료 시까지 평균 </t>
    </r>
    <r>
      <rPr>
        <sz val="11"/>
        <color rgb="FFFF0000"/>
        <rFont val="맑은 고딕"/>
        <family val="3"/>
        <charset val="129"/>
        <scheme val="minor"/>
      </rPr>
      <t>TBD</t>
    </r>
    <r>
      <rPr>
        <sz val="11"/>
        <rFont val="맑은 고딕"/>
        <family val="3"/>
        <charset val="129"/>
        <scheme val="minor"/>
      </rPr>
      <t>W 이상의 전력 생산이 가능해야 함</t>
    </r>
    <phoneticPr fontId="1" type="noConversion"/>
  </si>
  <si>
    <r>
      <t xml:space="preserve">EPS 구성요소는 임무 종류 시까지 최대 순간전력 </t>
    </r>
    <r>
      <rPr>
        <sz val="11"/>
        <color rgb="FFFF0000"/>
        <rFont val="맑은 고딕"/>
        <family val="3"/>
        <charset val="129"/>
        <scheme val="minor"/>
      </rPr>
      <t>TBD</t>
    </r>
    <r>
      <rPr>
        <sz val="11"/>
        <rFont val="맑은 고딕"/>
        <family val="3"/>
        <charset val="129"/>
        <scheme val="minor"/>
      </rPr>
      <t>W을 공급 가능해야 함</t>
    </r>
    <phoneticPr fontId="1" type="noConversion"/>
  </si>
  <si>
    <r>
      <t xml:space="preserve">Stand-by-mode 에 대해 전력 시스템 margin은 최소 </t>
    </r>
    <r>
      <rPr>
        <sz val="11"/>
        <color rgb="FFFF0000"/>
        <rFont val="맑은 고딕"/>
        <family val="3"/>
        <charset val="129"/>
        <scheme val="minor"/>
      </rPr>
      <t>TBD</t>
    </r>
    <r>
      <rPr>
        <sz val="11"/>
        <rFont val="맑은 고딕"/>
        <family val="2"/>
        <charset val="129"/>
        <scheme val="minor"/>
      </rPr>
      <t xml:space="preserve"> 이상 유지해야 함</t>
    </r>
    <phoneticPr fontId="1" type="noConversion"/>
  </si>
  <si>
    <t>데이터 시트 기반 RBF/Kill switch 인터페이스 확인</t>
    <phoneticPr fontId="1" type="noConversion"/>
  </si>
  <si>
    <t>시스템 구성 하드웨어 전원 인터페이스 확인</t>
    <phoneticPr fontId="1" type="noConversion"/>
  </si>
  <si>
    <t>전력 버짓 분석</t>
    <phoneticPr fontId="1" type="noConversion"/>
  </si>
  <si>
    <t>데이터 시트 기반 수신 가능 상태 정보 종류 및 형식 확인 후 OBC 연동 시험</t>
    <phoneticPr fontId="1" type="noConversion"/>
  </si>
  <si>
    <t>데이터 시트 확인, TID 정보 확인</t>
    <phoneticPr fontId="1" type="noConversion"/>
  </si>
  <si>
    <t>Draft mission and system requirements</t>
    <phoneticPr fontId="1" type="noConversion"/>
  </si>
  <si>
    <t>DaeEun Kang</t>
    <phoneticPr fontId="1" type="noConversion"/>
  </si>
  <si>
    <t>Edit mission and system requirements</t>
    <phoneticPr fontId="1" type="noConversion"/>
  </si>
  <si>
    <t xml:space="preserve"> Update Level 3 system requirement and Level 4 subsystem requirement</t>
    <phoneticPr fontId="1" type="noConversion"/>
  </si>
  <si>
    <t>Edit Level 3 system requirement and Level 4 subsystem requirement</t>
    <phoneticPr fontId="1" type="noConversion"/>
  </si>
  <si>
    <r>
      <t xml:space="preserve">ADCS의 알고리즘은 </t>
    </r>
    <r>
      <rPr>
        <sz val="11"/>
        <rFont val="맑은 고딕"/>
        <family val="3"/>
        <charset val="129"/>
      </rPr>
      <t>≥</t>
    </r>
    <r>
      <rPr>
        <sz val="7.7"/>
        <rFont val="맑은 고딕"/>
        <family val="3"/>
        <charset val="129"/>
      </rPr>
      <t xml:space="preserve"> </t>
    </r>
    <r>
      <rPr>
        <sz val="11"/>
        <color rgb="FFFF0000"/>
        <rFont val="맑은 고딕"/>
        <family val="3"/>
        <charset val="129"/>
      </rPr>
      <t>TBD Hz</t>
    </r>
    <r>
      <rPr>
        <sz val="11"/>
        <rFont val="맑은 고딕"/>
        <family val="3"/>
        <charset val="129"/>
      </rPr>
      <t xml:space="preserve"> 로 운용되어야 함</t>
    </r>
    <phoneticPr fontId="1" type="noConversion"/>
  </si>
  <si>
    <t>지상국의 하드웨어는 위성 통신계의 하드웨어와 호환이 되어야 함</t>
    <phoneticPr fontId="1" type="noConversion"/>
  </si>
  <si>
    <r>
      <t xml:space="preserve">지상국의 PC는 </t>
    </r>
    <r>
      <rPr>
        <sz val="11"/>
        <color rgb="FFFF0000"/>
        <rFont val="맑은 고딕"/>
        <family val="3"/>
        <charset val="129"/>
        <scheme val="minor"/>
      </rPr>
      <t>TBD</t>
    </r>
    <r>
      <rPr>
        <sz val="11"/>
        <rFont val="맑은 고딕"/>
        <family val="2"/>
        <charset val="129"/>
        <scheme val="minor"/>
      </rPr>
      <t xml:space="preserve"> 이상의 성능을 가져야 함</t>
    </r>
    <phoneticPr fontId="1" type="noConversion"/>
  </si>
  <si>
    <t>STT-001</t>
    <phoneticPr fontId="1" type="noConversion"/>
  </si>
  <si>
    <t>STT-002</t>
  </si>
  <si>
    <t>STT-003</t>
  </si>
  <si>
    <t>STT-004</t>
  </si>
  <si>
    <t>STT-005</t>
  </si>
  <si>
    <t>FSS-001</t>
    <phoneticPr fontId="1" type="noConversion"/>
  </si>
  <si>
    <t>FSS-002</t>
  </si>
  <si>
    <t>FSS-003</t>
  </si>
  <si>
    <t>FSS-004</t>
  </si>
  <si>
    <t>FSS-005</t>
  </si>
  <si>
    <t>CSS-001</t>
    <phoneticPr fontId="1" type="noConversion"/>
  </si>
  <si>
    <t>CSS-002</t>
  </si>
  <si>
    <t>CSS-003</t>
  </si>
  <si>
    <t>CSS-004</t>
  </si>
  <si>
    <t>Gyro-001</t>
    <phoneticPr fontId="1" type="noConversion"/>
  </si>
  <si>
    <t>Gyro-002</t>
  </si>
  <si>
    <t>Gyro-003</t>
  </si>
  <si>
    <t>Gyro-004</t>
  </si>
  <si>
    <t>MTQ-001</t>
    <phoneticPr fontId="1" type="noConversion"/>
  </si>
  <si>
    <t>MTQ-002</t>
  </si>
  <si>
    <t>MTQ-003</t>
  </si>
  <si>
    <t>MTQ-004</t>
  </si>
  <si>
    <t>MTQ-005</t>
  </si>
  <si>
    <t>MTQ-006</t>
  </si>
  <si>
    <t>MTQ-007</t>
  </si>
  <si>
    <t>RWA-001</t>
    <phoneticPr fontId="1" type="noConversion"/>
  </si>
  <si>
    <t>RWA-002</t>
  </si>
  <si>
    <t>RWA-003</t>
  </si>
  <si>
    <t>RWA-004</t>
  </si>
  <si>
    <t>RWA-005</t>
  </si>
  <si>
    <t>RWA-006</t>
  </si>
  <si>
    <t>RWA-007</t>
  </si>
  <si>
    <t>GPS-001</t>
    <phoneticPr fontId="1" type="noConversion"/>
  </si>
  <si>
    <t>GPS-002</t>
  </si>
  <si>
    <t>GPS-003</t>
  </si>
  <si>
    <t>GPS-004</t>
  </si>
  <si>
    <t>GPS-005</t>
  </si>
  <si>
    <t>GPS-006</t>
  </si>
  <si>
    <t>GPS-007</t>
  </si>
  <si>
    <t>GPS-008</t>
  </si>
  <si>
    <t>GPS-009</t>
  </si>
  <si>
    <t>GPS-010</t>
  </si>
  <si>
    <t>GPS-011</t>
  </si>
  <si>
    <t>GPS-012</t>
  </si>
  <si>
    <t>GA-001</t>
    <phoneticPr fontId="1" type="noConversion"/>
  </si>
  <si>
    <t>GA-002</t>
  </si>
  <si>
    <t>GA-003</t>
  </si>
  <si>
    <t>GA-004</t>
  </si>
  <si>
    <t>GA-005</t>
  </si>
  <si>
    <t>GA-006</t>
  </si>
  <si>
    <t>PCDU-001</t>
    <phoneticPr fontId="1" type="noConversion"/>
  </si>
  <si>
    <t>PCDU-002</t>
  </si>
  <si>
    <t>PCDU-003</t>
  </si>
  <si>
    <t>PCDU-004</t>
  </si>
  <si>
    <t>PCDU-005</t>
  </si>
  <si>
    <t>SA-001</t>
    <phoneticPr fontId="1" type="noConversion"/>
  </si>
  <si>
    <t>SA-002</t>
  </si>
  <si>
    <t>SA-003</t>
  </si>
  <si>
    <t>BAT-001</t>
    <phoneticPr fontId="1" type="noConversion"/>
  </si>
  <si>
    <t>BAT-002</t>
  </si>
  <si>
    <t>BAT-003</t>
  </si>
  <si>
    <t>BAT-004</t>
  </si>
  <si>
    <t>BAT-005</t>
  </si>
  <si>
    <t>FRM-001</t>
    <phoneticPr fontId="1" type="noConversion"/>
  </si>
  <si>
    <t>FRM-002</t>
  </si>
  <si>
    <t>FRM-003</t>
  </si>
  <si>
    <t>FRM-004</t>
  </si>
  <si>
    <t>FRM-005</t>
  </si>
  <si>
    <t>FRM-006</t>
  </si>
  <si>
    <t>FRM-007</t>
  </si>
  <si>
    <t>OBC-001</t>
    <phoneticPr fontId="1" type="noConversion"/>
  </si>
  <si>
    <t>OBC-002</t>
  </si>
  <si>
    <t>OBC-003</t>
  </si>
  <si>
    <t>OBC-004</t>
  </si>
  <si>
    <t>OBC-005</t>
  </si>
  <si>
    <t>OBC-006</t>
  </si>
  <si>
    <t>OBC-007</t>
  </si>
  <si>
    <t>OBC-008</t>
  </si>
  <si>
    <t>OBC-009</t>
  </si>
  <si>
    <t>PAYBRD-001</t>
    <phoneticPr fontId="1" type="noConversion"/>
  </si>
  <si>
    <t>PAYBRD-002</t>
  </si>
  <si>
    <t>PAYBRD-003</t>
  </si>
  <si>
    <t>PAYBRD-004</t>
  </si>
  <si>
    <t>PAYBRD-005</t>
  </si>
  <si>
    <t>PAYBRD-006</t>
  </si>
  <si>
    <t>PAYBRD-007</t>
  </si>
  <si>
    <t>PAYBRD-008</t>
  </si>
  <si>
    <t>TRXU-001</t>
    <phoneticPr fontId="1" type="noConversion"/>
  </si>
  <si>
    <t>TRXU-002</t>
  </si>
  <si>
    <t>TRXU-003</t>
  </si>
  <si>
    <t>TRXU-004</t>
  </si>
  <si>
    <t>TRXU-005</t>
  </si>
  <si>
    <t>TRXU-006</t>
  </si>
  <si>
    <t>TRXU-007</t>
  </si>
  <si>
    <t>ANTU-001</t>
    <phoneticPr fontId="1" type="noConversion"/>
  </si>
  <si>
    <t>ANTU-002</t>
  </si>
  <si>
    <t>ANTU-003</t>
  </si>
  <si>
    <t>ANTU-004</t>
  </si>
  <si>
    <t>ANTU-005</t>
  </si>
  <si>
    <t>ANTU-006</t>
  </si>
  <si>
    <t>ANTU-007</t>
  </si>
  <si>
    <t>ANTU-008</t>
  </si>
  <si>
    <t>ANTU-009</t>
  </si>
  <si>
    <t>TXS-001</t>
    <phoneticPr fontId="1" type="noConversion"/>
  </si>
  <si>
    <t>TXS-002</t>
  </si>
  <si>
    <t>TXS-003</t>
  </si>
  <si>
    <t>TXS-004</t>
  </si>
  <si>
    <t>TXS-005</t>
  </si>
  <si>
    <t>TXS-006</t>
  </si>
  <si>
    <t>TXS-007</t>
  </si>
  <si>
    <t>ANTS-001</t>
    <phoneticPr fontId="1" type="noConversion"/>
  </si>
  <si>
    <t>ANTS-002</t>
  </si>
  <si>
    <t>ANTS-003</t>
  </si>
  <si>
    <t>ANTS-004</t>
  </si>
  <si>
    <t>ANTS-005</t>
  </si>
  <si>
    <t>PAYS-001</t>
    <phoneticPr fontId="1" type="noConversion"/>
  </si>
  <si>
    <t>PAYS-004</t>
  </si>
  <si>
    <t>LDS-001</t>
    <phoneticPr fontId="1" type="noConversion"/>
  </si>
  <si>
    <t>LDS-002</t>
  </si>
  <si>
    <t>LDS-003</t>
  </si>
  <si>
    <t>LDS-004</t>
  </si>
  <si>
    <t>LDS-005</t>
  </si>
  <si>
    <t>전개형 반사 탑재체 요구조건 (Deployment reflection Payload requirement)</t>
    <phoneticPr fontId="1" type="noConversion"/>
  </si>
  <si>
    <t>Photodiode Responsivity</t>
    <phoneticPr fontId="1" type="noConversion"/>
  </si>
  <si>
    <t>Thermal and radiation condition</t>
    <phoneticPr fontId="1" type="noConversion"/>
  </si>
  <si>
    <t>Thermal and radiation Condition</t>
    <phoneticPr fontId="1" type="noConversion"/>
  </si>
  <si>
    <t>LDU-001</t>
    <phoneticPr fontId="1" type="noConversion"/>
  </si>
  <si>
    <t>LDU-002</t>
  </si>
  <si>
    <t>LDU-003</t>
  </si>
  <si>
    <t>LDU-004</t>
  </si>
  <si>
    <t>LDU-005</t>
  </si>
  <si>
    <t>Data collection</t>
    <phoneticPr fontId="1" type="noConversion"/>
  </si>
  <si>
    <t>Soyoung Won</t>
    <phoneticPr fontId="1" type="noConversion"/>
  </si>
  <si>
    <t xml:space="preserve">Add Requirements TMO-003 </t>
    <phoneticPr fontId="1" type="noConversion"/>
  </si>
  <si>
    <t>Parameter Update</t>
  </si>
  <si>
    <t>Alterable parameters</t>
  </si>
  <si>
    <t>PAYR-001</t>
    <phoneticPr fontId="1" type="noConversion"/>
  </si>
  <si>
    <t>PAYR-003</t>
  </si>
  <si>
    <t>PAYR-002</t>
  </si>
  <si>
    <t>PAYR-004</t>
  </si>
  <si>
    <t>Checking deployment</t>
    <phoneticPr fontId="1" type="noConversion"/>
  </si>
  <si>
    <t>PAYR-007</t>
  </si>
  <si>
    <t>Edit Payload requirement</t>
    <phoneticPr fontId="1" type="noConversion"/>
  </si>
  <si>
    <t>HSLD : Requirement Description</t>
    <phoneticPr fontId="1" type="noConversion"/>
  </si>
  <si>
    <t>ABP : administration business processing</t>
    <phoneticPr fontId="1" type="noConversion"/>
  </si>
  <si>
    <t>ABP-001</t>
    <phoneticPr fontId="1" type="noConversion"/>
  </si>
  <si>
    <r>
      <t xml:space="preserve">EPS 모든 부품은 임무 기간인 </t>
    </r>
    <r>
      <rPr>
        <sz val="11"/>
        <color rgb="FFFF0000"/>
        <rFont val="맑은 고딕"/>
        <family val="3"/>
        <charset val="129"/>
        <scheme val="minor"/>
      </rPr>
      <t>TBD 개월</t>
    </r>
    <r>
      <rPr>
        <sz val="11"/>
        <color theme="1"/>
        <rFont val="맑은 고딕"/>
        <family val="2"/>
        <charset val="129"/>
        <scheme val="minor"/>
      </rPr>
      <t xml:space="preserve"> 이상 우주에서 정상 작동 해야 함</t>
    </r>
  </si>
  <si>
    <t>큐브위성용 카메라 (CubeSat camera Subsystem)</t>
    <phoneticPr fontId="1" type="noConversion"/>
  </si>
  <si>
    <t>질량 계산 및 조립 후 질량 측정</t>
    <phoneticPr fontId="1" type="noConversion"/>
  </si>
  <si>
    <t>3차원 모델링 및 위성 크기 측정</t>
  </si>
  <si>
    <t>3차원 모델링 기준</t>
    <phoneticPr fontId="1" type="noConversion"/>
  </si>
  <si>
    <t>시뮬레이션 및 조립 확인</t>
    <phoneticPr fontId="1" type="noConversion"/>
  </si>
  <si>
    <t>열 해석 및 열진공 시험, HW 후처리</t>
    <phoneticPr fontId="1" type="noConversion"/>
  </si>
  <si>
    <t>O</t>
    <phoneticPr fontId="1" type="noConversion"/>
  </si>
  <si>
    <t>3D 모델링 및 조립</t>
    <phoneticPr fontId="1" type="noConversion"/>
  </si>
  <si>
    <t>3D 모델링 및 전개 시험</t>
    <phoneticPr fontId="1" type="noConversion"/>
  </si>
  <si>
    <t>질량 측정</t>
    <phoneticPr fontId="1" type="noConversion"/>
  </si>
  <si>
    <t>3차원 모델링</t>
    <phoneticPr fontId="1" type="noConversion"/>
  </si>
  <si>
    <t>3차원 모델링 및 사출장치 탑재 후 확인</t>
    <phoneticPr fontId="1" type="noConversion"/>
  </si>
  <si>
    <t xml:space="preserve"> Deployed size</t>
    <phoneticPr fontId="1" type="noConversion"/>
  </si>
  <si>
    <t>3차원 모델링 및 육안 확인</t>
    <phoneticPr fontId="1" type="noConversion"/>
  </si>
  <si>
    <t>데이터 시트 확인 및 레이저 검출 시험</t>
    <phoneticPr fontId="1" type="noConversion"/>
  </si>
  <si>
    <t>서브시스템 HW 및 MCU 핀 검토</t>
  </si>
  <si>
    <t>PAYR-008</t>
  </si>
  <si>
    <t>직업은 지상국 명령에 의해 추가 될 수 있어야 함</t>
    <phoneticPr fontId="1" type="noConversion"/>
  </si>
  <si>
    <t>지상국은 프로젝트의 주 지상국으로 작동해야함</t>
    <phoneticPr fontId="1" type="noConversion"/>
  </si>
  <si>
    <t>Power consumption</t>
    <phoneticPr fontId="1" type="noConversion"/>
  </si>
  <si>
    <t>PAYR-009</t>
  </si>
  <si>
    <t>데이터 시트 확인</t>
    <phoneticPr fontId="1" type="noConversion"/>
  </si>
  <si>
    <t>3D 모델링 및 조립 확인</t>
    <phoneticPr fontId="1" type="noConversion"/>
  </si>
  <si>
    <t>3D 모델링</t>
    <phoneticPr fontId="1" type="noConversion"/>
  </si>
  <si>
    <t>checking Device</t>
    <phoneticPr fontId="1" type="noConversion"/>
  </si>
  <si>
    <t>Motion of deployemt</t>
    <phoneticPr fontId="1" type="noConversion"/>
  </si>
  <si>
    <t>큐브 위성의 인터페이스 버스는 CAN-bus 를 1순위로 사용</t>
    <phoneticPr fontId="1" type="noConversion"/>
  </si>
  <si>
    <t>태양전지판 전개장치 (Solar panel deployment device)</t>
    <phoneticPr fontId="1" type="noConversion"/>
  </si>
  <si>
    <t>S-band 안테나 전개장치 (S-band antenna deployment device)</t>
    <phoneticPr fontId="1" type="noConversion"/>
  </si>
  <si>
    <r>
      <t xml:space="preserve">위성의 열 해석결과는 각 서브시스템의 모든 하드웨어의 작동 온도 범위에서 적어도 </t>
    </r>
    <r>
      <rPr>
        <sz val="11"/>
        <color rgb="FFFF0000"/>
        <rFont val="맑은 고딕"/>
        <family val="3"/>
        <charset val="129"/>
        <scheme val="minor"/>
      </rPr>
      <t>TBD</t>
    </r>
    <r>
      <rPr>
        <sz val="11"/>
        <color theme="1"/>
        <rFont val="맑은 고딕"/>
        <family val="2"/>
        <charset val="129"/>
        <scheme val="minor"/>
      </rPr>
      <t>의 uncertainty을 가져야 함</t>
    </r>
    <phoneticPr fontId="1" type="noConversion"/>
  </si>
  <si>
    <t>위성은 오직 프로젝트에 등록된 지상국에 의해서만 작동되어야 함</t>
    <phoneticPr fontId="1" type="noConversion"/>
  </si>
  <si>
    <t>열해석 및 열진공주기 시험, 후처리</t>
    <phoneticPr fontId="1" type="noConversion"/>
  </si>
  <si>
    <t>`</t>
    <phoneticPr fontId="1" type="noConversion"/>
  </si>
  <si>
    <t>시뮬레이션 및 조립 확인, 작동 시험</t>
    <phoneticPr fontId="1" type="noConversion"/>
  </si>
  <si>
    <t>시뮬레이션 및 소모 전력 시험</t>
    <phoneticPr fontId="1" type="noConversion"/>
  </si>
  <si>
    <t>Photodiode (PD)</t>
    <phoneticPr fontId="1" type="noConversion"/>
  </si>
  <si>
    <t>Laser detecting unit (LDU)</t>
    <phoneticPr fontId="1" type="noConversion"/>
  </si>
  <si>
    <t>큐브센서 (Cube Sensor, CS)</t>
    <phoneticPr fontId="1" type="noConversion"/>
  </si>
  <si>
    <t>CS-001</t>
    <phoneticPr fontId="1" type="noConversion"/>
  </si>
  <si>
    <t>CS-002</t>
  </si>
  <si>
    <t>CS-003</t>
  </si>
  <si>
    <t>CS-004</t>
  </si>
  <si>
    <t>CS-005</t>
  </si>
  <si>
    <t>CS-006</t>
  </si>
  <si>
    <t>Power Margin in Normal</t>
    <phoneticPr fontId="1" type="noConversion"/>
  </si>
  <si>
    <t>Power interface</t>
    <phoneticPr fontId="1" type="noConversion"/>
  </si>
  <si>
    <t>Frequency for Communication</t>
    <phoneticPr fontId="1" type="noConversion"/>
  </si>
  <si>
    <t>Pointing Performance</t>
    <phoneticPr fontId="1" type="noConversion"/>
  </si>
  <si>
    <r>
      <t>임무모드에서 큐브위성의 pointing &lt;</t>
    </r>
    <r>
      <rPr>
        <sz val="11"/>
        <color rgb="FFFF0000"/>
        <rFont val="맑은 고딕"/>
        <family val="3"/>
        <charset val="129"/>
        <scheme val="minor"/>
      </rPr>
      <t xml:space="preserve">5.0 deg (각 축, 3 </t>
    </r>
    <r>
      <rPr>
        <sz val="11"/>
        <color rgb="FFFF0000"/>
        <rFont val="Calibri"/>
        <family val="3"/>
        <charset val="161"/>
      </rPr>
      <t>σ</t>
    </r>
    <r>
      <rPr>
        <sz val="11"/>
        <color rgb="FFFF0000"/>
        <rFont val="맑은 고딕"/>
        <family val="3"/>
        <charset val="129"/>
        <scheme val="minor"/>
      </rPr>
      <t>) (TBD)</t>
    </r>
    <phoneticPr fontId="1" type="noConversion"/>
  </si>
  <si>
    <t>큐브 위성 본체의 body coordinate system은 원점을 3U 큐브위성의 형상중심으로 설정하고 
사출방향을 +Z 축,  PCI-104의 헤더소켓이 쌓여 있는 방향을 +X 축으로 설정</t>
    <phoneticPr fontId="1" type="noConversion"/>
  </si>
  <si>
    <t>SYS-023</t>
  </si>
  <si>
    <t>Processing Speed</t>
    <phoneticPr fontId="1" type="noConversion"/>
  </si>
  <si>
    <t>Detumbling Period</t>
    <phoneticPr fontId="1" type="noConversion"/>
  </si>
  <si>
    <t>Pointing Accuracy; ECI</t>
    <phoneticPr fontId="1" type="noConversion"/>
  </si>
  <si>
    <t>Pointing Knowledge; ECEF</t>
    <phoneticPr fontId="1" type="noConversion"/>
  </si>
  <si>
    <r>
      <t xml:space="preserve">pointing accuracy ≤ </t>
    </r>
    <r>
      <rPr>
        <sz val="11"/>
        <color rgb="FFFF0000"/>
        <rFont val="맑은 고딕"/>
        <family val="3"/>
        <charset val="129"/>
        <scheme val="minor"/>
      </rPr>
      <t>TBD deg</t>
    </r>
    <phoneticPr fontId="1" type="noConversion"/>
  </si>
  <si>
    <r>
      <t xml:space="preserve">최대 Detumbling 기간은 </t>
    </r>
    <r>
      <rPr>
        <sz val="11"/>
        <color rgb="FFFF0000"/>
        <rFont val="맑은 고딕"/>
        <family val="3"/>
        <charset val="129"/>
        <scheme val="minor"/>
      </rPr>
      <t>TBD</t>
    </r>
    <r>
      <rPr>
        <sz val="11"/>
        <color theme="1"/>
        <rFont val="맑은 고딕"/>
        <family val="2"/>
        <charset val="129"/>
        <scheme val="minor"/>
      </rPr>
      <t xml:space="preserve"> sec 이하여야 함</t>
    </r>
    <phoneticPr fontId="1" type="noConversion"/>
  </si>
  <si>
    <t>큐브 위성은 GPS 신호로 L1, L2를 사용할 수 있어야 함</t>
    <phoneticPr fontId="1" type="noConversion"/>
  </si>
  <si>
    <t>Data for POD on Ground</t>
    <phoneticPr fontId="1" type="noConversion"/>
  </si>
  <si>
    <t>SYS-024</t>
  </si>
  <si>
    <t>EPS-007</t>
    <phoneticPr fontId="1" type="noConversion"/>
  </si>
  <si>
    <t>ADCS 부품의 고장을 검출 및 수집할 수 있어야 함</t>
    <phoneticPr fontId="1" type="noConversion"/>
  </si>
  <si>
    <t xml:space="preserve">전력계 요구조건 (Electrical Power subsystem Requirement; EPS) </t>
    <phoneticPr fontId="1" type="noConversion"/>
  </si>
  <si>
    <t>1st Mode Frequnecy</t>
    <phoneticPr fontId="1" type="noConversion"/>
  </si>
  <si>
    <t>Extrusion</t>
    <phoneticPr fontId="1" type="noConversion"/>
  </si>
  <si>
    <t>SMS-011</t>
  </si>
  <si>
    <t>시뮬레이션 및 레이저 검출 시험</t>
    <phoneticPr fontId="1" type="noConversion"/>
  </si>
  <si>
    <t>Radiation condition</t>
    <phoneticPr fontId="1" type="noConversion"/>
  </si>
  <si>
    <t>Thermal condition</t>
    <phoneticPr fontId="1" type="noConversion"/>
  </si>
  <si>
    <t>데이터 시트 확인 및 양자노출 검사</t>
    <phoneticPr fontId="1" type="noConversion"/>
  </si>
  <si>
    <t>데이터 시트 확인, 열해석 및 열 진공 시험</t>
    <phoneticPr fontId="1" type="noConversion"/>
  </si>
  <si>
    <t>Thermal Modely analysis</t>
    <phoneticPr fontId="1" type="noConversion"/>
  </si>
  <si>
    <t>구조계 요구조건 (Structure and Mechanism Subsystem, SMS)</t>
    <phoneticPr fontId="1" type="noConversion"/>
  </si>
  <si>
    <t>박막 전개장치 구조계 (Membrane Deployment Structure and Mechanism Subsystem , MDS)</t>
    <phoneticPr fontId="1" type="noConversion"/>
  </si>
  <si>
    <t>MDS-001</t>
    <phoneticPr fontId="1" type="noConversion"/>
  </si>
  <si>
    <t>MDS-002</t>
  </si>
  <si>
    <t>MDS-003</t>
  </si>
  <si>
    <t>MDS-005</t>
  </si>
  <si>
    <t>MDS-006</t>
  </si>
  <si>
    <t>MDS-007</t>
  </si>
  <si>
    <t>열 제어 시스템 (Thermal Control Subsystem)</t>
    <phoneticPr fontId="1" type="noConversion"/>
  </si>
  <si>
    <t>박막 전개장치 열제어계 (Membrane Deployment Thermal Control Subsystem, MDT)</t>
    <phoneticPr fontId="1" type="noConversion"/>
  </si>
  <si>
    <t>MDT-001</t>
    <phoneticPr fontId="1" type="noConversion"/>
  </si>
  <si>
    <t>MDT-002</t>
  </si>
  <si>
    <t>박막 전개장치 전자계 (Membrane Deployment Electrical Subsystem, MDE)</t>
    <phoneticPr fontId="1" type="noConversion"/>
  </si>
  <si>
    <t>MDE-001</t>
    <phoneticPr fontId="1" type="noConversion"/>
  </si>
  <si>
    <t>MDE-002</t>
  </si>
  <si>
    <t>MDE-003</t>
  </si>
  <si>
    <t>MDE-004</t>
  </si>
  <si>
    <t>열 해석 및 열 진공 시험, 양자 노출 시험</t>
    <phoneticPr fontId="1" type="noConversion"/>
  </si>
  <si>
    <t>시뮬레이션 및 전개 시험</t>
    <phoneticPr fontId="1" type="noConversion"/>
  </si>
  <si>
    <t>시뮬레이션 및 전개 실험</t>
    <phoneticPr fontId="1" type="noConversion"/>
  </si>
  <si>
    <t>MATLAB/SIMULINK시뮬레이션 
및 소모전력 시험</t>
    <phoneticPr fontId="1" type="noConversion"/>
  </si>
  <si>
    <t>height 30</t>
    <phoneticPr fontId="1" type="noConversion"/>
  </si>
  <si>
    <r>
      <t xml:space="preserve">ADCS는 특정 지향 모드를 제외하고는 모든 축의 각속도를 </t>
    </r>
    <r>
      <rPr>
        <sz val="10"/>
        <rFont val="맑은 고딕"/>
        <family val="3"/>
        <charset val="129"/>
      </rPr>
      <t xml:space="preserve">≤ </t>
    </r>
    <r>
      <rPr>
        <sz val="10"/>
        <color rgb="FFFF0000"/>
        <rFont val="맑은 고딕"/>
        <family val="3"/>
        <charset val="129"/>
      </rPr>
      <t>TBD deg/s</t>
    </r>
    <r>
      <rPr>
        <sz val="10"/>
        <rFont val="맑은 고딕"/>
        <family val="3"/>
        <charset val="129"/>
      </rPr>
      <t xml:space="preserve"> 로 유지할 수 있어야 함 
(단, 태양 지향 모드에서는 TBD deg/s 를 유지해야 함)</t>
    </r>
    <phoneticPr fontId="1" type="noConversion"/>
  </si>
  <si>
    <t>S/W Patch</t>
    <phoneticPr fontId="1" type="noConversion"/>
  </si>
  <si>
    <t>위성의 소프트웨어는 지상국에 의해 수정될 수 있어야 함</t>
    <phoneticPr fontId="1" type="noConversion"/>
  </si>
  <si>
    <t>Data interface</t>
    <phoneticPr fontId="1" type="noConversion"/>
  </si>
  <si>
    <t>Data Management</t>
    <phoneticPr fontId="1" type="noConversion"/>
  </si>
  <si>
    <t>CNDH-001</t>
    <phoneticPr fontId="1" type="noConversion"/>
  </si>
  <si>
    <t>CNDH-002</t>
  </si>
  <si>
    <t>UHF Frequency</t>
    <phoneticPr fontId="1" type="noConversion"/>
  </si>
  <si>
    <t>S-band frequency</t>
    <phoneticPr fontId="1" type="noConversion"/>
  </si>
  <si>
    <r>
      <t xml:space="preserve">위성은 S-band 대역으로 지상국의 명령을 데이터의 손실 없이 받을 수 있어야 함 (&gt; </t>
    </r>
    <r>
      <rPr>
        <sz val="11"/>
        <color rgb="FFFF0000"/>
        <rFont val="맑은 고딕"/>
        <family val="3"/>
        <charset val="129"/>
        <scheme val="minor"/>
      </rPr>
      <t>TBD</t>
    </r>
    <r>
      <rPr>
        <sz val="11"/>
        <rFont val="맑은 고딕"/>
        <family val="3"/>
        <charset val="129"/>
        <scheme val="minor"/>
      </rPr>
      <t xml:space="preserve"> bps)</t>
    </r>
    <phoneticPr fontId="1" type="noConversion"/>
  </si>
  <si>
    <r>
      <t>위성은 UHF 대역으로 지상국에 손실없이 데이터를 송신해야함 (UHF: &gt;</t>
    </r>
    <r>
      <rPr>
        <sz val="11"/>
        <color rgb="FFFF0000"/>
        <rFont val="맑은 고딕"/>
        <family val="3"/>
        <charset val="129"/>
        <scheme val="minor"/>
      </rPr>
      <t>TBD</t>
    </r>
    <r>
      <rPr>
        <sz val="11"/>
        <rFont val="맑은 고딕"/>
        <family val="3"/>
        <charset val="129"/>
        <scheme val="minor"/>
      </rPr>
      <t xml:space="preserve">bps) </t>
    </r>
    <phoneticPr fontId="1" type="noConversion"/>
  </si>
  <si>
    <r>
      <t>위성은 S-band 대역으로 지상국에 손실없이 데이터를 송신해야함 (S-band: &gt;</t>
    </r>
    <r>
      <rPr>
        <sz val="11"/>
        <color rgb="FFFF0000"/>
        <rFont val="맑은 고딕"/>
        <family val="3"/>
        <charset val="129"/>
        <scheme val="minor"/>
      </rPr>
      <t>TBD</t>
    </r>
    <r>
      <rPr>
        <sz val="11"/>
        <rFont val="맑은 고딕"/>
        <family val="3"/>
        <charset val="129"/>
        <scheme val="minor"/>
      </rPr>
      <t xml:space="preserve">bps) </t>
    </r>
    <phoneticPr fontId="1" type="noConversion"/>
  </si>
  <si>
    <r>
      <t xml:space="preserve">UHF 대역은 </t>
    </r>
    <r>
      <rPr>
        <sz val="11"/>
        <color rgb="FFFF0000"/>
        <rFont val="맑은 고딕"/>
        <family val="3"/>
        <charset val="129"/>
        <scheme val="minor"/>
      </rPr>
      <t>TBD±TBD Hz</t>
    </r>
    <r>
      <rPr>
        <sz val="11"/>
        <rFont val="맑은 고딕"/>
        <family val="3"/>
        <charset val="129"/>
        <scheme val="minor"/>
      </rPr>
      <t>을 사용해야 함</t>
    </r>
    <phoneticPr fontId="1" type="noConversion"/>
  </si>
  <si>
    <r>
      <t>S 밴드 대역은</t>
    </r>
    <r>
      <rPr>
        <sz val="11"/>
        <color rgb="FFFF0000"/>
        <rFont val="맑은 고딕"/>
        <family val="3"/>
        <charset val="129"/>
        <scheme val="minor"/>
      </rPr>
      <t xml:space="preserve"> TBD±TBD Hz을 </t>
    </r>
    <r>
      <rPr>
        <sz val="11"/>
        <color theme="1"/>
        <rFont val="맑은 고딕"/>
        <family val="3"/>
        <charset val="129"/>
        <scheme val="minor"/>
      </rPr>
      <t>사용해야 함</t>
    </r>
    <phoneticPr fontId="1" type="noConversion"/>
  </si>
  <si>
    <r>
      <t xml:space="preserve">큐브 위성의 질량은 </t>
    </r>
    <r>
      <rPr>
        <sz val="11"/>
        <color rgb="FFFF0000"/>
        <rFont val="맑은 고딕"/>
        <family val="3"/>
        <charset val="129"/>
        <scheme val="minor"/>
      </rPr>
      <t>TBD</t>
    </r>
    <r>
      <rPr>
        <sz val="11"/>
        <rFont val="맑은 고딕"/>
        <family val="3"/>
        <charset val="129"/>
        <scheme val="minor"/>
      </rPr>
      <t xml:space="preserve"> kg ± TBD 이어야 함</t>
    </r>
    <phoneticPr fontId="1" type="noConversion"/>
  </si>
  <si>
    <r>
      <t>큐브 위성의 크기는 100.0 x 100.0 x 340.5 mm</t>
    </r>
    <r>
      <rPr>
        <vertAlign val="superscript"/>
        <sz val="11"/>
        <rFont val="맑은 고딕"/>
        <family val="3"/>
        <charset val="129"/>
        <scheme val="minor"/>
      </rPr>
      <t xml:space="preserve">3 </t>
    </r>
    <r>
      <rPr>
        <sz val="11"/>
        <rFont val="맑은 고딕"/>
        <family val="3"/>
        <charset val="129"/>
        <scheme val="minor"/>
      </rPr>
      <t>±</t>
    </r>
    <r>
      <rPr>
        <sz val="11"/>
        <color rgb="FFFF0000"/>
        <rFont val="맑은 고딕"/>
        <family val="3"/>
        <charset val="129"/>
        <scheme val="minor"/>
      </rPr>
      <t xml:space="preserve"> TBD</t>
    </r>
    <r>
      <rPr>
        <sz val="11"/>
        <rFont val="맑은 고딕"/>
        <family val="3"/>
        <charset val="129"/>
        <scheme val="minor"/>
      </rPr>
      <t xml:space="preserve"> 함</t>
    </r>
    <phoneticPr fontId="1" type="noConversion"/>
  </si>
  <si>
    <t>큐브위성의 Margin of Safety(안전여유)는 TBD 이상이어야 함</t>
    <phoneticPr fontId="1" type="noConversion"/>
  </si>
  <si>
    <r>
      <t xml:space="preserve">큐브위성는 X, Y, Z 방향으로 각각 </t>
    </r>
    <r>
      <rPr>
        <sz val="11"/>
        <color rgb="FFFF0000"/>
        <rFont val="맑은 고딕"/>
        <family val="3"/>
        <charset val="129"/>
        <scheme val="minor"/>
      </rPr>
      <t>TBD G</t>
    </r>
    <r>
      <rPr>
        <sz val="11"/>
        <color theme="1"/>
        <rFont val="맑은 고딕"/>
        <family val="3"/>
        <charset val="129"/>
        <scheme val="minor"/>
      </rPr>
      <t>의  준적정 하중을 견딜 수 있어야 함</t>
    </r>
    <phoneticPr fontId="1" type="noConversion"/>
  </si>
  <si>
    <t>큐브위성은 발사체에서 요구하는 Random/Sinusoidal Vibration을 견딜 수 있어야 함</t>
    <phoneticPr fontId="1" type="noConversion"/>
  </si>
  <si>
    <t>큐브위성은 충격 특성은 발사체의 요구조건을 만족해야 함</t>
    <phoneticPr fontId="1" type="noConversion"/>
  </si>
  <si>
    <t>큐브위성의 -Z 방향 면에 최소 한 개의 Deployment Switch가 위치하여야 함</t>
    <phoneticPr fontId="1" type="noConversion"/>
  </si>
  <si>
    <t>큐브위성은 발사관의 형상에 따라 TBDmm 이하의 돌출 형상을 가져야 함</t>
    <phoneticPr fontId="1" type="noConversion"/>
  </si>
  <si>
    <t>LSS-001</t>
    <phoneticPr fontId="1" type="noConversion"/>
  </si>
  <si>
    <t>LST-001</t>
    <phoneticPr fontId="1" type="noConversion"/>
  </si>
  <si>
    <t>LST-002</t>
  </si>
  <si>
    <t>LSE-003</t>
  </si>
  <si>
    <t>LSE-001</t>
    <phoneticPr fontId="1" type="noConversion"/>
  </si>
  <si>
    <t>LSE-002</t>
  </si>
  <si>
    <t>LSE-004</t>
  </si>
  <si>
    <t>LSE-005</t>
  </si>
  <si>
    <t>EPS 부품의 고장을 검출 및 수집할 수 있어야 함</t>
    <phoneticPr fontId="1" type="noConversion"/>
  </si>
  <si>
    <t>레이저 검출기의 암전류는 광전력보다 낮아야 함</t>
    <phoneticPr fontId="1" type="noConversion"/>
  </si>
  <si>
    <t>LSS-002</t>
  </si>
  <si>
    <t>LSS-003</t>
  </si>
  <si>
    <t>Checking Device</t>
    <phoneticPr fontId="1" type="noConversion"/>
  </si>
  <si>
    <t>Data handling</t>
    <phoneticPr fontId="1" type="noConversion"/>
  </si>
  <si>
    <t>데이터 시트 확인 및 양자 노출 시험</t>
    <phoneticPr fontId="1" type="noConversion"/>
  </si>
  <si>
    <t>데이터 시트 확인 및 양자노출검사</t>
    <phoneticPr fontId="1" type="noConversion"/>
  </si>
  <si>
    <t>데이터 시트 확인 및 열 해석,
열진공시험</t>
    <phoneticPr fontId="1" type="noConversion"/>
  </si>
  <si>
    <t>Number of Photodiode</t>
    <phoneticPr fontId="1" type="noConversion"/>
  </si>
  <si>
    <t>PD-006</t>
  </si>
  <si>
    <t>Output data</t>
    <phoneticPr fontId="1" type="noConversion"/>
  </si>
  <si>
    <t>LSE-006</t>
  </si>
  <si>
    <t>Launch Vehicle Requirement</t>
  </si>
  <si>
    <t>구조해석 및 진동시험, 충격시험</t>
    <phoneticPr fontId="1" type="noConversion"/>
  </si>
  <si>
    <t>구조해석 및 진동시험, 충격시험 후 작동 시험</t>
    <phoneticPr fontId="1" type="noConversion"/>
  </si>
  <si>
    <t>Resistance</t>
  </si>
  <si>
    <t>reverse voltage</t>
  </si>
  <si>
    <t>열해석</t>
    <phoneticPr fontId="1" type="noConversion"/>
  </si>
  <si>
    <t>큐브위성의 진동모드 특성은 발사체의 진동 특성보다 TBDHz 높아야 함</t>
    <phoneticPr fontId="1" type="noConversion"/>
  </si>
  <si>
    <t>구조해석 및 발사환경시험</t>
    <phoneticPr fontId="1" type="noConversion"/>
  </si>
  <si>
    <t>MATLAB 시뮬레이션 및 
FSW 기능 시험</t>
    <phoneticPr fontId="1" type="noConversion"/>
  </si>
  <si>
    <t>위성은 운용 기간 중 임무 데이터 및 상태 정보를 저장하고 명령에 따라 저장된 정보를 하향/삭제할 수 있어야 함</t>
    <phoneticPr fontId="1" type="noConversion"/>
  </si>
  <si>
    <t>지상국 명령에 따른 S/W 변경</t>
    <phoneticPr fontId="1" type="noConversion"/>
  </si>
  <si>
    <t>하양 정보 수신 및 원격 삭제</t>
    <phoneticPr fontId="1" type="noConversion"/>
  </si>
  <si>
    <t>데이터 시트 확인 및 OBC 기능 시험</t>
    <phoneticPr fontId="1" type="noConversion"/>
  </si>
  <si>
    <t>위성의 인터페이스는 CAN, I2C, SPI, GPIO (TBD)를 사용하여 서브시스템과 충돌없이 통신이 가능해야 함</t>
    <phoneticPr fontId="1" type="noConversion"/>
  </si>
  <si>
    <t>데이터 시트 확인 및 OBC 연동 시험</t>
    <phoneticPr fontId="1" type="noConversion"/>
  </si>
  <si>
    <t>MATLAB/SMULINK 시뮬레이션, 전력 시험</t>
    <phoneticPr fontId="1" type="noConversion"/>
  </si>
  <si>
    <t>MATLAB/SIMULINK 시뮬레이션, 전력시험</t>
    <phoneticPr fontId="1" type="noConversion"/>
  </si>
  <si>
    <t>UHF Downlink Time</t>
    <phoneticPr fontId="1" type="noConversion"/>
  </si>
  <si>
    <t>S-band Downlink Time</t>
    <phoneticPr fontId="1" type="noConversion"/>
  </si>
  <si>
    <t>COMS-001</t>
    <phoneticPr fontId="1" type="noConversion"/>
  </si>
  <si>
    <t>COMS-002</t>
  </si>
  <si>
    <t>COMS-007</t>
  </si>
  <si>
    <t>PAYS-007</t>
  </si>
  <si>
    <t>레이저 감지 시험</t>
    <phoneticPr fontId="1" type="noConversion"/>
  </si>
  <si>
    <t>열 해석 및 열진공 시험, 양자 노출 시험</t>
    <phoneticPr fontId="1" type="noConversion"/>
  </si>
  <si>
    <t>3차원 모델링 및 위성 질량 측정</t>
    <phoneticPr fontId="1" type="noConversion"/>
  </si>
  <si>
    <t>서브 시스템 HW 및 MCU 핀 검토</t>
    <phoneticPr fontId="1" type="noConversion"/>
  </si>
  <si>
    <t xml:space="preserve"> </t>
    <phoneticPr fontId="1" type="noConversion"/>
  </si>
  <si>
    <t>대즐링 카메라 탑재체 요구조건 (Dazzling camera Payload requirement)</t>
    <phoneticPr fontId="1" type="noConversion"/>
  </si>
  <si>
    <t>레이저 검출기 탑재체 (Laser detector Payload requirement)</t>
    <phoneticPr fontId="1" type="noConversion"/>
  </si>
  <si>
    <t>대즐링 카메라 탑재체의 크기는 TBD mm 이하</t>
    <phoneticPr fontId="1" type="noConversion"/>
  </si>
  <si>
    <t>대즐링 카메라 탑자체의 무게는 TBD kg 이하</t>
    <phoneticPr fontId="1" type="noConversion"/>
  </si>
  <si>
    <t>대즐링 카메라 탑재체의 소모 전력은 TBD 이하</t>
    <phoneticPr fontId="1" type="noConversion"/>
  </si>
  <si>
    <t>대즐링 카메라 탑재체는 임무 궤도의 열 및 방사선 환경을 견딤</t>
    <phoneticPr fontId="1" type="noConversion"/>
  </si>
  <si>
    <t>대즐링 카메라 탑재체는 발사, 궤도 진입, 운용관점에서 본체와 구조적/전기적으로 결함됨</t>
    <phoneticPr fontId="1" type="noConversion"/>
  </si>
  <si>
    <t>PAYC-001</t>
    <phoneticPr fontId="1" type="noConversion"/>
  </si>
  <si>
    <t>PAYC-002</t>
  </si>
  <si>
    <t>PAYC-003</t>
  </si>
  <si>
    <t>PAYC-004</t>
  </si>
  <si>
    <t>PAYC-005</t>
  </si>
  <si>
    <t>PAYC-006</t>
  </si>
  <si>
    <t>PAYC-007</t>
  </si>
  <si>
    <t>PAYC-008</t>
  </si>
  <si>
    <t>Thermal and Radiation condtion</t>
    <phoneticPr fontId="1" type="noConversion"/>
  </si>
  <si>
    <r>
      <t>큐브위성용 카메라 시스템은</t>
    </r>
    <r>
      <rPr>
        <sz val="11"/>
        <color rgb="FFFF0000"/>
        <rFont val="맑은 고딕"/>
        <family val="3"/>
        <charset val="129"/>
        <scheme val="minor"/>
      </rPr>
      <t xml:space="preserve"> TBD sec</t>
    </r>
    <r>
      <rPr>
        <sz val="11"/>
        <rFont val="맑은 고딕"/>
        <family val="3"/>
        <charset val="129"/>
        <scheme val="minor"/>
      </rPr>
      <t xml:space="preserve"> 당 한번 이상 촬영</t>
    </r>
    <phoneticPr fontId="1" type="noConversion"/>
  </si>
  <si>
    <t>큐브위성용 카메라 시스템 구조계 (CubeSat camera SMS)</t>
    <phoneticPr fontId="1" type="noConversion"/>
  </si>
  <si>
    <r>
      <t xml:space="preserve">큐브위성용 카메라 시스템 무게는 </t>
    </r>
    <r>
      <rPr>
        <sz val="11"/>
        <color rgb="FFFF0000"/>
        <rFont val="맑은 고딕"/>
        <family val="3"/>
        <charset val="129"/>
        <scheme val="minor"/>
      </rPr>
      <t>TBDkg ± TBD</t>
    </r>
    <r>
      <rPr>
        <sz val="11"/>
        <rFont val="맑은 고딕"/>
        <family val="3"/>
        <charset val="129"/>
        <scheme val="minor"/>
      </rPr>
      <t>이하여야 함</t>
    </r>
    <phoneticPr fontId="1" type="noConversion"/>
  </si>
  <si>
    <r>
      <t xml:space="preserve">큐브위성용 카메라 시스템 전체 크기는 </t>
    </r>
    <r>
      <rPr>
        <sz val="11"/>
        <color rgb="FFFF0000"/>
        <rFont val="맑은 고딕"/>
        <family val="3"/>
        <charset val="129"/>
        <scheme val="minor"/>
      </rPr>
      <t>TBD 이하</t>
    </r>
    <r>
      <rPr>
        <sz val="11"/>
        <rFont val="맑은 고딕"/>
        <family val="3"/>
        <charset val="129"/>
        <scheme val="minor"/>
      </rPr>
      <t>여야 함</t>
    </r>
    <phoneticPr fontId="1" type="noConversion"/>
  </si>
  <si>
    <t>큐브위성용 카메라 시스템은 본체와 구조적으로 결합되어 발사체 요구조건을 만족해야 함</t>
    <phoneticPr fontId="1" type="noConversion"/>
  </si>
  <si>
    <r>
      <t xml:space="preserve">큐브위성용 카메라 시스템은 </t>
    </r>
    <r>
      <rPr>
        <sz val="11"/>
        <color rgb="FFFF0000"/>
        <rFont val="맑은 고딕"/>
        <family val="3"/>
        <charset val="129"/>
        <scheme val="minor"/>
      </rPr>
      <t>-40°C에서 +85°C</t>
    </r>
    <r>
      <rPr>
        <sz val="11"/>
        <rFont val="맑은 고딕"/>
        <family val="3"/>
        <charset val="129"/>
        <scheme val="minor"/>
      </rPr>
      <t xml:space="preserve"> 사이에 작동 가능해야 함</t>
    </r>
    <phoneticPr fontId="1" type="noConversion"/>
  </si>
  <si>
    <r>
      <t xml:space="preserve">큐브위성용 카메라 시스템은 작동 온도 범위에서 적어도 </t>
    </r>
    <r>
      <rPr>
        <sz val="11"/>
        <color rgb="FFFF0000"/>
        <rFont val="맑은 고딕"/>
        <family val="3"/>
        <charset val="129"/>
        <scheme val="minor"/>
      </rPr>
      <t>TBD</t>
    </r>
    <r>
      <rPr>
        <sz val="11"/>
        <rFont val="맑은 고딕"/>
        <family val="3"/>
        <charset val="129"/>
        <scheme val="minor"/>
      </rPr>
      <t>의 uncertainty을 가져야 함</t>
    </r>
    <phoneticPr fontId="1" type="noConversion"/>
  </si>
  <si>
    <t>큐브위성용 카메라 시스템 열제어계 (CubeSat camera TCS)</t>
    <phoneticPr fontId="1" type="noConversion"/>
  </si>
  <si>
    <r>
      <t xml:space="preserve">레이저 검출기의 반응속도는 </t>
    </r>
    <r>
      <rPr>
        <sz val="11"/>
        <color rgb="FFFF0000"/>
        <rFont val="맑은 고딕"/>
        <family val="3"/>
        <charset val="129"/>
        <scheme val="minor"/>
      </rPr>
      <t>TBD</t>
    </r>
    <r>
      <rPr>
        <sz val="11"/>
        <rFont val="맑은 고딕"/>
        <family val="3"/>
        <charset val="129"/>
        <scheme val="minor"/>
      </rPr>
      <t xml:space="preserve"> 이하</t>
    </r>
    <phoneticPr fontId="1" type="noConversion"/>
  </si>
  <si>
    <t>레이저 감지 시스템 전자계 (Laser sening ES)</t>
    <phoneticPr fontId="1" type="noConversion"/>
  </si>
  <si>
    <t>레이저 감지 서브시스템 (Laser detecting Subsystem)</t>
    <phoneticPr fontId="1" type="noConversion"/>
  </si>
  <si>
    <t>레이저 감지 시스템 구조계 (Laser sensing SMS)</t>
    <phoneticPr fontId="1" type="noConversion"/>
  </si>
  <si>
    <t>레이저 감지 시스템 열제어계 (Laser sensing TCS)</t>
    <phoneticPr fontId="1" type="noConversion"/>
  </si>
  <si>
    <r>
      <t xml:space="preserve">레이저 감지기의 전력 소모는 </t>
    </r>
    <r>
      <rPr>
        <sz val="11"/>
        <color rgb="FFFF0000"/>
        <rFont val="맑은 고딕"/>
        <family val="3"/>
        <charset val="129"/>
        <scheme val="minor"/>
      </rPr>
      <t xml:space="preserve">TBD </t>
    </r>
    <r>
      <rPr>
        <sz val="11"/>
        <rFont val="맑은 고딕"/>
        <family val="3"/>
        <charset val="129"/>
        <scheme val="minor"/>
      </rPr>
      <t>이하</t>
    </r>
    <phoneticPr fontId="1" type="noConversion"/>
  </si>
  <si>
    <t>레이저 감지기 탑재체는 발사, 궤도 진입, 운용관점에서 본체와 구조적/전기적으로 결합됨</t>
    <phoneticPr fontId="1" type="noConversion"/>
  </si>
  <si>
    <t>레이저 감지기 탑재체의 무게는 TBD kg 이하</t>
    <phoneticPr fontId="1" type="noConversion"/>
  </si>
  <si>
    <t>레이저 감지기 탑재체의 크기는 TBD 이하</t>
    <phoneticPr fontId="1" type="noConversion"/>
  </si>
  <si>
    <t>레이저 감지기 탑재체의 전력 소모는 TBD 이하</t>
    <phoneticPr fontId="1" type="noConversion"/>
  </si>
  <si>
    <r>
      <t xml:space="preserve">레이저 감지기는 본체로 부터 </t>
    </r>
    <r>
      <rPr>
        <sz val="11"/>
        <color rgb="FFFF0000"/>
        <rFont val="맑은 고딕"/>
        <family val="3"/>
        <charset val="129"/>
        <scheme val="minor"/>
      </rPr>
      <t>TBD</t>
    </r>
    <r>
      <rPr>
        <sz val="11"/>
        <rFont val="맑은 고딕"/>
        <family val="3"/>
        <charset val="129"/>
        <scheme val="minor"/>
      </rPr>
      <t>V의 전압을 공급받아 운용됨</t>
    </r>
    <phoneticPr fontId="1" type="noConversion"/>
  </si>
  <si>
    <t>레이저 감지기의 상태 정보를 본체에 전달함</t>
    <phoneticPr fontId="1" type="noConversion"/>
  </si>
  <si>
    <t>레이저 감지기의 임무 수행 데이터를 본체에 전달함</t>
    <phoneticPr fontId="1" type="noConversion"/>
  </si>
  <si>
    <t>레이저 감지기의 모든 부품은 임무 궤도의 방사선 환경을 견딤</t>
    <phoneticPr fontId="1" type="noConversion"/>
  </si>
  <si>
    <t>레이저 감지기의 인터페이스 버스는 CAN-bus와 보조용 인터페이스를 사용함</t>
    <phoneticPr fontId="1" type="noConversion"/>
  </si>
  <si>
    <r>
      <t xml:space="preserve">레이저 감지기의 무게는 </t>
    </r>
    <r>
      <rPr>
        <sz val="11"/>
        <color rgb="FFFF0000"/>
        <rFont val="맑은 고딕"/>
        <family val="3"/>
        <charset val="129"/>
        <scheme val="minor"/>
      </rPr>
      <t>TBDkg ± TBD</t>
    </r>
    <r>
      <rPr>
        <sz val="11"/>
        <rFont val="맑은 고딕"/>
        <family val="3"/>
        <charset val="129"/>
        <scheme val="minor"/>
      </rPr>
      <t>이하</t>
    </r>
    <phoneticPr fontId="1" type="noConversion"/>
  </si>
  <si>
    <r>
      <t xml:space="preserve">레이저 감지기의 크기는 </t>
    </r>
    <r>
      <rPr>
        <sz val="11"/>
        <color rgb="FFFF0000"/>
        <rFont val="맑은 고딕"/>
        <family val="3"/>
        <charset val="129"/>
        <scheme val="minor"/>
      </rPr>
      <t>TBD 이하</t>
    </r>
    <phoneticPr fontId="1" type="noConversion"/>
  </si>
  <si>
    <t>레이저 감지기는 본체와 구조적으로 결합되어 발사체 요구조건을 만족함</t>
    <phoneticPr fontId="1" type="noConversion"/>
  </si>
  <si>
    <r>
      <t xml:space="preserve">레이저 감지기는 </t>
    </r>
    <r>
      <rPr>
        <sz val="11"/>
        <color rgb="FFFF0000"/>
        <rFont val="맑은 고딕"/>
        <family val="3"/>
        <charset val="129"/>
        <scheme val="minor"/>
      </rPr>
      <t>-40°C에서 +85°C</t>
    </r>
    <r>
      <rPr>
        <sz val="11"/>
        <rFont val="맑은 고딕"/>
        <family val="3"/>
        <charset val="129"/>
        <scheme val="minor"/>
      </rPr>
      <t xml:space="preserve"> 사이에 작동 가능함</t>
    </r>
    <phoneticPr fontId="1" type="noConversion"/>
  </si>
  <si>
    <r>
      <t xml:space="preserve">레이저 감지기는 작동 온도 범위에서 적어도 </t>
    </r>
    <r>
      <rPr>
        <sz val="11"/>
        <color rgb="FFFF0000"/>
        <rFont val="맑은 고딕"/>
        <family val="3"/>
        <charset val="129"/>
        <scheme val="minor"/>
      </rPr>
      <t>TBD</t>
    </r>
    <r>
      <rPr>
        <sz val="11"/>
        <rFont val="맑은 고딕"/>
        <family val="3"/>
        <charset val="129"/>
        <scheme val="minor"/>
      </rPr>
      <t>의 uncertainty을 가짐</t>
    </r>
    <phoneticPr fontId="1" type="noConversion"/>
  </si>
  <si>
    <r>
      <t>포토다이오드는</t>
    </r>
    <r>
      <rPr>
        <sz val="11"/>
        <color rgb="FFFF0000"/>
        <rFont val="맑은 고딕"/>
        <family val="3"/>
        <charset val="129"/>
        <scheme val="minor"/>
      </rPr>
      <t xml:space="preserve"> -40°C에서 +85°C 사이(TBD)</t>
    </r>
    <r>
      <rPr>
        <sz val="11"/>
        <rFont val="맑은 고딕"/>
        <family val="3"/>
        <charset val="129"/>
        <scheme val="minor"/>
      </rPr>
      <t>에 작동 가능함</t>
    </r>
    <phoneticPr fontId="1" type="noConversion"/>
  </si>
  <si>
    <t>포토다이오드는 임무 궤도의 방사선 환경을 견딤</t>
    <phoneticPr fontId="1" type="noConversion"/>
  </si>
  <si>
    <r>
      <t xml:space="preserve">포토다이오드 크기는 </t>
    </r>
    <r>
      <rPr>
        <sz val="11"/>
        <color rgb="FFFF0000"/>
        <rFont val="맑은 고딕"/>
        <family val="3"/>
        <charset val="129"/>
        <scheme val="minor"/>
      </rPr>
      <t>TBD</t>
    </r>
    <r>
      <rPr>
        <sz val="11"/>
        <rFont val="맑은 고딕"/>
        <family val="3"/>
        <charset val="129"/>
        <scheme val="minor"/>
      </rPr>
      <t xml:space="preserve"> 임</t>
    </r>
    <phoneticPr fontId="1" type="noConversion"/>
  </si>
  <si>
    <r>
      <t xml:space="preserve">포토다이오드의 개수는 최소 </t>
    </r>
    <r>
      <rPr>
        <sz val="11"/>
        <color rgb="FFFF0000"/>
        <rFont val="맑은 고딕"/>
        <family val="3"/>
        <charset val="129"/>
        <scheme val="minor"/>
      </rPr>
      <t>TBD개</t>
    </r>
    <r>
      <rPr>
        <sz val="11"/>
        <color theme="1"/>
        <rFont val="맑은 고딕"/>
        <family val="3"/>
        <charset val="129"/>
        <scheme val="minor"/>
      </rPr>
      <t xml:space="preserve"> 이상</t>
    </r>
    <phoneticPr fontId="1" type="noConversion"/>
  </si>
  <si>
    <r>
      <t>LDU 회로 내의 모든 소자는</t>
    </r>
    <r>
      <rPr>
        <sz val="11"/>
        <color rgb="FFFF0000"/>
        <rFont val="맑은 고딕"/>
        <family val="3"/>
        <charset val="129"/>
        <scheme val="minor"/>
      </rPr>
      <t xml:space="preserve"> -40°C에서 +85°C 사이(TBD)</t>
    </r>
    <r>
      <rPr>
        <sz val="11"/>
        <rFont val="맑은 고딕"/>
        <family val="3"/>
        <charset val="129"/>
        <scheme val="minor"/>
      </rPr>
      <t>에 작동 가능함</t>
    </r>
    <phoneticPr fontId="1" type="noConversion"/>
  </si>
  <si>
    <t>LDU 회로는 임무 궤도의 방사선 환경을 견딤</t>
    <phoneticPr fontId="1" type="noConversion"/>
  </si>
  <si>
    <t>LDU 회로의 부하 저항은 TBD 이하</t>
    <phoneticPr fontId="1" type="noConversion"/>
  </si>
  <si>
    <t>LDU 회로의 역전압은 TBD 임</t>
    <phoneticPr fontId="1" type="noConversion"/>
  </si>
  <si>
    <t>LDU 회로의 출력값은 TBD 범위의 Voltage 값으로 변환함</t>
    <phoneticPr fontId="1" type="noConversion"/>
  </si>
  <si>
    <t>전개형반사탑재체는 임무 궤도의 열 및 방사선 환경을 견딤</t>
    <phoneticPr fontId="1" type="noConversion"/>
  </si>
  <si>
    <t>전개형반사탑재체는 발사, 궤도 진입, 운용관점에서 본체와 구조적/전기적으로 결합됨</t>
    <phoneticPr fontId="1" type="noConversion"/>
  </si>
  <si>
    <t>전개형반사탑재체의 전개를 확인할 수 있는 시스템이 필요함</t>
    <phoneticPr fontId="1" type="noConversion"/>
  </si>
  <si>
    <t>박막 전개장치는 전개시 1m x 1m 이상</t>
    <phoneticPr fontId="1" type="noConversion"/>
  </si>
  <si>
    <t>박막 전개장치는 본체와 구조적으로 결합되어 발사체 요구조건을 만족함</t>
    <phoneticPr fontId="1" type="noConversion"/>
  </si>
  <si>
    <r>
      <t xml:space="preserve">박막 전개장치의 구조물은 작동 온도 범위에서 적어도 </t>
    </r>
    <r>
      <rPr>
        <sz val="11"/>
        <color rgb="FFFF0000"/>
        <rFont val="맑은 고딕"/>
        <family val="3"/>
        <charset val="129"/>
        <scheme val="minor"/>
      </rPr>
      <t>TBD</t>
    </r>
    <r>
      <rPr>
        <sz val="11"/>
        <rFont val="맑은 고딕"/>
        <family val="3"/>
        <charset val="129"/>
        <scheme val="minor"/>
      </rPr>
      <t>의 uncertainty을 가짐</t>
    </r>
    <phoneticPr fontId="1" type="noConversion"/>
  </si>
  <si>
    <t>박막 전개장치의 모든 하드웨어의 온도는 보관 온도 내에 있어야 하며, 해당 하드웨어를 사용하는 경우 작동 온도 범위 내로 온도가 유지됨</t>
    <phoneticPr fontId="1" type="noConversion"/>
  </si>
  <si>
    <r>
      <t xml:space="preserve">박막 전개장치의 전력 소모는 </t>
    </r>
    <r>
      <rPr>
        <sz val="11"/>
        <color rgb="FFFF0000"/>
        <rFont val="맑은 고딕"/>
        <family val="3"/>
        <charset val="129"/>
        <scheme val="minor"/>
      </rPr>
      <t>TBD</t>
    </r>
    <r>
      <rPr>
        <sz val="11"/>
        <rFont val="맑은 고딕"/>
        <family val="3"/>
        <charset val="129"/>
        <scheme val="minor"/>
      </rPr>
      <t xml:space="preserve"> 이하</t>
    </r>
    <phoneticPr fontId="1" type="noConversion"/>
  </si>
  <si>
    <t>박막 전개장치의 전자계는 박막 전개장치의 상태 정보를 본체에 전달함</t>
    <phoneticPr fontId="1" type="noConversion"/>
  </si>
  <si>
    <t>박막 전개장치의 인터페이스 버스는 CAN-bus와 보조용 인터페이스를 사용함</t>
    <phoneticPr fontId="1" type="noConversion"/>
  </si>
  <si>
    <r>
      <t xml:space="preserve">전개형반사탑재체의 전력 소모는 </t>
    </r>
    <r>
      <rPr>
        <sz val="11"/>
        <color rgb="FFFF0000"/>
        <rFont val="맑은 고딕"/>
        <family val="3"/>
        <charset val="129"/>
        <scheme val="minor"/>
      </rPr>
      <t>TBDW</t>
    </r>
    <r>
      <rPr>
        <sz val="11"/>
        <rFont val="맑은 고딕"/>
        <family val="3"/>
        <charset val="129"/>
        <scheme val="minor"/>
      </rPr>
      <t xml:space="preserve"> 이하</t>
    </r>
    <phoneticPr fontId="1" type="noConversion"/>
  </si>
  <si>
    <t>박막 전개장치의 박막은 1064nm 파장에 대해 16%이상의 반사도를 가짐</t>
    <phoneticPr fontId="1" type="noConversion"/>
  </si>
  <si>
    <t>PAYR-005</t>
  </si>
  <si>
    <t>PAYR-006</t>
  </si>
  <si>
    <r>
      <t xml:space="preserve">큐브 위성 본체의 모든 부품과 하네스는 임무기간인 </t>
    </r>
    <r>
      <rPr>
        <sz val="11"/>
        <color rgb="FFFF0000"/>
        <rFont val="맑은 고딕"/>
        <family val="3"/>
        <charset val="129"/>
        <scheme val="minor"/>
      </rPr>
      <t>TBD개월</t>
    </r>
    <r>
      <rPr>
        <sz val="11"/>
        <color theme="1"/>
        <rFont val="맑은 고딕"/>
        <family val="3"/>
        <charset val="129"/>
        <scheme val="minor"/>
      </rPr>
      <t xml:space="preserve"> 동안 우주에서 정상 작동함</t>
    </r>
    <phoneticPr fontId="1" type="noConversion"/>
  </si>
  <si>
    <r>
      <t xml:space="preserve">큐브 위성 본체의 모든 부품과 하네스는 개발 완료 후 최소 </t>
    </r>
    <r>
      <rPr>
        <sz val="11"/>
        <color rgb="FFFF0000"/>
        <rFont val="맑은 고딕"/>
        <family val="3"/>
        <charset val="129"/>
        <scheme val="minor"/>
      </rPr>
      <t>TBD개월</t>
    </r>
    <r>
      <rPr>
        <sz val="11"/>
        <color theme="1"/>
        <rFont val="맑은 고딕"/>
        <family val="3"/>
        <charset val="129"/>
        <scheme val="minor"/>
      </rPr>
      <t>간 지상 보관 후에도 정상 작동함</t>
    </r>
    <phoneticPr fontId="1" type="noConversion"/>
  </si>
  <si>
    <r>
      <t xml:space="preserve">큐브 위성 본체의 질량은 </t>
    </r>
    <r>
      <rPr>
        <sz val="11"/>
        <color rgb="FFFF0000"/>
        <rFont val="맑은 고딕"/>
        <family val="3"/>
        <charset val="129"/>
        <scheme val="minor"/>
      </rPr>
      <t>TBD</t>
    </r>
    <r>
      <rPr>
        <sz val="11"/>
        <rFont val="맑은 고딕"/>
        <family val="3"/>
        <charset val="129"/>
        <scheme val="minor"/>
      </rPr>
      <t xml:space="preserve"> kg 미만</t>
    </r>
    <phoneticPr fontId="1" type="noConversion"/>
  </si>
  <si>
    <r>
      <t>큐브 위성 본체의 크기는 100.0 x 100.0 x 340.5 mm</t>
    </r>
    <r>
      <rPr>
        <vertAlign val="superscript"/>
        <sz val="11"/>
        <rFont val="맑은 고딕"/>
        <family val="3"/>
        <charset val="129"/>
        <scheme val="minor"/>
      </rPr>
      <t xml:space="preserve">3 </t>
    </r>
    <r>
      <rPr>
        <sz val="11"/>
        <rFont val="맑은 고딕"/>
        <family val="3"/>
        <charset val="129"/>
        <scheme val="minor"/>
      </rPr>
      <t>이하</t>
    </r>
    <phoneticPr fontId="1" type="noConversion"/>
  </si>
  <si>
    <r>
      <t xml:space="preserve">큐브 위성은 </t>
    </r>
    <r>
      <rPr>
        <sz val="11"/>
        <color rgb="FFFF0000"/>
        <rFont val="맑은 고딕"/>
        <family val="3"/>
        <charset val="129"/>
        <scheme val="minor"/>
      </rPr>
      <t>TBD 일</t>
    </r>
    <r>
      <rPr>
        <sz val="11"/>
        <rFont val="맑은 고딕"/>
        <family val="3"/>
        <charset val="129"/>
        <scheme val="minor"/>
      </rPr>
      <t xml:space="preserve"> 이상의 주요 전자 부품 상태 데이터 및 임무 데이터 수집이 가능함</t>
    </r>
    <phoneticPr fontId="1" type="noConversion"/>
  </si>
  <si>
    <r>
      <t xml:space="preserve">큐브 위성의 전력 여유는 </t>
    </r>
    <r>
      <rPr>
        <sz val="11"/>
        <color rgb="FFFF0000"/>
        <rFont val="맑은 고딕"/>
        <family val="3"/>
        <charset val="129"/>
        <scheme val="minor"/>
      </rPr>
      <t xml:space="preserve">TBD </t>
    </r>
    <r>
      <rPr>
        <sz val="11"/>
        <rFont val="맑은 고딕"/>
        <family val="3"/>
        <charset val="129"/>
        <scheme val="minor"/>
      </rPr>
      <t>이상</t>
    </r>
    <phoneticPr fontId="1" type="noConversion"/>
  </si>
  <si>
    <t>큐브 위성의 모든 서브시스템이 정상 작동하도록 전력이 공급됨</t>
    <phoneticPr fontId="1" type="noConversion"/>
  </si>
  <si>
    <r>
      <t xml:space="preserve">큐브 위성의 질량중심은 형상중심의 x, y 축 방향으로 </t>
    </r>
    <r>
      <rPr>
        <sz val="11"/>
        <color rgb="FFFF0000"/>
        <rFont val="맑은 고딕"/>
        <family val="3"/>
        <charset val="129"/>
        <scheme val="minor"/>
      </rPr>
      <t>TBDmm</t>
    </r>
    <r>
      <rPr>
        <sz val="11"/>
        <color theme="1"/>
        <rFont val="맑은 고딕"/>
        <family val="2"/>
        <charset val="129"/>
        <scheme val="minor"/>
      </rPr>
      <t xml:space="preserve">. z 축방향으로 </t>
    </r>
    <r>
      <rPr>
        <sz val="11"/>
        <color rgb="FFFF0000"/>
        <rFont val="맑은 고딕"/>
        <family val="3"/>
        <charset val="129"/>
        <scheme val="minor"/>
      </rPr>
      <t>TBDmm</t>
    </r>
    <r>
      <rPr>
        <sz val="11"/>
        <color theme="1"/>
        <rFont val="맑은 고딕"/>
        <family val="2"/>
        <charset val="129"/>
        <scheme val="minor"/>
      </rPr>
      <t>이내에 있음</t>
    </r>
    <phoneticPr fontId="1" type="noConversion"/>
  </si>
  <si>
    <t>큐브 위성은 예약된 명령으로 자율적인 임무 수행이 가능함</t>
    <phoneticPr fontId="1" type="noConversion"/>
  </si>
  <si>
    <t>큐브 위성은 스스로 각 서브시스템 수준의 고장을 시스템에서 검출 및 분리함</t>
    <phoneticPr fontId="1" type="noConversion"/>
  </si>
  <si>
    <t>큐브 위성은 지상국의 명령에 의해 S/W 변경이 가능함</t>
    <phoneticPr fontId="1" type="noConversion"/>
  </si>
  <si>
    <r>
      <t xml:space="preserve">큐브 위성의 모든 신호는 사출장치에서 사출 후 </t>
    </r>
    <r>
      <rPr>
        <sz val="11"/>
        <color rgb="FFFF0000"/>
        <rFont val="맑은 고딕"/>
        <family val="3"/>
        <charset val="129"/>
        <scheme val="minor"/>
      </rPr>
      <t>TBD</t>
    </r>
    <r>
      <rPr>
        <sz val="11"/>
        <rFont val="맑은 고딕"/>
        <family val="3"/>
        <charset val="129"/>
        <scheme val="minor"/>
      </rPr>
      <t>후에 발생됨</t>
    </r>
    <phoneticPr fontId="1" type="noConversion"/>
  </si>
  <si>
    <t>큐브 위성은 GPS 신호로 L1, L2를 사용함</t>
    <phoneticPr fontId="1" type="noConversion"/>
  </si>
  <si>
    <r>
      <t xml:space="preserve">큐브 위성의 UHF를 이용하여 데이터를 송신하기 위해서는 최대 </t>
    </r>
    <r>
      <rPr>
        <sz val="11"/>
        <color rgb="FFFF0000"/>
        <rFont val="맑은 고딕"/>
        <family val="3"/>
        <charset val="129"/>
        <scheme val="minor"/>
      </rPr>
      <t>TBDsec</t>
    </r>
    <r>
      <rPr>
        <sz val="11"/>
        <rFont val="맑은 고딕"/>
        <family val="2"/>
        <charset val="129"/>
        <scheme val="minor"/>
      </rPr>
      <t xml:space="preserve"> 동안 통신함</t>
    </r>
    <phoneticPr fontId="1" type="noConversion"/>
  </si>
  <si>
    <r>
      <t xml:space="preserve">큐브 위성의 S-band를 이용하여 데이터를 송신하기 위해서는 최대 </t>
    </r>
    <r>
      <rPr>
        <sz val="11"/>
        <color rgb="FFFF0000"/>
        <rFont val="맑은 고딕"/>
        <family val="3"/>
        <charset val="129"/>
        <scheme val="minor"/>
      </rPr>
      <t>TBDsec</t>
    </r>
    <r>
      <rPr>
        <sz val="11"/>
        <rFont val="맑은 고딕"/>
        <family val="2"/>
        <charset val="129"/>
        <scheme val="minor"/>
      </rPr>
      <t xml:space="preserve"> 동안 통신함</t>
    </r>
    <phoneticPr fontId="1" type="noConversion"/>
  </si>
  <si>
    <t>큐브 위성 본체는 임무 궤도의 열 및 방사선 환경을 견뎌야 함</t>
    <phoneticPr fontId="1" type="noConversion"/>
  </si>
  <si>
    <t>큐브 위성 모든 부품과 하네스는 발사, 궤도진입, 운용 과정에서 위성체와 구조적/전기적으로 결합됨</t>
    <phoneticPr fontId="1" type="noConversion"/>
  </si>
  <si>
    <t>LEVEL 2</t>
    <phoneticPr fontId="1" type="noConversion"/>
  </si>
  <si>
    <t xml:space="preserve"> 시험지원장비 요구조건 (Test support equipment, TSE)</t>
    <phoneticPr fontId="1" type="noConversion"/>
  </si>
  <si>
    <t>TSE-001</t>
    <phoneticPr fontId="1" type="noConversion"/>
  </si>
  <si>
    <t>TSE-002</t>
    <phoneticPr fontId="1" type="noConversion"/>
  </si>
  <si>
    <t>TSE-003</t>
  </si>
  <si>
    <t>TSE-004</t>
  </si>
  <si>
    <t>TSE-005</t>
  </si>
  <si>
    <t>TSE-006</t>
  </si>
  <si>
    <t>TSE-007</t>
  </si>
  <si>
    <t>TSE-008</t>
  </si>
  <si>
    <t>큐브위성시스템은 차세대 우주물체 정밀 추적시스템 및 레이저 대즐링 능동방어 시스템의 성능검증 시험이 안정적으로 시행될 수 있도록 설계되어야 함</t>
    <phoneticPr fontId="1" type="noConversion"/>
  </si>
  <si>
    <t>큐브위성시스템은 차세대 우주물체 정밀 추적시스템 및 레이저 대즐링 능동방어 시스템과 연동되어야 함</t>
    <phoneticPr fontId="1" type="noConversion"/>
  </si>
  <si>
    <t>큐브위성시스템은 GNSS 원시데이터를 지상으로 송신할 수 있어야 함</t>
    <phoneticPr fontId="1" type="noConversion"/>
  </si>
  <si>
    <t>큐브위성시스템은 3U 큐브위성 규격을 따라야 함</t>
    <phoneticPr fontId="1" type="noConversion"/>
  </si>
  <si>
    <t>큐브위성시스템의 개발장소는 청정도 10000 class 이하를 유지하여야 함</t>
    <phoneticPr fontId="1" type="noConversion"/>
  </si>
  <si>
    <t>큐브위성시스템은 임무일정동안 임무를 자율적으로 수행하여야 함</t>
    <phoneticPr fontId="1" type="noConversion"/>
  </si>
  <si>
    <t>큐브위성시스템 운용을 위한 지상국은 큐브위성의 상태정보와 임무 정보를 내려받고, 명령을 올릴 수 있어야 함</t>
    <phoneticPr fontId="1" type="noConversion"/>
  </si>
  <si>
    <t>TSE-009</t>
  </si>
  <si>
    <t>TSE-010</t>
  </si>
  <si>
    <t>TSE-011</t>
  </si>
  <si>
    <t>TSE-012</t>
  </si>
  <si>
    <t>TSE-013</t>
  </si>
  <si>
    <t>TSE-014</t>
  </si>
  <si>
    <t>TSE-015</t>
  </si>
  <si>
    <t>Safe Operation</t>
    <phoneticPr fontId="1" type="noConversion"/>
  </si>
  <si>
    <t xml:space="preserve">Link </t>
    <phoneticPr fontId="1" type="noConversion"/>
  </si>
  <si>
    <t>Misstion Life time</t>
    <phoneticPr fontId="1" type="noConversion"/>
  </si>
  <si>
    <t>Altitude</t>
    <phoneticPr fontId="1" type="noConversion"/>
  </si>
  <si>
    <t>Deployment Size</t>
    <phoneticPr fontId="1" type="noConversion"/>
  </si>
  <si>
    <t>GNSS Raw Data</t>
    <phoneticPr fontId="1" type="noConversion"/>
  </si>
  <si>
    <t>On-board Navigation</t>
    <phoneticPr fontId="1" type="noConversion"/>
  </si>
  <si>
    <t>Dazzling Verification</t>
    <phoneticPr fontId="1" type="noConversion"/>
  </si>
  <si>
    <t>SLR Laser Detection</t>
    <phoneticPr fontId="1" type="noConversion"/>
  </si>
  <si>
    <t>Storage Duration</t>
    <phoneticPr fontId="1" type="noConversion"/>
  </si>
  <si>
    <t>Development Cleanness</t>
    <phoneticPr fontId="1" type="noConversion"/>
  </si>
  <si>
    <t>CubeSat Design Spec.</t>
    <phoneticPr fontId="1" type="noConversion"/>
  </si>
  <si>
    <t>Autononmous Operation</t>
    <phoneticPr fontId="1" type="noConversion"/>
  </si>
  <si>
    <t>Ground Station</t>
    <phoneticPr fontId="1" type="noConversion"/>
  </si>
  <si>
    <t>Launch System</t>
    <phoneticPr fontId="1" type="noConversion"/>
  </si>
  <si>
    <t>큐브위성 추적을 통해 획득한 거리정보와 위성 탑재 GNSS 데이터를 통해 획득한 거리 정보간의 차이를 확인함</t>
    <phoneticPr fontId="1" type="noConversion"/>
  </si>
  <si>
    <t>저궤도에서 운용 중인 큐브위성을 대즐링하여 획득한 결과를 영상으로 수신, 분석하여 능동대응 여부 확인</t>
    <phoneticPr fontId="1" type="noConversion"/>
  </si>
  <si>
    <t>Tracking ability test</t>
    <phoneticPr fontId="1" type="noConversion"/>
  </si>
  <si>
    <t>Traceable Object test</t>
    <phoneticPr fontId="1" type="noConversion"/>
  </si>
  <si>
    <t>Orbit prediction precision test</t>
    <phoneticPr fontId="1" type="noConversion"/>
  </si>
  <si>
    <t>Laser Dazzling active Defense test</t>
    <phoneticPr fontId="1" type="noConversion"/>
  </si>
  <si>
    <t>큐브위성 추적을 통해 획득한 거리 정보를 사용한 궤도 예측치와 실측치를 비교함</t>
    <phoneticPr fontId="1" type="noConversion"/>
  </si>
  <si>
    <t>큐브위성에 탑재한 태양돛을 통해 위성 추적 가능 여부 확인 (참고기준 : 1m x 1m 이하 @ 500km)</t>
    <phoneticPr fontId="1" type="noConversion"/>
  </si>
  <si>
    <t>Wavelength</t>
    <phoneticPr fontId="1" type="noConversion"/>
  </si>
  <si>
    <t>Sensitivity</t>
    <phoneticPr fontId="1" type="noConversion"/>
  </si>
  <si>
    <t xml:space="preserve"> Thermal and Radiation condtion</t>
    <phoneticPr fontId="1" type="noConversion"/>
  </si>
  <si>
    <t>Max. Mass</t>
    <phoneticPr fontId="1" type="noConversion"/>
  </si>
  <si>
    <t>Max. Size</t>
    <phoneticPr fontId="1" type="noConversion"/>
  </si>
  <si>
    <t>Max. Power Consumption</t>
    <phoneticPr fontId="1" type="noConversion"/>
  </si>
  <si>
    <r>
      <t>레이저 검출기는</t>
    </r>
    <r>
      <rPr>
        <sz val="11"/>
        <color rgb="FFFF0000"/>
        <rFont val="맑은 고딕"/>
        <family val="3"/>
        <charset val="129"/>
        <scheme val="minor"/>
      </rPr>
      <t xml:space="preserve"> 532nm와 1064nm</t>
    </r>
    <r>
      <rPr>
        <sz val="11"/>
        <rFont val="맑은 고딕"/>
        <family val="3"/>
        <charset val="129"/>
        <scheme val="minor"/>
      </rPr>
      <t xml:space="preserve"> 파장을 감지함</t>
    </r>
    <phoneticPr fontId="1" type="noConversion"/>
  </si>
  <si>
    <t>Sensing Power Range</t>
    <phoneticPr fontId="1" type="noConversion"/>
  </si>
  <si>
    <t>Max. Response time</t>
    <phoneticPr fontId="1" type="noConversion"/>
  </si>
  <si>
    <t>Max. Absolute Dark current</t>
    <phoneticPr fontId="1" type="noConversion"/>
  </si>
  <si>
    <t>Min. Responsivity</t>
    <phoneticPr fontId="1" type="noConversion"/>
  </si>
  <si>
    <t>Imaging Duration</t>
    <phoneticPr fontId="1" type="noConversion"/>
  </si>
  <si>
    <t>Max. Power consumption</t>
    <phoneticPr fontId="1" type="noConversion"/>
  </si>
  <si>
    <t>Imaging Sampling Rate</t>
    <phoneticPr fontId="1" type="noConversion"/>
  </si>
  <si>
    <t>Storage</t>
    <phoneticPr fontId="1" type="noConversion"/>
  </si>
  <si>
    <t>CAM-003</t>
  </si>
  <si>
    <t>CAM-004</t>
  </si>
  <si>
    <t>Data Interface</t>
    <phoneticPr fontId="1" type="noConversion"/>
  </si>
  <si>
    <t>큐브위성용 카메라 시스템은 TBD Bytes 저장용량을 가짐</t>
    <phoneticPr fontId="1" type="noConversion"/>
  </si>
  <si>
    <t>레이저 감지기 탑재체의 데이터 인터페이스는 CAN-bus를 1순위로 사용</t>
    <phoneticPr fontId="1" type="noConversion"/>
  </si>
  <si>
    <t>대즐링 카메라 탑재체의 데이터 인터페이스는 CAN-bus를 1순위로 사용</t>
    <phoneticPr fontId="1" type="noConversion"/>
  </si>
  <si>
    <t xml:space="preserve">큐브위성용 카메라 시스템의 데이터 인터페이스는 CAN-bus[TBD]를 사용 </t>
    <phoneticPr fontId="1" type="noConversion"/>
  </si>
  <si>
    <t>전개형반사탑재체의 데이터 인터페이스는 CAN-bus 를 1순위로 사용</t>
    <phoneticPr fontId="1" type="noConversion"/>
  </si>
  <si>
    <t>Stability of Mechanism</t>
    <phoneticPr fontId="1" type="noConversion"/>
  </si>
  <si>
    <t>전개형반사탑재체는 궤도상에서 박막이 안전하게 전개될 수 있어야 함</t>
    <phoneticPr fontId="1" type="noConversion"/>
  </si>
  <si>
    <t>Min. Deployed size</t>
    <phoneticPr fontId="1" type="noConversion"/>
  </si>
  <si>
    <t>Reflectivity</t>
    <phoneticPr fontId="1" type="noConversion"/>
  </si>
  <si>
    <t>PAYR-010</t>
  </si>
  <si>
    <t>전개형반사탑재체는 전개시 1 m x 1 m 이상</t>
    <phoneticPr fontId="1" type="noConversion"/>
  </si>
  <si>
    <t>전개형반사탑재체의 박막은 1064nm의 파장에 대해 16%의 반사도를 가짐</t>
    <phoneticPr fontId="1" type="noConversion"/>
  </si>
  <si>
    <t xml:space="preserve">박막 전개장치의 테이프 스프링은 굽힘에 대한 복원력으로 </t>
    <phoneticPr fontId="1" type="noConversion"/>
  </si>
  <si>
    <t>Data Interface Standard</t>
    <phoneticPr fontId="1" type="noConversion"/>
  </si>
  <si>
    <t>큐브 위성의 진동 특성은 발사체 요구조건를 만족함</t>
    <phoneticPr fontId="1" type="noConversion"/>
  </si>
  <si>
    <t>시험지원장비 참고시험 방안 (Special Test Plan, STP)</t>
    <phoneticPr fontId="1" type="noConversion"/>
  </si>
  <si>
    <t>STP-001</t>
    <phoneticPr fontId="1" type="noConversion"/>
  </si>
  <si>
    <t>STP-003</t>
  </si>
  <si>
    <t>STP-004</t>
  </si>
  <si>
    <t>STP-002</t>
    <phoneticPr fontId="1" type="noConversion"/>
  </si>
  <si>
    <r>
      <t xml:space="preserve">큐브위성시스템의 임무 수명은 </t>
    </r>
    <r>
      <rPr>
        <sz val="11"/>
        <color rgb="FFFF0000"/>
        <rFont val="맑은 고딕"/>
        <family val="3"/>
        <charset val="129"/>
        <scheme val="minor"/>
      </rPr>
      <t>6개월 이상</t>
    </r>
    <r>
      <rPr>
        <sz val="11"/>
        <rFont val="맑은 고딕"/>
        <family val="3"/>
        <charset val="129"/>
        <scheme val="minor"/>
      </rPr>
      <t>이어야 함</t>
    </r>
    <phoneticPr fontId="1" type="noConversion"/>
  </si>
  <si>
    <r>
      <t xml:space="preserve">큐브위성시스템은 </t>
    </r>
    <r>
      <rPr>
        <sz val="11"/>
        <color rgb="FFFF0000"/>
        <rFont val="맑은 고딕"/>
        <family val="3"/>
        <charset val="129"/>
        <scheme val="minor"/>
      </rPr>
      <t>고도 500km 전후</t>
    </r>
    <r>
      <rPr>
        <sz val="11"/>
        <rFont val="맑은 고딕"/>
        <family val="3"/>
        <charset val="129"/>
        <scheme val="minor"/>
      </rPr>
      <t>에서 운용되어야 함</t>
    </r>
    <phoneticPr fontId="1" type="noConversion"/>
  </si>
  <si>
    <r>
      <t xml:space="preserve">큐브위성시스템은 </t>
    </r>
    <r>
      <rPr>
        <sz val="11"/>
        <color rgb="FFFF0000"/>
        <rFont val="맑은 고딕"/>
        <family val="3"/>
        <charset val="129"/>
        <scheme val="minor"/>
      </rPr>
      <t>최소 1m x 1m</t>
    </r>
    <r>
      <rPr>
        <sz val="11"/>
        <rFont val="맑은 고딕"/>
        <family val="3"/>
        <charset val="129"/>
        <scheme val="minor"/>
      </rPr>
      <t xml:space="preserve"> 박막을 궤도상에서 전개가 가능하여야 함</t>
    </r>
    <phoneticPr fontId="1" type="noConversion"/>
  </si>
  <si>
    <r>
      <t xml:space="preserve">큐브위성시스템의 항법정확도는 </t>
    </r>
    <r>
      <rPr>
        <sz val="11"/>
        <color rgb="FFFF0000"/>
        <rFont val="맑은 고딕"/>
        <family val="1"/>
        <charset val="129"/>
      </rPr>
      <t>10m [TBC] (3</t>
    </r>
    <r>
      <rPr>
        <sz val="11"/>
        <color rgb="FFFF0000"/>
        <rFont val="Calibri"/>
        <family val="1"/>
        <charset val="161"/>
      </rPr>
      <t>σ</t>
    </r>
    <r>
      <rPr>
        <sz val="11"/>
        <color rgb="FFFF0000"/>
        <rFont val="맑은 고딕"/>
        <family val="1"/>
        <charset val="129"/>
      </rPr>
      <t>, 각축)</t>
    </r>
    <r>
      <rPr>
        <sz val="11"/>
        <rFont val="맑은 고딕"/>
        <family val="1"/>
        <charset val="129"/>
      </rPr>
      <t xml:space="preserve"> 이내이어야 함</t>
    </r>
    <phoneticPr fontId="1" type="noConversion"/>
  </si>
  <si>
    <r>
      <t xml:space="preserve">큐브위성시스템은 파장대역 </t>
    </r>
    <r>
      <rPr>
        <sz val="11"/>
        <color rgb="FFFF0000"/>
        <rFont val="맑은 고딕"/>
        <family val="3"/>
        <charset val="129"/>
        <scheme val="minor"/>
      </rPr>
      <t>520nm - 590nm</t>
    </r>
    <r>
      <rPr>
        <sz val="11"/>
        <rFont val="맑은 고딕"/>
        <family val="3"/>
        <charset val="129"/>
        <scheme val="minor"/>
      </rPr>
      <t xml:space="preserve"> 와 </t>
    </r>
    <r>
      <rPr>
        <sz val="11"/>
        <color rgb="FFFF0000"/>
        <rFont val="맑은 고딕"/>
        <family val="3"/>
        <charset val="129"/>
        <scheme val="minor"/>
      </rPr>
      <t>630 nm - 690nm [TBC]</t>
    </r>
    <r>
      <rPr>
        <sz val="11"/>
        <rFont val="맑은 고딕"/>
        <family val="3"/>
        <charset val="129"/>
        <scheme val="minor"/>
      </rPr>
      <t>의 대즐링 상황식별을 위한 영상 촬영이 가능하여야 함</t>
    </r>
    <phoneticPr fontId="1" type="noConversion"/>
  </si>
  <si>
    <r>
      <t xml:space="preserve">큐브위성시스템은 파장대역 </t>
    </r>
    <r>
      <rPr>
        <sz val="11"/>
        <color rgb="FFFF0000"/>
        <rFont val="맑은 고딕"/>
        <family val="3"/>
        <charset val="129"/>
        <scheme val="minor"/>
      </rPr>
      <t>532nm</t>
    </r>
    <r>
      <rPr>
        <sz val="11"/>
        <rFont val="맑은 고딕"/>
        <family val="3"/>
        <charset val="129"/>
        <scheme val="minor"/>
      </rPr>
      <t xml:space="preserve"> 와 </t>
    </r>
    <r>
      <rPr>
        <sz val="11"/>
        <color rgb="FFFF0000"/>
        <rFont val="맑은 고딕"/>
        <family val="3"/>
        <charset val="129"/>
        <scheme val="minor"/>
      </rPr>
      <t>1064nm [TBC]</t>
    </r>
    <r>
      <rPr>
        <sz val="11"/>
        <rFont val="맑은 고딕"/>
        <family val="3"/>
        <charset val="129"/>
        <scheme val="minor"/>
      </rPr>
      <t>의 SLR레이저 검출이 가능하여야 함</t>
    </r>
    <phoneticPr fontId="1" type="noConversion"/>
  </si>
  <si>
    <r>
      <t xml:space="preserve">큐브위성시스템은 개발 완료 후 최소 </t>
    </r>
    <r>
      <rPr>
        <sz val="11"/>
        <color rgb="FFFF0000"/>
        <rFont val="맑은 고딕"/>
        <family val="3"/>
        <charset val="129"/>
        <scheme val="minor"/>
      </rPr>
      <t>12개월 [TBD]</t>
    </r>
    <r>
      <rPr>
        <sz val="11"/>
        <rFont val="맑은 고딕"/>
        <family val="3"/>
        <charset val="129"/>
        <scheme val="minor"/>
      </rPr>
      <t xml:space="preserve"> 동안 지상 보관 후에도 정상 작동하여야 함</t>
    </r>
    <phoneticPr fontId="1" type="noConversion"/>
  </si>
  <si>
    <r>
      <t xml:space="preserve">레이저 감지기 탑재체는 </t>
    </r>
    <r>
      <rPr>
        <sz val="11"/>
        <color rgb="FFFF0000"/>
        <rFont val="맑은 고딕"/>
        <family val="3"/>
        <charset val="129"/>
        <scheme val="minor"/>
      </rPr>
      <t>532nm</t>
    </r>
    <r>
      <rPr>
        <sz val="11"/>
        <color theme="1"/>
        <rFont val="맑은 고딕"/>
        <family val="3"/>
        <charset val="129"/>
        <scheme val="minor"/>
      </rPr>
      <t xml:space="preserve">와 </t>
    </r>
    <r>
      <rPr>
        <sz val="11"/>
        <color rgb="FFFF0000"/>
        <rFont val="맑은 고딕"/>
        <family val="3"/>
        <charset val="129"/>
        <scheme val="minor"/>
      </rPr>
      <t>1064nm</t>
    </r>
    <r>
      <rPr>
        <sz val="11"/>
        <color theme="1"/>
        <rFont val="맑은 고딕"/>
        <family val="3"/>
        <charset val="129"/>
        <scheme val="minor"/>
      </rPr>
      <t xml:space="preserve"> 파장을 감지함</t>
    </r>
    <phoneticPr fontId="1" type="noConversion"/>
  </si>
  <si>
    <r>
      <t xml:space="preserve">레이저 감지기 탑재체는 </t>
    </r>
    <r>
      <rPr>
        <sz val="11"/>
        <color rgb="FFFF0000"/>
        <rFont val="맑은 고딕"/>
        <family val="3"/>
        <charset val="129"/>
        <scheme val="minor"/>
      </rPr>
      <t>TBD이상</t>
    </r>
    <r>
      <rPr>
        <sz val="11"/>
        <color theme="1"/>
        <rFont val="맑은 고딕"/>
        <family val="3"/>
        <charset val="129"/>
        <scheme val="minor"/>
      </rPr>
      <t>의 민감도로 레이저를 감지함</t>
    </r>
    <phoneticPr fontId="1" type="noConversion"/>
  </si>
  <si>
    <t>레이저 감지기 탑재체는 임무 궤도의 열 및 방사선 환경을 견딤</t>
    <phoneticPr fontId="1" type="noConversion"/>
  </si>
  <si>
    <r>
      <t xml:space="preserve">레이저 검출기는 </t>
    </r>
    <r>
      <rPr>
        <sz val="11"/>
        <color rgb="FFFF0000"/>
        <rFont val="맑은 고딕"/>
        <family val="3"/>
        <charset val="129"/>
        <scheme val="minor"/>
      </rPr>
      <t>532nm</t>
    </r>
    <r>
      <rPr>
        <sz val="11"/>
        <rFont val="맑은 고딕"/>
        <family val="3"/>
        <charset val="129"/>
        <scheme val="minor"/>
      </rPr>
      <t xml:space="preserve">와 </t>
    </r>
    <r>
      <rPr>
        <sz val="11"/>
        <color rgb="FFFF0000"/>
        <rFont val="맑은 고딕"/>
        <family val="3"/>
        <charset val="129"/>
        <scheme val="minor"/>
      </rPr>
      <t>1064nm</t>
    </r>
    <r>
      <rPr>
        <sz val="11"/>
        <rFont val="맑은 고딕"/>
        <family val="3"/>
        <charset val="129"/>
        <scheme val="minor"/>
      </rPr>
      <t xml:space="preserve"> 파장에 대해 응답도(출력/광전력)가 </t>
    </r>
    <r>
      <rPr>
        <sz val="11"/>
        <color rgb="FFFF0000"/>
        <rFont val="맑은 고딕"/>
        <family val="3"/>
        <charset val="129"/>
        <scheme val="minor"/>
      </rPr>
      <t>TBD</t>
    </r>
    <r>
      <rPr>
        <sz val="11"/>
        <rFont val="맑은 고딕"/>
        <family val="3"/>
        <charset val="129"/>
        <scheme val="minor"/>
      </rPr>
      <t xml:space="preserve"> 이상</t>
    </r>
    <phoneticPr fontId="1" type="noConversion"/>
  </si>
  <si>
    <r>
      <t xml:space="preserve">포토다이오드는 레이저 파장 </t>
    </r>
    <r>
      <rPr>
        <sz val="11"/>
        <color rgb="FFFF0000"/>
        <rFont val="맑은 고딕"/>
        <family val="3"/>
        <charset val="129"/>
        <scheme val="minor"/>
      </rPr>
      <t xml:space="preserve">1064nm에 대해 </t>
    </r>
    <r>
      <rPr>
        <sz val="11"/>
        <rFont val="맑은 고딕"/>
        <family val="3"/>
        <charset val="129"/>
        <scheme val="minor"/>
      </rPr>
      <t xml:space="preserve">응답도가 </t>
    </r>
    <r>
      <rPr>
        <sz val="11"/>
        <color rgb="FFFF0000"/>
        <rFont val="맑은 고딕"/>
        <family val="3"/>
        <charset val="129"/>
        <scheme val="minor"/>
      </rPr>
      <t>TBD 이상</t>
    </r>
    <phoneticPr fontId="1" type="noConversion"/>
  </si>
  <si>
    <r>
      <t xml:space="preserve">포토다이오드는 레이저 파장 </t>
    </r>
    <r>
      <rPr>
        <sz val="11"/>
        <color rgb="FFFF0000"/>
        <rFont val="맑은 고딕"/>
        <family val="3"/>
        <charset val="129"/>
        <scheme val="minor"/>
      </rPr>
      <t xml:space="preserve">532nm에 대해 </t>
    </r>
    <r>
      <rPr>
        <sz val="11"/>
        <rFont val="맑은 고딕"/>
        <family val="3"/>
        <charset val="129"/>
        <scheme val="minor"/>
      </rPr>
      <t xml:space="preserve">응답도가 </t>
    </r>
    <r>
      <rPr>
        <sz val="11"/>
        <color rgb="FFFF0000"/>
        <rFont val="맑은 고딕"/>
        <family val="3"/>
        <charset val="129"/>
        <scheme val="minor"/>
      </rPr>
      <t>TBD 이상</t>
    </r>
    <phoneticPr fontId="1" type="noConversion"/>
  </si>
  <si>
    <r>
      <t xml:space="preserve">레이저 검출기의 감지할 수 있는 광전력은 </t>
    </r>
    <r>
      <rPr>
        <sz val="11"/>
        <color rgb="FFFF0000"/>
        <rFont val="맑은 고딕"/>
        <family val="3"/>
        <charset val="129"/>
        <scheme val="minor"/>
      </rPr>
      <t>TBD 범위</t>
    </r>
    <r>
      <rPr>
        <sz val="11"/>
        <rFont val="맑은 고딕"/>
        <family val="3"/>
        <charset val="129"/>
        <scheme val="minor"/>
      </rPr>
      <t>임</t>
    </r>
    <phoneticPr fontId="1" type="noConversion"/>
  </si>
  <si>
    <r>
      <t xml:space="preserve">대즐링 카메라 탑재체는 </t>
    </r>
    <r>
      <rPr>
        <sz val="11"/>
        <color rgb="FFFF0000"/>
        <rFont val="맑은 고딕"/>
        <family val="3"/>
        <charset val="129"/>
        <scheme val="minor"/>
      </rPr>
      <t>520 - 590 nm</t>
    </r>
    <r>
      <rPr>
        <sz val="11"/>
        <color theme="1"/>
        <rFont val="맑은 고딕"/>
        <family val="3"/>
        <charset val="129"/>
        <scheme val="minor"/>
      </rPr>
      <t xml:space="preserve"> 와 </t>
    </r>
    <r>
      <rPr>
        <sz val="11"/>
        <color rgb="FFFF0000"/>
        <rFont val="맑은 고딕"/>
        <family val="3"/>
        <charset val="129"/>
        <scheme val="minor"/>
      </rPr>
      <t>630 - 690 nm</t>
    </r>
    <r>
      <rPr>
        <sz val="11"/>
        <color theme="1"/>
        <rFont val="맑은 고딕"/>
        <family val="3"/>
        <charset val="129"/>
        <scheme val="minor"/>
      </rPr>
      <t>의 파장을 감지함</t>
    </r>
    <phoneticPr fontId="1" type="noConversion"/>
  </si>
  <si>
    <r>
      <t xml:space="preserve">대즐링 카메라 탑재체는 </t>
    </r>
    <r>
      <rPr>
        <sz val="11"/>
        <color rgb="FFFF0000"/>
        <rFont val="맑은 고딕"/>
        <family val="3"/>
        <charset val="129"/>
        <scheme val="minor"/>
      </rPr>
      <t>TBD sec</t>
    </r>
    <r>
      <rPr>
        <sz val="11"/>
        <color theme="1"/>
        <rFont val="맑은 고딕"/>
        <family val="3"/>
        <charset val="129"/>
        <scheme val="minor"/>
      </rPr>
      <t xml:space="preserve"> 동안 지상 촬영을 진행함</t>
    </r>
    <phoneticPr fontId="1" type="noConversion"/>
  </si>
  <si>
    <r>
      <t xml:space="preserve">큐브위성용 카메라 시스템은 </t>
    </r>
    <r>
      <rPr>
        <sz val="11"/>
        <color rgb="FFFF0000"/>
        <rFont val="맑은 고딕"/>
        <family val="3"/>
        <charset val="129"/>
        <scheme val="minor"/>
      </rPr>
      <t>520 - 590 nm</t>
    </r>
    <r>
      <rPr>
        <sz val="11"/>
        <rFont val="맑은 고딕"/>
        <family val="3"/>
        <charset val="129"/>
        <scheme val="minor"/>
      </rPr>
      <t xml:space="preserve"> 와 </t>
    </r>
    <r>
      <rPr>
        <sz val="11"/>
        <color rgb="FFFF0000"/>
        <rFont val="맑은 고딕"/>
        <family val="3"/>
        <charset val="129"/>
        <scheme val="minor"/>
      </rPr>
      <t>630 - 690 nm</t>
    </r>
    <r>
      <rPr>
        <sz val="11"/>
        <rFont val="맑은 고딕"/>
        <family val="3"/>
        <charset val="129"/>
        <scheme val="minor"/>
      </rPr>
      <t>의 파장을 감지함</t>
    </r>
    <phoneticPr fontId="1" type="noConversion"/>
  </si>
  <si>
    <t>지상국은 큐브위성시스템과 UHF 대역을 이용하여 통신함</t>
    <phoneticPr fontId="1" type="noConversion"/>
  </si>
  <si>
    <t>지상국은 큐브위성시스템과 S-band 대역을 이용하여 통신함</t>
    <phoneticPr fontId="1" type="noConversion"/>
  </si>
  <si>
    <r>
      <t xml:space="preserve">큐브 위성은 지상국과 UHF 대역 및 </t>
    </r>
    <r>
      <rPr>
        <sz val="11"/>
        <color rgb="FFFF0000"/>
        <rFont val="맑은 고딕"/>
        <family val="3"/>
        <charset val="129"/>
        <scheme val="minor"/>
      </rPr>
      <t>(</t>
    </r>
    <r>
      <rPr>
        <b/>
        <sz val="11"/>
        <color rgb="FFFF0000"/>
        <rFont val="맑은 고딕"/>
        <family val="3"/>
        <charset val="129"/>
        <scheme val="minor"/>
      </rPr>
      <t>상용</t>
    </r>
    <r>
      <rPr>
        <sz val="11"/>
        <color rgb="FFFF0000"/>
        <rFont val="맑은 고딕"/>
        <family val="3"/>
        <charset val="129"/>
        <scheme val="minor"/>
      </rPr>
      <t>/아마추어 대역)</t>
    </r>
    <r>
      <rPr>
        <sz val="11"/>
        <rFont val="맑은 고딕"/>
        <family val="2"/>
        <charset val="129"/>
        <scheme val="minor"/>
      </rPr>
      <t xml:space="preserve"> S-band 주파수를 이용하여 통신함</t>
    </r>
    <phoneticPr fontId="1" type="noConversion"/>
  </si>
  <si>
    <t>큐브 위성은 UHF 및 S-band 주파수 통해 상태 정보 및 명령 송수신을 함</t>
    <phoneticPr fontId="1" type="noConversion"/>
  </si>
  <si>
    <t>ABP-002</t>
  </si>
  <si>
    <t>지상국은 도플러 효과에 의한 큐브위성시스템의 주파수 변화를 추적할 수 있어야 함</t>
    <phoneticPr fontId="1" type="noConversion"/>
  </si>
  <si>
    <t>큐브위성시스템은 발사체의 요구조건을 만족하여야 함</t>
    <phoneticPr fontId="1" type="noConversion"/>
  </si>
  <si>
    <t>차세대 우주물체 정밀 추적 및 능동대응 체계의 운용성 확인을 위한 검증용 큐브위성을 설계 및 제작하고 큐브위성 운영 기술을 개발하여야 함</t>
    <phoneticPr fontId="1" type="noConversion"/>
  </si>
  <si>
    <t>S-band Frequency</t>
    <phoneticPr fontId="1" type="noConversion"/>
  </si>
  <si>
    <t>Mission Timeline</t>
    <phoneticPr fontId="1" type="noConversion"/>
  </si>
  <si>
    <t>Monitor Satellite orbit</t>
    <phoneticPr fontId="1" type="noConversion"/>
  </si>
  <si>
    <t>Link</t>
    <phoneticPr fontId="1" type="noConversion"/>
  </si>
  <si>
    <t>Telemetry</t>
    <phoneticPr fontId="1" type="noConversion"/>
  </si>
  <si>
    <t>Monitor Satellite</t>
    <phoneticPr fontId="1" type="noConversion"/>
  </si>
  <si>
    <t>GRD-001</t>
    <phoneticPr fontId="1" type="noConversion"/>
  </si>
  <si>
    <t>GRD-002</t>
  </si>
  <si>
    <t>지상국은 수신되고 있는 큐브위성시스템의 상태정보를 시각적으로 보여줄 수 있어야 함</t>
    <phoneticPr fontId="1" type="noConversion"/>
  </si>
  <si>
    <t>지상국 MPS 성능시험</t>
    <phoneticPr fontId="1" type="noConversion"/>
  </si>
  <si>
    <t>FDS : Flight Dynamics Subsystem</t>
    <phoneticPr fontId="1" type="noConversion"/>
  </si>
  <si>
    <t>MPS : Mission Planning Subsystem</t>
    <phoneticPr fontId="1" type="noConversion"/>
  </si>
  <si>
    <t>지상국은 큐브위성시스템의 궤도를 관찰할 수 있어야 함</t>
    <phoneticPr fontId="1" type="noConversion"/>
  </si>
  <si>
    <t>지상국은 큐브위성시스템의 궤도를 예측하여 다음 통신 시간을 TBDsec의 오차 이내로 결정해야 함</t>
    <phoneticPr fontId="1" type="noConversion"/>
  </si>
  <si>
    <t>지상국은 송수신한 큐브위성시스템의 상태정보를 기록하고 관리할 수 있는 TBD 이상의 저장공간이 필요함</t>
    <phoneticPr fontId="1" type="noConversion"/>
  </si>
  <si>
    <t>지상국은 수신한 큐브위성시스템의 임무데이터를 기록하고 관리할 수 있는 TBD 이상의 저장공간이 필요함</t>
    <phoneticPr fontId="1" type="noConversion"/>
  </si>
  <si>
    <t>지상국은 저장된 임무데이터를 레이저 능동방어 시스템에 전달 할 수 있어야 함</t>
    <phoneticPr fontId="1" type="noConversion"/>
  </si>
  <si>
    <t>Misstion Data Storage</t>
    <phoneticPr fontId="1" type="noConversion"/>
  </si>
  <si>
    <t>등록된 지상국으로만 큐브위성시스템에 명령을 송신할 수 있음</t>
    <phoneticPr fontId="1" type="noConversion"/>
  </si>
  <si>
    <t>Data Download Scenario</t>
    <phoneticPr fontId="1" type="noConversion"/>
  </si>
  <si>
    <t>지상국은 UHF 대역으로 최대 TBD sec 동안 큐브위성시스템의 상태정보를 수신</t>
    <phoneticPr fontId="1" type="noConversion"/>
  </si>
  <si>
    <t>UHF Mission Data Downlink</t>
    <phoneticPr fontId="1" type="noConversion"/>
  </si>
  <si>
    <t>S-band Mission Data Downlink</t>
    <phoneticPr fontId="1" type="noConversion"/>
  </si>
  <si>
    <t>지상국은 UHF 대역으로 최대 TBD sec 동안 큐브위성시스템의 임무데이터를 수신</t>
    <phoneticPr fontId="1" type="noConversion"/>
  </si>
  <si>
    <t>지상국은 S-band 대역으로 최대 TBD sec 동안 큐브위성시스템의 임무데이터를 수신</t>
    <phoneticPr fontId="1" type="noConversion"/>
  </si>
  <si>
    <t>GRD-014</t>
  </si>
  <si>
    <t>GRD-015</t>
  </si>
  <si>
    <t>UHF Telecommand</t>
    <phoneticPr fontId="1" type="noConversion"/>
  </si>
  <si>
    <t>S-band Telecommand</t>
    <phoneticPr fontId="1" type="noConversion"/>
  </si>
  <si>
    <t>지상국은 UHF 대역으로 최대 TBD sec 동안 위성제어변수 변경 명령을 송신할 수 있어야 함</t>
    <phoneticPr fontId="1" type="noConversion"/>
  </si>
  <si>
    <t>지상국은 S-band 대역으로 최대 TBD sec 동안 S/W 변경 명령을 송신할 수 있어야 함</t>
    <phoneticPr fontId="1" type="noConversion"/>
  </si>
  <si>
    <t>Satelllite tracking</t>
    <phoneticPr fontId="1" type="noConversion"/>
  </si>
  <si>
    <r>
      <t xml:space="preserve">위성의 위치를 실시간으로 확인하고 다음 통신 시간을 </t>
    </r>
    <r>
      <rPr>
        <sz val="11"/>
        <color rgb="FFFF0000"/>
        <rFont val="맑은 고딕"/>
        <family val="3"/>
        <charset val="129"/>
        <scheme val="minor"/>
      </rPr>
      <t>TBD초</t>
    </r>
    <r>
      <rPr>
        <sz val="11"/>
        <rFont val="맑은 고딕"/>
        <family val="3"/>
        <charset val="129"/>
        <scheme val="minor"/>
      </rPr>
      <t>의 오차 내로 예측 가능해야 함</t>
    </r>
    <phoneticPr fontId="1" type="noConversion"/>
  </si>
  <si>
    <t>지상국은 데이터 download 시나리오를 확인하고 큐브위성시스템 상태에 따라 변경할 수 있음</t>
    <phoneticPr fontId="1" type="noConversion"/>
  </si>
  <si>
    <t>지상국은 Mission Timeline을 확인하고 큐브위성시스템 상태에 따라 변경할 수 있음</t>
    <phoneticPr fontId="1" type="noConversion"/>
  </si>
  <si>
    <t>UHF 대역 지상국은 프로젝트의 주 지상국으로 작동해야 함</t>
    <phoneticPr fontId="1" type="noConversion"/>
  </si>
  <si>
    <t>PAYC-009</t>
  </si>
  <si>
    <r>
      <t>대즐링 카메라 탑재체는</t>
    </r>
    <r>
      <rPr>
        <sz val="11"/>
        <color rgb="FFFF0000"/>
        <rFont val="맑은 고딕"/>
        <family val="3"/>
        <charset val="129"/>
        <scheme val="minor"/>
      </rPr>
      <t xml:space="preserve"> TBD sec</t>
    </r>
    <r>
      <rPr>
        <sz val="11"/>
        <rFont val="맑은 고딕"/>
        <family val="3"/>
        <charset val="129"/>
        <scheme val="minor"/>
      </rPr>
      <t xml:space="preserve"> 당 한번 이상 촬영</t>
    </r>
    <phoneticPr fontId="1" type="noConversion"/>
  </si>
  <si>
    <t>박막 전개장치는 4개의 한변이 50cm인 직각이등변삼각형 박막으로 구성</t>
    <phoneticPr fontId="1" type="noConversion"/>
  </si>
  <si>
    <t>Cartridge Size</t>
    <phoneticPr fontId="1" type="noConversion"/>
  </si>
  <si>
    <t>Sail Size</t>
    <phoneticPr fontId="1" type="noConversion"/>
  </si>
  <si>
    <t>Rigidity</t>
    <phoneticPr fontId="1" type="noConversion"/>
  </si>
  <si>
    <t>Thermal Condition</t>
    <phoneticPr fontId="1" type="noConversion"/>
  </si>
  <si>
    <t>박막은 -40°C에서 +85°C 사이(TBD)에 작동 가능함</t>
    <phoneticPr fontId="1" type="noConversion"/>
  </si>
  <si>
    <t>Radiation Condition</t>
    <phoneticPr fontId="1" type="noConversion"/>
  </si>
  <si>
    <t>박막은 임무 궤도의 방사선 환경을 견딤</t>
    <phoneticPr fontId="1" type="noConversion"/>
  </si>
  <si>
    <t>PAYR-005</t>
    <phoneticPr fontId="1" type="noConversion"/>
  </si>
  <si>
    <t>Deployment Size</t>
    <phoneticPr fontId="1" type="noConversion"/>
  </si>
  <si>
    <t>Deploy Method</t>
    <phoneticPr fontId="1" type="noConversion"/>
  </si>
  <si>
    <t>Deploy Material</t>
    <phoneticPr fontId="1" type="noConversion"/>
  </si>
  <si>
    <t xml:space="preserve">Tape Spring Material </t>
    <phoneticPr fontId="1" type="noConversion"/>
  </si>
  <si>
    <t>Checking Deployment</t>
    <phoneticPr fontId="1" type="noConversion"/>
  </si>
  <si>
    <t>Thermal Condition</t>
    <phoneticPr fontId="1" type="noConversion"/>
  </si>
  <si>
    <t>Integration Method</t>
    <phoneticPr fontId="1" type="noConversion"/>
  </si>
  <si>
    <t>Rotating Parts</t>
    <phoneticPr fontId="1" type="noConversion"/>
  </si>
  <si>
    <t>Tape Spring Size</t>
    <phoneticPr fontId="1" type="noConversion"/>
  </si>
  <si>
    <t>Integration</t>
    <phoneticPr fontId="1" type="noConversion"/>
  </si>
  <si>
    <t>Reflectivity</t>
    <phoneticPr fontId="1" type="noConversion"/>
  </si>
  <si>
    <t>Power Interface</t>
    <phoneticPr fontId="1" type="noConversion"/>
  </si>
  <si>
    <t>Power Consumption</t>
    <phoneticPr fontId="1" type="noConversion"/>
  </si>
  <si>
    <t>Operating Temperature</t>
    <phoneticPr fontId="1" type="noConversion"/>
  </si>
  <si>
    <t>Nylon Wire</t>
    <phoneticPr fontId="1" type="noConversion"/>
  </si>
  <si>
    <t>Data Interface</t>
    <phoneticPr fontId="1" type="noConversion"/>
  </si>
  <si>
    <r>
      <t xml:space="preserve">Nylon Wire의 직경은 </t>
    </r>
    <r>
      <rPr>
        <sz val="11"/>
        <color rgb="FFFF0000"/>
        <rFont val="맑은 고딕"/>
        <family val="3"/>
        <charset val="129"/>
        <scheme val="minor"/>
      </rPr>
      <t>TBD</t>
    </r>
    <r>
      <rPr>
        <sz val="11"/>
        <color theme="1"/>
        <rFont val="맑은 고딕"/>
        <family val="2"/>
        <charset val="129"/>
        <scheme val="minor"/>
      </rPr>
      <t xml:space="preserve"> mm로 한다. </t>
    </r>
    <phoneticPr fontId="1" type="noConversion"/>
  </si>
  <si>
    <r>
      <t>Sail cartridge 크기는 77mm x 37mm x 8.5mm (</t>
    </r>
    <r>
      <rPr>
        <sz val="11"/>
        <color rgb="FFFF0000"/>
        <rFont val="맑은 고딕"/>
        <family val="3"/>
        <charset val="129"/>
        <scheme val="minor"/>
      </rPr>
      <t>TBD</t>
    </r>
    <r>
      <rPr>
        <sz val="11"/>
        <rFont val="맑은 고딕"/>
        <family val="3"/>
        <charset val="129"/>
        <scheme val="minor"/>
      </rPr>
      <t>) 이하</t>
    </r>
    <phoneticPr fontId="1" type="noConversion"/>
  </si>
  <si>
    <r>
      <t xml:space="preserve">박막 전개장치는 본체로 부터 </t>
    </r>
    <r>
      <rPr>
        <sz val="11"/>
        <color rgb="FFFF0000"/>
        <rFont val="맑은 고딕"/>
        <family val="3"/>
        <charset val="129"/>
        <scheme val="minor"/>
      </rPr>
      <t>3.3V, 5V</t>
    </r>
    <r>
      <rPr>
        <sz val="11"/>
        <rFont val="맑은 고딕"/>
        <family val="3"/>
        <charset val="129"/>
        <scheme val="minor"/>
      </rPr>
      <t xml:space="preserve"> 의 전압을 공급받아 운용됨</t>
    </r>
    <phoneticPr fontId="1" type="noConversion"/>
  </si>
  <si>
    <r>
      <t xml:space="preserve">박막 전개장치의 무게는 </t>
    </r>
    <r>
      <rPr>
        <sz val="11"/>
        <color rgb="FFFF0000"/>
        <rFont val="맑은 고딕"/>
        <family val="3"/>
        <charset val="129"/>
        <scheme val="minor"/>
      </rPr>
      <t>0.6kg</t>
    </r>
    <r>
      <rPr>
        <sz val="11"/>
        <rFont val="맑은 고딕"/>
        <family val="3"/>
        <charset val="129"/>
        <scheme val="minor"/>
      </rPr>
      <t xml:space="preserve"> 이하</t>
    </r>
    <phoneticPr fontId="1" type="noConversion"/>
  </si>
  <si>
    <r>
      <t xml:space="preserve">박막 전개장치의 비전개시의 크기는 </t>
    </r>
    <r>
      <rPr>
        <sz val="11"/>
        <color rgb="FFFF0000"/>
        <rFont val="맑은 고딕"/>
        <family val="3"/>
        <charset val="129"/>
        <scheme val="minor"/>
      </rPr>
      <t>0.4U</t>
    </r>
    <r>
      <rPr>
        <sz val="11"/>
        <rFont val="맑은 고딕"/>
        <family val="3"/>
        <charset val="129"/>
        <scheme val="minor"/>
      </rPr>
      <t xml:space="preserve"> 이하</t>
    </r>
    <phoneticPr fontId="1" type="noConversion"/>
  </si>
  <si>
    <r>
      <t>전개형반사탑재체의 무게는 0.6</t>
    </r>
    <r>
      <rPr>
        <sz val="11"/>
        <color rgb="FFFF0000"/>
        <rFont val="맑은 고딕"/>
        <family val="3"/>
        <charset val="129"/>
        <scheme val="minor"/>
      </rPr>
      <t>kg</t>
    </r>
    <r>
      <rPr>
        <sz val="11"/>
        <color theme="1"/>
        <rFont val="맑은 고딕"/>
        <family val="2"/>
        <charset val="129"/>
        <scheme val="minor"/>
      </rPr>
      <t xml:space="preserve"> 이하</t>
    </r>
    <phoneticPr fontId="1" type="noConversion"/>
  </si>
  <si>
    <r>
      <t xml:space="preserve">전개형반사탑재체의 비전개시의 크기는 </t>
    </r>
    <r>
      <rPr>
        <sz val="11"/>
        <color rgb="FFFF0000"/>
        <rFont val="맑은 고딕"/>
        <family val="3"/>
        <charset val="129"/>
        <scheme val="minor"/>
      </rPr>
      <t>0.4U</t>
    </r>
    <r>
      <rPr>
        <sz val="11"/>
        <rFont val="맑은 고딕"/>
        <family val="3"/>
        <charset val="129"/>
        <scheme val="minor"/>
      </rPr>
      <t xml:space="preserve"> 이하</t>
    </r>
    <phoneticPr fontId="1" type="noConversion"/>
  </si>
  <si>
    <r>
      <t xml:space="preserve">박막은 전개시 발생하는 </t>
    </r>
    <r>
      <rPr>
        <sz val="11"/>
        <color rgb="FFFF0000"/>
        <rFont val="맑은 고딕"/>
        <family val="3"/>
        <charset val="129"/>
        <scheme val="minor"/>
      </rPr>
      <t>TBD</t>
    </r>
    <r>
      <rPr>
        <sz val="11"/>
        <color theme="1"/>
        <rFont val="맑은 고딕"/>
        <family val="3"/>
        <charset val="129"/>
        <scheme val="minor"/>
      </rPr>
      <t xml:space="preserve"> MPa 을 견딜 수 있어야 함</t>
    </r>
    <phoneticPr fontId="1" type="noConversion"/>
  </si>
  <si>
    <t xml:space="preserve">박막은 전개부 Tape Spring 및 Cartridge Part와 Nylon Wire로 연결된다. </t>
    <phoneticPr fontId="1" type="noConversion"/>
  </si>
  <si>
    <t xml:space="preserve">박막은 1064nm 파장에 대해 16%이상의 반사도를 가짐 </t>
    <phoneticPr fontId="1" type="noConversion"/>
  </si>
  <si>
    <t>Tape Spring의 길이는 750mm 이상, 너비는 20mm 이하, 두께는 0.25mm이하로 구성</t>
    <phoneticPr fontId="1" type="noConversion"/>
  </si>
  <si>
    <t xml:space="preserve">Rotating Parts는 Bearing, Axle, Reel로 구성된다. </t>
    <phoneticPr fontId="1" type="noConversion"/>
  </si>
  <si>
    <t xml:space="preserve">전개부 내부 부품 간 연결은 M2.5 나사를 통해 연결한다. </t>
    <phoneticPr fontId="1" type="noConversion"/>
  </si>
  <si>
    <t>전개부는 -40°C에서 +85°C 사이(TBD)에 작동 가능함</t>
    <phoneticPr fontId="1" type="noConversion"/>
  </si>
  <si>
    <t>전개부는 전개를 확인할 수 있는 부품을 탑재</t>
    <phoneticPr fontId="1" type="noConversion"/>
  </si>
  <si>
    <t xml:space="preserve">전개부의 크기는 0.25U 이내로 한다. </t>
    <phoneticPr fontId="1" type="noConversion"/>
  </si>
  <si>
    <t>전개 방식은 테이프 스프링은 굽힘에 대한 복원력을 통해 진행</t>
    <phoneticPr fontId="1" type="noConversion"/>
  </si>
  <si>
    <t xml:space="preserve">전개부 부품을 구성하는 재료는 Al6061, CFRP로 구성한다. </t>
    <phoneticPr fontId="1" type="noConversion"/>
  </si>
  <si>
    <t xml:space="preserve">Tape Spring을 구성하는 재료는 SK85 혹은 Stainless Steel로 구성한다. </t>
    <phoneticPr fontId="1" type="noConversion"/>
  </si>
  <si>
    <t>Vibration Condition</t>
    <phoneticPr fontId="1" type="noConversion"/>
  </si>
  <si>
    <t>Folding Method</t>
    <phoneticPr fontId="1" type="noConversion"/>
  </si>
  <si>
    <t>전개부(DEP)</t>
    <phoneticPr fontId="1" type="noConversion"/>
  </si>
  <si>
    <t>DEP-001</t>
    <phoneticPr fontId="1" type="noConversion"/>
  </si>
  <si>
    <t>DEP-002</t>
    <phoneticPr fontId="1" type="noConversion"/>
  </si>
  <si>
    <t>DEP-003</t>
  </si>
  <si>
    <t>DEP-004</t>
  </si>
  <si>
    <t>DEP-005</t>
  </si>
  <si>
    <t>DEP-006</t>
  </si>
  <si>
    <t>DEP-007</t>
  </si>
  <si>
    <t>DEP-008</t>
  </si>
  <si>
    <t>DEP-009</t>
  </si>
  <si>
    <t>DEP-010</t>
  </si>
  <si>
    <t>DEP-011</t>
  </si>
  <si>
    <t>박막부(SAI)</t>
    <phoneticPr fontId="1" type="noConversion"/>
  </si>
  <si>
    <t>SAI-001</t>
    <phoneticPr fontId="1" type="noConversion"/>
  </si>
  <si>
    <t>SAI-002</t>
    <phoneticPr fontId="1" type="noConversion"/>
  </si>
  <si>
    <t>SAI-003</t>
  </si>
  <si>
    <t>SAI-004</t>
  </si>
  <si>
    <t>SAI-005</t>
  </si>
  <si>
    <t>SAI-006</t>
  </si>
  <si>
    <t>SAI-007</t>
  </si>
  <si>
    <t>SAI-008</t>
  </si>
  <si>
    <t>SAI-009</t>
  </si>
  <si>
    <t>SAI-010</t>
  </si>
  <si>
    <t>전자부(PWR)</t>
    <phoneticPr fontId="1" type="noConversion"/>
  </si>
  <si>
    <t>PWR-001</t>
    <phoneticPr fontId="1" type="noConversion"/>
  </si>
  <si>
    <t>PWR-002</t>
    <phoneticPr fontId="1" type="noConversion"/>
  </si>
  <si>
    <t>PWR-003</t>
  </si>
  <si>
    <t>PWR-004</t>
  </si>
  <si>
    <t>MDS-006</t>
    <phoneticPr fontId="1" type="noConversion"/>
  </si>
  <si>
    <t>MDS-003</t>
    <phoneticPr fontId="1" type="noConversion"/>
  </si>
  <si>
    <t>MDS-005</t>
    <phoneticPr fontId="1" type="noConversion"/>
  </si>
  <si>
    <t>MDE-002</t>
    <phoneticPr fontId="1" type="noConversion"/>
  </si>
  <si>
    <t>MDE-001</t>
    <phoneticPr fontId="1" type="noConversion"/>
  </si>
  <si>
    <t>MDE-004</t>
    <phoneticPr fontId="1" type="noConversion"/>
  </si>
  <si>
    <t>MDE-003</t>
    <phoneticPr fontId="1" type="noConversion"/>
  </si>
  <si>
    <t>MDS-007</t>
    <phoneticPr fontId="1" type="noConversion"/>
  </si>
  <si>
    <t>MDS-002</t>
    <phoneticPr fontId="1" type="noConversion"/>
  </si>
  <si>
    <t>MDS-001</t>
    <phoneticPr fontId="1" type="noConversion"/>
  </si>
  <si>
    <t xml:space="preserve">전자부는 EPS로부터 3.3V, 5V를 받아 작동한다. </t>
    <phoneticPr fontId="1" type="noConversion"/>
  </si>
  <si>
    <t xml:space="preserve">전자부의 전력 소모는 TBDW 이내여야 한다. </t>
    <phoneticPr fontId="1" type="noConversion"/>
  </si>
  <si>
    <t>전자부는 -40°C에서 +85°C 사이(TBD)에 작동 가능함</t>
    <phoneticPr fontId="1" type="noConversion"/>
  </si>
  <si>
    <t>전자부의 데이터 인터페이스 버스는 CAN-bus와 보조용 인터페이스를 사용함</t>
    <phoneticPr fontId="1" type="noConversion"/>
  </si>
  <si>
    <t>전개부는 발사체에서 요구하는 Random/Sinusoidal Vibration을 견딜 수 있어야 함</t>
    <phoneticPr fontId="1" type="noConversion"/>
  </si>
  <si>
    <t>박막부는 발사체에서 요구하는 Random/Sinusoidal Vibration을 견딜 수 있어야 함</t>
    <phoneticPr fontId="1" type="noConversion"/>
  </si>
  <si>
    <t xml:space="preserve">비전개시 박막은 Sail Cartridge 내부에 수납 가능해야함 </t>
    <phoneticPr fontId="1" type="noConversion"/>
  </si>
  <si>
    <t>전개시 박막은 0.25m^2의 크기를 가짐</t>
    <phoneticPr fontId="1" type="noConversion"/>
  </si>
  <si>
    <t>3D 모델링</t>
    <phoneticPr fontId="1" type="noConversion"/>
  </si>
  <si>
    <t>데이트 시트 확인</t>
    <phoneticPr fontId="1" type="noConversion"/>
  </si>
  <si>
    <t>3D 모델링 및 조립</t>
    <phoneticPr fontId="1" type="noConversion"/>
  </si>
  <si>
    <t>시뮬레이션 및 수납 실험</t>
    <phoneticPr fontId="1" type="noConversion"/>
  </si>
  <si>
    <t>실험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</si>
</sst>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5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2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</font>
    <font>
      <b/>
      <sz val="11"/>
      <color theme="1"/>
      <name val="돋움"/>
      <family val="3"/>
      <charset val="129"/>
    </font>
    <font>
      <sz val="11"/>
      <name val="맑은 고딕"/>
      <family val="2"/>
      <scheme val="minor"/>
    </font>
    <font>
      <sz val="11"/>
      <color theme="3" tint="0.3999755851924192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sz val="1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name val="Malgun Gothic"/>
      <family val="3"/>
      <charset val="129"/>
    </font>
    <font>
      <sz val="11"/>
      <name val="Malgun Gothic"/>
      <family val="3"/>
      <charset val="129"/>
    </font>
    <font>
      <b/>
      <sz val="11"/>
      <color theme="0"/>
      <name val="Malgun Gothic"/>
      <family val="3"/>
      <charset val="129"/>
    </font>
    <font>
      <sz val="11"/>
      <color theme="0"/>
      <name val="Malgun Gothic"/>
      <family val="3"/>
      <charset val="129"/>
    </font>
    <font>
      <sz val="10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1"/>
      <color theme="0" tint="-0.34998626667073579"/>
      <name val="맑은 고딕"/>
      <family val="2"/>
      <charset val="129"/>
      <scheme val="minor"/>
    </font>
    <font>
      <sz val="11"/>
      <color theme="0" tint="-0.34998626667073579"/>
      <name val="맑은 고딕"/>
      <family val="3"/>
      <charset val="129"/>
      <scheme val="minor"/>
    </font>
    <font>
      <vertAlign val="superscript"/>
      <sz val="11"/>
      <name val="맑은 고딕"/>
      <family val="3"/>
      <charset val="129"/>
      <scheme val="minor"/>
    </font>
    <font>
      <sz val="11"/>
      <color rgb="FFFF0000"/>
      <name val="Calibri"/>
      <family val="3"/>
      <charset val="161"/>
    </font>
    <font>
      <sz val="11"/>
      <color theme="0" tint="-0.14999847407452621"/>
      <name val="맑은 고딕"/>
      <family val="3"/>
      <charset val="129"/>
      <scheme val="minor"/>
    </font>
    <font>
      <sz val="1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7.7"/>
      <name val="맑은 고딕"/>
      <family val="3"/>
      <charset val="129"/>
    </font>
    <font>
      <sz val="1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</font>
    <font>
      <sz val="11"/>
      <color rgb="FF00B050"/>
      <name val="맑은 고딕"/>
      <family val="3"/>
      <charset val="129"/>
      <scheme val="minor"/>
    </font>
    <font>
      <sz val="11"/>
      <color theme="4"/>
      <name val="맑은 고딕"/>
      <family val="3"/>
      <charset val="129"/>
      <scheme val="minor"/>
    </font>
    <font>
      <b/>
      <sz val="11"/>
      <color theme="4"/>
      <name val="맑은 고딕"/>
      <family val="3"/>
      <charset val="129"/>
      <scheme val="minor"/>
    </font>
    <font>
      <strike/>
      <sz val="11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8"/>
      <color theme="1"/>
      <name val="맑은 고딕"/>
      <family val="2"/>
      <charset val="129"/>
      <scheme val="minor"/>
    </font>
    <font>
      <sz val="11"/>
      <name val="맑은 고딕"/>
      <family val="1"/>
      <charset val="129"/>
    </font>
    <font>
      <sz val="11"/>
      <color rgb="FFFF0000"/>
      <name val="맑은 고딕"/>
      <family val="1"/>
      <charset val="129"/>
    </font>
    <font>
      <sz val="11"/>
      <color rgb="FFFF0000"/>
      <name val="Calibri"/>
      <family val="1"/>
      <charset val="161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theme="0" tint="-0.14996795556505021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3" fillId="0" borderId="0"/>
  </cellStyleXfs>
  <cellXfs count="537">
    <xf numFmtId="0" fontId="0" fillId="0" borderId="0" xfId="0">
      <alignment vertical="center"/>
    </xf>
    <xf numFmtId="0" fontId="2" fillId="0" borderId="20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>
      <alignment vertical="center"/>
    </xf>
    <xf numFmtId="0" fontId="12" fillId="0" borderId="0" xfId="3" applyFont="1" applyAlignment="1">
      <alignment horizontal="center" vertical="center" wrapText="1"/>
    </xf>
    <xf numFmtId="0" fontId="10" fillId="0" borderId="5" xfId="3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0" fontId="8" fillId="0" borderId="0" xfId="0" applyFont="1">
      <alignment vertical="center"/>
    </xf>
    <xf numFmtId="0" fontId="10" fillId="0" borderId="0" xfId="3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10" fillId="0" borderId="0" xfId="3" applyFont="1" applyAlignment="1">
      <alignment horizontal="center" vertical="center" wrapText="1"/>
    </xf>
    <xf numFmtId="0" fontId="10" fillId="0" borderId="0" xfId="3" applyFont="1">
      <alignment vertical="center"/>
    </xf>
    <xf numFmtId="0" fontId="10" fillId="0" borderId="0" xfId="3" quotePrefix="1" applyFont="1">
      <alignment vertical="center"/>
    </xf>
    <xf numFmtId="0" fontId="10" fillId="0" borderId="5" xfId="0" applyFont="1" applyBorder="1" applyAlignment="1">
      <alignment horizontal="left" vertical="center" wrapText="1"/>
    </xf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10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 wrapText="1"/>
    </xf>
    <xf numFmtId="0" fontId="10" fillId="0" borderId="0" xfId="0" applyFont="1">
      <alignment vertical="center"/>
    </xf>
    <xf numFmtId="0" fontId="4" fillId="0" borderId="0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center" vertical="center"/>
    </xf>
    <xf numFmtId="0" fontId="0" fillId="0" borderId="0" xfId="0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4" fillId="0" borderId="0" xfId="6" applyFont="1" applyAlignment="1">
      <alignment horizontal="center" vertical="center" wrapText="1"/>
    </xf>
    <xf numFmtId="0" fontId="4" fillId="0" borderId="0" xfId="6" applyFont="1" applyAlignment="1">
      <alignment horizontal="left" vertical="center" wrapText="1"/>
    </xf>
    <xf numFmtId="0" fontId="14" fillId="0" borderId="0" xfId="6" applyFont="1" applyAlignment="1">
      <alignment horizontal="center" vertical="center" wrapText="1"/>
    </xf>
    <xf numFmtId="0" fontId="14" fillId="0" borderId="0" xfId="6" applyFont="1" applyAlignment="1">
      <alignment vertical="center" wrapText="1"/>
    </xf>
    <xf numFmtId="0" fontId="8" fillId="0" borderId="0" xfId="6" applyFont="1" applyAlignment="1">
      <alignment horizontal="center" vertical="center" wrapText="1"/>
    </xf>
    <xf numFmtId="0" fontId="4" fillId="0" borderId="0" xfId="6" quotePrefix="1" applyFont="1" applyAlignment="1">
      <alignment horizontal="center" vertical="center" wrapText="1"/>
    </xf>
    <xf numFmtId="0" fontId="20" fillId="0" borderId="5" xfId="0" applyFont="1" applyBorder="1" applyAlignment="1">
      <alignment horizontal="justify" vertical="center" wrapText="1"/>
    </xf>
    <xf numFmtId="0" fontId="11" fillId="0" borderId="0" xfId="0" applyFont="1" applyAlignment="1">
      <alignment horizontal="center" vertical="center"/>
    </xf>
    <xf numFmtId="0" fontId="12" fillId="0" borderId="0" xfId="3" quotePrefix="1" applyFont="1">
      <alignment vertical="center"/>
    </xf>
    <xf numFmtId="0" fontId="10" fillId="0" borderId="0" xfId="0" applyFont="1" applyAlignment="1">
      <alignment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vertical="center" wrapText="1"/>
    </xf>
    <xf numFmtId="0" fontId="10" fillId="0" borderId="0" xfId="0" applyFont="1" applyBorder="1" applyAlignment="1">
      <alignment horizontal="left" vertical="center" wrapText="1"/>
    </xf>
    <xf numFmtId="0" fontId="22" fillId="0" borderId="0" xfId="0" applyFont="1">
      <alignment vertical="center"/>
    </xf>
    <xf numFmtId="0" fontId="22" fillId="0" borderId="0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vertical="center" wrapText="1"/>
    </xf>
    <xf numFmtId="0" fontId="10" fillId="0" borderId="0" xfId="3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3" applyFont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10" fillId="0" borderId="0" xfId="3" quotePrefix="1" applyFont="1" applyBorder="1">
      <alignment vertical="center"/>
    </xf>
    <xf numFmtId="0" fontId="10" fillId="0" borderId="0" xfId="3" applyFont="1" applyBorder="1">
      <alignment vertical="center"/>
    </xf>
    <xf numFmtId="0" fontId="0" fillId="0" borderId="0" xfId="0" applyBorder="1">
      <alignment vertical="center"/>
    </xf>
    <xf numFmtId="0" fontId="10" fillId="0" borderId="0" xfId="3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24" fillId="0" borderId="16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22" fillId="0" borderId="18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left" vertical="center" wrapText="1"/>
    </xf>
    <xf numFmtId="0" fontId="22" fillId="0" borderId="18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 wrapText="1"/>
    </xf>
    <xf numFmtId="0" fontId="25" fillId="0" borderId="0" xfId="0" applyFont="1">
      <alignment vertical="center"/>
    </xf>
    <xf numFmtId="0" fontId="24" fillId="0" borderId="19" xfId="0" applyFont="1" applyBorder="1" applyAlignment="1">
      <alignment horizontal="center" vertical="center"/>
    </xf>
    <xf numFmtId="0" fontId="22" fillId="0" borderId="18" xfId="0" applyFont="1" applyBorder="1" applyAlignment="1">
      <alignment horizontal="left" vertical="center" wrapText="1"/>
    </xf>
    <xf numFmtId="0" fontId="10" fillId="0" borderId="0" xfId="0" applyFont="1" applyBorder="1" applyAlignment="1">
      <alignment vertical="center" wrapText="1"/>
    </xf>
    <xf numFmtId="0" fontId="10" fillId="0" borderId="0" xfId="0" quotePrefix="1" applyFont="1" applyBorder="1" applyAlignment="1">
      <alignment horizontal="left" vertical="center" wrapText="1"/>
    </xf>
    <xf numFmtId="0" fontId="10" fillId="0" borderId="0" xfId="0" quotePrefix="1" applyFont="1" applyBorder="1" applyAlignment="1">
      <alignment horizontal="center" vertical="center" wrapText="1"/>
    </xf>
    <xf numFmtId="0" fontId="4" fillId="0" borderId="0" xfId="6" applyFont="1" applyBorder="1" applyAlignment="1">
      <alignment horizontal="center" vertical="center" wrapText="1"/>
    </xf>
    <xf numFmtId="0" fontId="10" fillId="0" borderId="0" xfId="6" applyFont="1" applyBorder="1" applyAlignment="1">
      <alignment horizontal="center" vertical="center" wrapText="1"/>
    </xf>
    <xf numFmtId="0" fontId="18" fillId="0" borderId="0" xfId="6" applyFont="1" applyBorder="1" applyAlignment="1">
      <alignment vertical="center" wrapText="1"/>
    </xf>
    <xf numFmtId="0" fontId="18" fillId="0" borderId="0" xfId="6" applyFont="1" applyBorder="1" applyAlignment="1">
      <alignment horizontal="center" vertical="center" wrapText="1"/>
    </xf>
    <xf numFmtId="0" fontId="14" fillId="0" borderId="0" xfId="6" applyFont="1" applyBorder="1" applyAlignment="1">
      <alignment horizontal="center" vertical="center" wrapText="1"/>
    </xf>
    <xf numFmtId="0" fontId="10" fillId="0" borderId="0" xfId="6" applyFont="1" applyBorder="1" applyAlignment="1">
      <alignment horizontal="center" vertical="center"/>
    </xf>
    <xf numFmtId="0" fontId="10" fillId="0" borderId="0" xfId="6" applyFont="1" applyBorder="1" applyAlignment="1">
      <alignment horizontal="left" vertical="center" wrapText="1"/>
    </xf>
    <xf numFmtId="0" fontId="22" fillId="0" borderId="0" xfId="6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22" fillId="0" borderId="0" xfId="0" applyFont="1" applyBorder="1" applyAlignment="1">
      <alignment horizontal="center" vertical="center" wrapText="1"/>
    </xf>
    <xf numFmtId="0" fontId="25" fillId="0" borderId="0" xfId="0" applyFont="1" applyBorder="1" applyAlignment="1">
      <alignment horizontal="center" vertical="center" wrapText="1"/>
    </xf>
    <xf numFmtId="0" fontId="16" fillId="0" borderId="0" xfId="0" applyFont="1" applyBorder="1">
      <alignment vertical="center"/>
    </xf>
    <xf numFmtId="0" fontId="25" fillId="0" borderId="0" xfId="0" applyFont="1" applyBorder="1" applyAlignment="1">
      <alignment horizontal="center" vertical="center"/>
    </xf>
    <xf numFmtId="0" fontId="22" fillId="0" borderId="0" xfId="0" applyFont="1" applyBorder="1" applyAlignment="1">
      <alignment horizontal="left" vertical="center" wrapText="1"/>
    </xf>
    <xf numFmtId="0" fontId="22" fillId="0" borderId="0" xfId="0" applyFont="1" applyBorder="1" applyAlignment="1">
      <alignment vertical="center" wrapText="1"/>
    </xf>
    <xf numFmtId="0" fontId="10" fillId="0" borderId="18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10" fillId="0" borderId="0" xfId="3" quotePrefix="1" applyFont="1" applyAlignment="1">
      <alignment horizontal="center" vertical="center"/>
    </xf>
    <xf numFmtId="0" fontId="12" fillId="0" borderId="0" xfId="3" quotePrefix="1" applyFont="1" applyAlignment="1">
      <alignment horizontal="center" vertical="center"/>
    </xf>
    <xf numFmtId="0" fontId="10" fillId="0" borderId="5" xfId="0" applyFont="1" applyBorder="1" applyAlignment="1">
      <alignment horizontal="justify" vertical="center" wrapText="1"/>
    </xf>
    <xf numFmtId="0" fontId="10" fillId="0" borderId="0" xfId="6" applyFont="1" applyBorder="1" applyAlignment="1">
      <alignment vertical="center" wrapText="1"/>
    </xf>
    <xf numFmtId="0" fontId="6" fillId="0" borderId="0" xfId="0" applyFont="1" applyBorder="1">
      <alignment vertical="center"/>
    </xf>
    <xf numFmtId="0" fontId="10" fillId="0" borderId="0" xfId="0" applyFont="1" applyBorder="1">
      <alignment vertical="center"/>
    </xf>
    <xf numFmtId="0" fontId="22" fillId="0" borderId="0" xfId="0" applyFont="1" applyBorder="1">
      <alignment vertical="center"/>
    </xf>
    <xf numFmtId="0" fontId="22" fillId="0" borderId="0" xfId="0" applyFont="1" applyFill="1" applyBorder="1">
      <alignment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10" fillId="0" borderId="0" xfId="0" applyFont="1" applyFill="1" applyBorder="1">
      <alignment vertical="center"/>
    </xf>
    <xf numFmtId="0" fontId="10" fillId="0" borderId="0" xfId="3" applyFont="1" applyFill="1" applyBorder="1" applyAlignment="1">
      <alignment horizontal="center" vertical="center"/>
    </xf>
    <xf numFmtId="0" fontId="10" fillId="0" borderId="0" xfId="3" applyFont="1" applyFill="1" applyBorder="1">
      <alignment vertical="center"/>
    </xf>
    <xf numFmtId="0" fontId="6" fillId="0" borderId="0" xfId="0" applyFont="1">
      <alignment vertical="center"/>
    </xf>
    <xf numFmtId="0" fontId="4" fillId="0" borderId="0" xfId="0" applyFont="1" applyFill="1" applyBorder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Fill="1" applyBorder="1">
      <alignment vertical="center"/>
    </xf>
    <xf numFmtId="0" fontId="9" fillId="0" borderId="0" xfId="0" applyFont="1" applyFill="1" applyBorder="1" applyAlignment="1">
      <alignment horizontal="center" vertical="center"/>
    </xf>
    <xf numFmtId="0" fontId="10" fillId="0" borderId="0" xfId="0" applyNumberFormat="1" applyFont="1" applyFill="1" applyBorder="1" applyAlignment="1">
      <alignment horizontal="center" vertical="center" wrapText="1"/>
    </xf>
    <xf numFmtId="0" fontId="22" fillId="0" borderId="0" xfId="0" applyNumberFormat="1" applyFont="1" applyFill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/>
    </xf>
    <xf numFmtId="0" fontId="10" fillId="0" borderId="18" xfId="0" applyFont="1" applyFill="1" applyBorder="1" applyAlignment="1">
      <alignment horizontal="left" vertical="center" wrapText="1"/>
    </xf>
    <xf numFmtId="0" fontId="22" fillId="0" borderId="0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left" vertical="center"/>
    </xf>
    <xf numFmtId="0" fontId="4" fillId="0" borderId="0" xfId="0" applyFont="1" applyBorder="1">
      <alignment vertical="center"/>
    </xf>
    <xf numFmtId="0" fontId="14" fillId="0" borderId="0" xfId="0" applyFont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2" fillId="0" borderId="1" xfId="6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49" fontId="31" fillId="0" borderId="0" xfId="0" applyNumberFormat="1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49" fontId="2" fillId="0" borderId="2" xfId="0" applyNumberFormat="1" applyFont="1" applyBorder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Fill="1" applyBorder="1">
      <alignment vertical="center"/>
    </xf>
    <xf numFmtId="0" fontId="4" fillId="0" borderId="0" xfId="0" applyNumberFormat="1" applyFon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Border="1">
      <alignment vertical="center"/>
    </xf>
    <xf numFmtId="0" fontId="31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0" fontId="9" fillId="0" borderId="0" xfId="0" applyFont="1" applyFill="1" applyBorder="1" applyAlignment="1">
      <alignment horizontal="left" vertical="center" wrapText="1"/>
    </xf>
    <xf numFmtId="0" fontId="31" fillId="0" borderId="0" xfId="0" applyFont="1" applyFill="1" applyAlignment="1">
      <alignment horizontal="center" vertical="center"/>
    </xf>
    <xf numFmtId="0" fontId="10" fillId="0" borderId="0" xfId="0" applyFont="1" applyFill="1">
      <alignment vertical="center"/>
    </xf>
    <xf numFmtId="49" fontId="0" fillId="0" borderId="0" xfId="0" applyNumberFormat="1" applyFont="1" applyBorder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 applyBorder="1" applyAlignment="1">
      <alignment vertical="center" wrapText="1"/>
    </xf>
    <xf numFmtId="0" fontId="20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justify" vertical="center" wrapText="1"/>
    </xf>
    <xf numFmtId="0" fontId="0" fillId="0" borderId="5" xfId="0" applyFont="1" applyBorder="1" applyAlignment="1">
      <alignment vertical="center" wrapText="1"/>
    </xf>
    <xf numFmtId="0" fontId="6" fillId="0" borderId="0" xfId="3" applyFont="1">
      <alignment vertical="center"/>
    </xf>
    <xf numFmtId="49" fontId="0" fillId="0" borderId="0" xfId="0" applyNumberFormat="1" applyFont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1" xfId="0" applyBorder="1">
      <alignment vertical="center"/>
    </xf>
    <xf numFmtId="0" fontId="5" fillId="5" borderId="20" xfId="0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0" fillId="0" borderId="10" xfId="0" applyBorder="1">
      <alignment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>
      <alignment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>
      <alignment vertical="center"/>
    </xf>
    <xf numFmtId="0" fontId="2" fillId="0" borderId="36" xfId="0" applyFont="1" applyBorder="1" applyAlignment="1">
      <alignment horizontal="center" vertical="center"/>
    </xf>
    <xf numFmtId="0" fontId="19" fillId="0" borderId="27" xfId="0" applyFont="1" applyBorder="1" applyAlignment="1">
      <alignment horizontal="left" vertical="center"/>
    </xf>
    <xf numFmtId="0" fontId="0" fillId="0" borderId="37" xfId="0" applyFill="1" applyBorder="1">
      <alignment vertical="center"/>
    </xf>
    <xf numFmtId="0" fontId="0" fillId="0" borderId="37" xfId="0" applyBorder="1">
      <alignment vertical="center"/>
    </xf>
    <xf numFmtId="0" fontId="0" fillId="0" borderId="38" xfId="0" applyFill="1" applyBorder="1">
      <alignment vertical="center"/>
    </xf>
    <xf numFmtId="0" fontId="5" fillId="3" borderId="39" xfId="0" applyFont="1" applyFill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4" fillId="0" borderId="12" xfId="0" applyFont="1" applyBorder="1">
      <alignment vertical="center"/>
    </xf>
    <xf numFmtId="0" fontId="10" fillId="0" borderId="12" xfId="0" applyFont="1" applyBorder="1" applyAlignment="1">
      <alignment horizontal="center" vertical="center" wrapText="1"/>
    </xf>
    <xf numFmtId="0" fontId="5" fillId="6" borderId="39" xfId="0" applyFont="1" applyFill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4" fillId="0" borderId="12" xfId="0" applyFont="1" applyBorder="1" applyAlignment="1">
      <alignment vertical="center" wrapText="1"/>
    </xf>
    <xf numFmtId="0" fontId="4" fillId="0" borderId="13" xfId="0" applyFont="1" applyBorder="1" applyAlignment="1">
      <alignment horizontal="center" vertical="center"/>
    </xf>
    <xf numFmtId="0" fontId="5" fillId="4" borderId="3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10" fillId="0" borderId="9" xfId="0" applyFont="1" applyBorder="1" applyAlignment="1">
      <alignment horizontal="center" vertical="center"/>
    </xf>
    <xf numFmtId="0" fontId="4" fillId="0" borderId="11" xfId="0" applyFont="1" applyBorder="1">
      <alignment vertical="center"/>
    </xf>
    <xf numFmtId="0" fontId="25" fillId="0" borderId="10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0" fillId="0" borderId="12" xfId="0" applyFont="1" applyBorder="1" applyAlignment="1">
      <alignment horizontal="left" vertical="center"/>
    </xf>
    <xf numFmtId="0" fontId="0" fillId="0" borderId="12" xfId="0" applyFont="1" applyBorder="1" applyAlignment="1">
      <alignment horizontal="center" vertical="center"/>
    </xf>
    <xf numFmtId="0" fontId="0" fillId="0" borderId="12" xfId="0" applyFont="1" applyBorder="1">
      <alignment vertical="center"/>
    </xf>
    <xf numFmtId="0" fontId="10" fillId="0" borderId="12" xfId="0" applyFont="1" applyBorder="1">
      <alignment vertical="center"/>
    </xf>
    <xf numFmtId="0" fontId="0" fillId="0" borderId="13" xfId="0" applyFont="1" applyBorder="1" applyAlignment="1">
      <alignment horizontal="center" vertical="center"/>
    </xf>
    <xf numFmtId="0" fontId="0" fillId="0" borderId="11" xfId="0" applyFont="1" applyBorder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10" fillId="0" borderId="10" xfId="0" applyFont="1" applyFill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5" fillId="6" borderId="39" xfId="6" applyFont="1" applyFill="1" applyBorder="1" applyAlignment="1">
      <alignment horizontal="center" vertical="center" wrapText="1"/>
    </xf>
    <xf numFmtId="0" fontId="2" fillId="0" borderId="31" xfId="6" applyFont="1" applyBorder="1" applyAlignment="1">
      <alignment horizontal="center" vertical="center" wrapText="1"/>
    </xf>
    <xf numFmtId="0" fontId="4" fillId="0" borderId="9" xfId="6" applyFont="1" applyBorder="1" applyAlignment="1">
      <alignment horizontal="center" vertical="center" wrapText="1"/>
    </xf>
    <xf numFmtId="0" fontId="4" fillId="0" borderId="10" xfId="6" applyFont="1" applyBorder="1" applyAlignment="1">
      <alignment horizontal="center" vertical="center" wrapText="1"/>
    </xf>
    <xf numFmtId="0" fontId="14" fillId="0" borderId="10" xfId="6" applyFont="1" applyBorder="1" applyAlignment="1">
      <alignment horizontal="center" vertical="center" wrapText="1"/>
    </xf>
    <xf numFmtId="0" fontId="4" fillId="0" borderId="11" xfId="6" applyFont="1" applyBorder="1" applyAlignment="1">
      <alignment horizontal="center" vertical="center" wrapText="1"/>
    </xf>
    <xf numFmtId="0" fontId="10" fillId="0" borderId="12" xfId="6" applyFont="1" applyBorder="1" applyAlignment="1">
      <alignment horizontal="center" vertical="center" wrapText="1"/>
    </xf>
    <xf numFmtId="0" fontId="18" fillId="0" borderId="12" xfId="6" applyFont="1" applyBorder="1" applyAlignment="1">
      <alignment vertical="center" wrapText="1"/>
    </xf>
    <xf numFmtId="0" fontId="18" fillId="0" borderId="12" xfId="6" applyFont="1" applyBorder="1" applyAlignment="1">
      <alignment horizontal="center" vertical="center" wrapText="1"/>
    </xf>
    <xf numFmtId="0" fontId="14" fillId="0" borderId="13" xfId="6" applyFont="1" applyBorder="1" applyAlignment="1">
      <alignment horizontal="center" vertical="center" wrapText="1"/>
    </xf>
    <xf numFmtId="0" fontId="26" fillId="8" borderId="39" xfId="0" applyFont="1" applyFill="1" applyBorder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12" xfId="0" applyFont="1" applyBorder="1" applyAlignment="1">
      <alignment vertical="center" wrapText="1"/>
    </xf>
    <xf numFmtId="0" fontId="22" fillId="0" borderId="12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/>
    </xf>
    <xf numFmtId="0" fontId="4" fillId="0" borderId="43" xfId="0" applyFont="1" applyFill="1" applyBorder="1" applyAlignment="1">
      <alignment horizontal="center" vertical="center"/>
    </xf>
    <xf numFmtId="0" fontId="10" fillId="0" borderId="12" xfId="0" applyFont="1" applyBorder="1" applyAlignment="1">
      <alignment horizontal="left" vertical="center" wrapText="1"/>
    </xf>
    <xf numFmtId="0" fontId="4" fillId="0" borderId="13" xfId="0" applyFont="1" applyFill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5" fillId="6" borderId="20" xfId="0" applyFont="1" applyFill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10" fillId="0" borderId="29" xfId="3" applyFont="1" applyBorder="1" applyAlignment="1">
      <alignment horizontal="center" vertical="center"/>
    </xf>
    <xf numFmtId="0" fontId="10" fillId="0" borderId="10" xfId="3" applyFont="1" applyBorder="1" applyAlignment="1">
      <alignment horizontal="center" vertical="center"/>
    </xf>
    <xf numFmtId="0" fontId="10" fillId="0" borderId="12" xfId="3" applyFont="1" applyBorder="1" applyAlignment="1">
      <alignment horizontal="center" vertical="center" wrapText="1"/>
    </xf>
    <xf numFmtId="0" fontId="10" fillId="0" borderId="12" xfId="3" applyFont="1" applyBorder="1" applyAlignment="1">
      <alignment horizontal="center" vertical="center"/>
    </xf>
    <xf numFmtId="0" fontId="4" fillId="0" borderId="10" xfId="0" applyFont="1" applyBorder="1">
      <alignment vertical="center"/>
    </xf>
    <xf numFmtId="0" fontId="4" fillId="0" borderId="13" xfId="0" applyFont="1" applyBorder="1">
      <alignment vertical="center"/>
    </xf>
    <xf numFmtId="0" fontId="9" fillId="0" borderId="10" xfId="0" applyFont="1" applyBorder="1" applyAlignment="1">
      <alignment horizontal="center" vertical="center"/>
    </xf>
    <xf numFmtId="0" fontId="5" fillId="6" borderId="24" xfId="0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 wrapText="1"/>
    </xf>
    <xf numFmtId="0" fontId="16" fillId="0" borderId="0" xfId="0" applyFont="1" applyFill="1" applyBorder="1">
      <alignment vertical="center"/>
    </xf>
    <xf numFmtId="0" fontId="25" fillId="0" borderId="0" xfId="0" applyFont="1" applyFill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10" fillId="0" borderId="12" xfId="3" quotePrefix="1" applyFont="1" applyBorder="1">
      <alignment vertical="center"/>
    </xf>
    <xf numFmtId="0" fontId="10" fillId="0" borderId="12" xfId="3" applyFont="1" applyBorder="1">
      <alignment vertical="center"/>
    </xf>
    <xf numFmtId="0" fontId="10" fillId="0" borderId="13" xfId="3" applyFont="1" applyBorder="1" applyAlignment="1">
      <alignment horizontal="center" vertical="center"/>
    </xf>
    <xf numFmtId="0" fontId="6" fillId="0" borderId="12" xfId="0" applyFont="1" applyBorder="1">
      <alignment vertical="center"/>
    </xf>
    <xf numFmtId="0" fontId="6" fillId="0" borderId="0" xfId="3" applyFont="1" applyAlignment="1">
      <alignment horizontal="center" vertical="center" wrapText="1"/>
    </xf>
    <xf numFmtId="0" fontId="6" fillId="0" borderId="0" xfId="3" quotePrefix="1" applyFont="1">
      <alignment vertical="center"/>
    </xf>
    <xf numFmtId="0" fontId="14" fillId="0" borderId="0" xfId="6" applyFont="1" applyBorder="1" applyAlignment="1">
      <alignment vertical="center" wrapText="1"/>
    </xf>
    <xf numFmtId="0" fontId="4" fillId="0" borderId="0" xfId="6" applyFont="1" applyBorder="1" applyAlignment="1">
      <alignment horizontal="left" vertical="center" wrapText="1"/>
    </xf>
    <xf numFmtId="0" fontId="4" fillId="0" borderId="0" xfId="6" quotePrefix="1" applyFont="1" applyBorder="1" applyAlignment="1">
      <alignment horizontal="left" vertical="center" wrapText="1"/>
    </xf>
    <xf numFmtId="0" fontId="4" fillId="0" borderId="0" xfId="6" quotePrefix="1" applyFont="1" applyBorder="1" applyAlignment="1">
      <alignment horizontal="center" vertical="center" wrapText="1"/>
    </xf>
    <xf numFmtId="0" fontId="8" fillId="0" borderId="0" xfId="6" applyFont="1" applyBorder="1" applyAlignment="1">
      <alignment horizontal="center" vertical="center" wrapText="1"/>
    </xf>
    <xf numFmtId="0" fontId="5" fillId="4" borderId="39" xfId="6" applyFont="1" applyFill="1" applyBorder="1" applyAlignment="1">
      <alignment horizontal="center" vertical="center" wrapText="1"/>
    </xf>
    <xf numFmtId="0" fontId="10" fillId="0" borderId="12" xfId="6" applyFont="1" applyBorder="1" applyAlignment="1">
      <alignment horizontal="left" vertical="center" wrapText="1"/>
    </xf>
    <xf numFmtId="0" fontId="14" fillId="0" borderId="12" xfId="6" applyFont="1" applyBorder="1" applyAlignment="1">
      <alignment horizontal="center" vertical="center" wrapText="1"/>
    </xf>
    <xf numFmtId="0" fontId="4" fillId="0" borderId="13" xfId="6" applyFont="1" applyBorder="1" applyAlignment="1">
      <alignment horizontal="center" vertical="center" wrapText="1"/>
    </xf>
    <xf numFmtId="0" fontId="4" fillId="0" borderId="12" xfId="6" applyFont="1" applyBorder="1" applyAlignment="1">
      <alignment horizontal="center" vertical="center" wrapText="1"/>
    </xf>
    <xf numFmtId="0" fontId="10" fillId="0" borderId="12" xfId="6" applyFont="1" applyBorder="1" applyAlignment="1">
      <alignment horizontal="center" vertical="center"/>
    </xf>
    <xf numFmtId="0" fontId="10" fillId="0" borderId="11" xfId="6" applyFont="1" applyBorder="1" applyAlignment="1">
      <alignment horizontal="center" vertical="center" wrapText="1"/>
    </xf>
    <xf numFmtId="0" fontId="18" fillId="0" borderId="11" xfId="6" applyFont="1" applyBorder="1" applyAlignment="1">
      <alignment horizontal="center" vertical="center" wrapText="1"/>
    </xf>
    <xf numFmtId="0" fontId="26" fillId="7" borderId="44" xfId="0" applyFont="1" applyFill="1" applyBorder="1" applyAlignment="1">
      <alignment horizontal="center" vertical="center"/>
    </xf>
    <xf numFmtId="0" fontId="24" fillId="0" borderId="50" xfId="0" applyFont="1" applyBorder="1" applyAlignment="1">
      <alignment horizontal="center" vertical="center"/>
    </xf>
    <xf numFmtId="0" fontId="22" fillId="0" borderId="52" xfId="0" applyFont="1" applyBorder="1" applyAlignment="1">
      <alignment horizontal="center" vertical="center"/>
    </xf>
    <xf numFmtId="0" fontId="25" fillId="0" borderId="53" xfId="0" applyFont="1" applyBorder="1" applyAlignment="1">
      <alignment horizontal="center" vertical="center"/>
    </xf>
    <xf numFmtId="0" fontId="25" fillId="0" borderId="54" xfId="0" applyFont="1" applyBorder="1" applyAlignment="1">
      <alignment horizontal="center" vertical="center"/>
    </xf>
    <xf numFmtId="0" fontId="22" fillId="0" borderId="55" xfId="0" applyFont="1" applyBorder="1" applyAlignment="1">
      <alignment horizontal="center" vertical="center"/>
    </xf>
    <xf numFmtId="0" fontId="22" fillId="0" borderId="56" xfId="0" applyFont="1" applyBorder="1" applyAlignment="1">
      <alignment horizontal="center" vertical="center" wrapText="1"/>
    </xf>
    <xf numFmtId="0" fontId="10" fillId="0" borderId="56" xfId="0" applyFont="1" applyBorder="1">
      <alignment vertical="center"/>
    </xf>
    <xf numFmtId="0" fontId="10" fillId="0" borderId="56" xfId="0" applyFont="1" applyBorder="1" applyAlignment="1">
      <alignment horizontal="center" vertical="center"/>
    </xf>
    <xf numFmtId="0" fontId="22" fillId="0" borderId="56" xfId="0" applyFont="1" applyBorder="1">
      <alignment vertical="center"/>
    </xf>
    <xf numFmtId="0" fontId="22" fillId="0" borderId="56" xfId="0" applyFont="1" applyBorder="1" applyAlignment="1">
      <alignment horizontal="center" vertical="center"/>
    </xf>
    <xf numFmtId="0" fontId="25" fillId="0" borderId="56" xfId="0" applyFont="1" applyBorder="1" applyAlignment="1">
      <alignment horizontal="center" vertical="center" wrapText="1"/>
    </xf>
    <xf numFmtId="0" fontId="25" fillId="0" borderId="57" xfId="0" applyFont="1" applyBorder="1" applyAlignment="1">
      <alignment horizontal="center" vertical="center"/>
    </xf>
    <xf numFmtId="0" fontId="2" fillId="0" borderId="58" xfId="0" applyFont="1" applyBorder="1" applyAlignment="1">
      <alignment horizontal="center" vertical="center"/>
    </xf>
    <xf numFmtId="0" fontId="2" fillId="0" borderId="59" xfId="0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176" fontId="0" fillId="0" borderId="0" xfId="0" applyNumberFormat="1" applyFont="1" applyBorder="1" applyAlignment="1">
      <alignment horizontal="center" vertical="center" wrapText="1"/>
    </xf>
    <xf numFmtId="0" fontId="36" fillId="0" borderId="0" xfId="1" applyAlignment="1">
      <alignment horizontal="center" vertical="center"/>
    </xf>
    <xf numFmtId="0" fontId="36" fillId="0" borderId="0" xfId="1" applyBorder="1">
      <alignment vertical="center"/>
    </xf>
    <xf numFmtId="0" fontId="36" fillId="0" borderId="0" xfId="1" applyBorder="1" applyAlignment="1">
      <alignment horizontal="center" vertical="center" wrapText="1"/>
    </xf>
    <xf numFmtId="0" fontId="36" fillId="0" borderId="0" xfId="1" applyBorder="1" applyAlignment="1">
      <alignment vertical="center" wrapText="1"/>
    </xf>
    <xf numFmtId="49" fontId="36" fillId="0" borderId="0" xfId="1" applyNumberFormat="1" applyBorder="1" applyAlignment="1">
      <alignment horizontal="center" vertical="center" wrapText="1"/>
    </xf>
    <xf numFmtId="0" fontId="36" fillId="0" borderId="0" xfId="1" applyBorder="1" applyAlignment="1">
      <alignment horizontal="center" vertical="center"/>
    </xf>
    <xf numFmtId="0" fontId="36" fillId="0" borderId="0" xfId="1">
      <alignment vertical="center"/>
    </xf>
    <xf numFmtId="0" fontId="36" fillId="0" borderId="0" xfId="1" applyAlignment="1">
      <alignment horizontal="center" vertical="center" wrapText="1"/>
    </xf>
    <xf numFmtId="0" fontId="36" fillId="0" borderId="0" xfId="1" applyAlignment="1">
      <alignment vertical="center" wrapText="1"/>
    </xf>
    <xf numFmtId="49" fontId="36" fillId="0" borderId="0" xfId="1" applyNumberFormat="1" applyAlignment="1">
      <alignment horizontal="center" vertical="center" wrapText="1"/>
    </xf>
    <xf numFmtId="0" fontId="36" fillId="0" borderId="0" xfId="2" applyAlignment="1">
      <alignment horizontal="center" vertical="center"/>
    </xf>
    <xf numFmtId="0" fontId="36" fillId="0" borderId="0" xfId="2">
      <alignment vertical="center"/>
    </xf>
    <xf numFmtId="0" fontId="36" fillId="0" borderId="0" xfId="2" applyFill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horizontal="center" vertical="center" wrapText="1"/>
    </xf>
    <xf numFmtId="0" fontId="38" fillId="0" borderId="0" xfId="0" applyFont="1" applyFill="1" applyBorder="1" applyAlignment="1">
      <alignment horizontal="center" vertical="center" wrapText="1"/>
    </xf>
    <xf numFmtId="0" fontId="29" fillId="0" borderId="0" xfId="0" applyFont="1" applyFill="1" applyBorder="1" applyAlignment="1">
      <alignment vertical="center" wrapText="1"/>
    </xf>
    <xf numFmtId="0" fontId="10" fillId="0" borderId="0" xfId="0" applyNumberFormat="1" applyFont="1" applyBorder="1" applyAlignment="1">
      <alignment horizontal="center" vertical="center" wrapText="1"/>
    </xf>
    <xf numFmtId="0" fontId="39" fillId="0" borderId="0" xfId="6" applyFont="1" applyBorder="1" applyAlignment="1">
      <alignment horizontal="center" vertical="center" wrapText="1"/>
    </xf>
    <xf numFmtId="0" fontId="40" fillId="0" borderId="0" xfId="0" applyFont="1" applyBorder="1" applyAlignment="1">
      <alignment horizontal="center" vertical="center"/>
    </xf>
    <xf numFmtId="0" fontId="39" fillId="0" borderId="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4" fillId="0" borderId="0" xfId="0" applyNumberFormat="1" applyFont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 wrapText="1"/>
    </xf>
    <xf numFmtId="0" fontId="4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0" borderId="12" xfId="0" applyFont="1" applyBorder="1" applyAlignment="1">
      <alignment vertical="center" wrapText="1"/>
    </xf>
    <xf numFmtId="49" fontId="0" fillId="0" borderId="12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2" fillId="0" borderId="56" xfId="0" applyFont="1" applyBorder="1" applyAlignment="1">
      <alignment horizontal="left" vertical="center" wrapText="1"/>
    </xf>
    <xf numFmtId="0" fontId="5" fillId="4" borderId="20" xfId="0" applyFont="1" applyFill="1" applyBorder="1" applyAlignment="1">
      <alignment horizontal="center" vertical="center" wrapText="1"/>
    </xf>
    <xf numFmtId="0" fontId="5" fillId="4" borderId="20" xfId="0" applyFont="1" applyFill="1" applyBorder="1" applyAlignment="1">
      <alignment horizontal="center" vertical="center"/>
    </xf>
    <xf numFmtId="0" fontId="4" fillId="0" borderId="12" xfId="0" quotePrefix="1" applyFont="1" applyBorder="1">
      <alignment vertical="center"/>
    </xf>
    <xf numFmtId="0" fontId="4" fillId="0" borderId="12" xfId="0" quotePrefix="1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20" fillId="0" borderId="0" xfId="0" applyFont="1" applyBorder="1" applyAlignment="1">
      <alignment horizontal="justify" vertical="center" wrapText="1"/>
    </xf>
    <xf numFmtId="0" fontId="4" fillId="0" borderId="0" xfId="0" applyFont="1" applyBorder="1" applyAlignment="1">
      <alignment horizontal="justify" vertical="center" wrapText="1"/>
    </xf>
    <xf numFmtId="0" fontId="20" fillId="0" borderId="12" xfId="0" applyFont="1" applyBorder="1" applyAlignment="1">
      <alignment horizontal="center" vertical="center" wrapText="1"/>
    </xf>
    <xf numFmtId="0" fontId="9" fillId="0" borderId="13" xfId="3" applyFont="1" applyBorder="1" applyAlignment="1">
      <alignment horizontal="center" vertical="center"/>
    </xf>
    <xf numFmtId="0" fontId="12" fillId="0" borderId="0" xfId="3" applyFont="1" applyBorder="1" applyAlignment="1">
      <alignment horizontal="center" vertical="center" wrapText="1"/>
    </xf>
    <xf numFmtId="0" fontId="6" fillId="0" borderId="0" xfId="3" applyFont="1" applyBorder="1" applyAlignment="1">
      <alignment horizontal="center" vertical="center"/>
    </xf>
    <xf numFmtId="0" fontId="21" fillId="0" borderId="0" xfId="3" applyFont="1" applyBorder="1" applyAlignment="1">
      <alignment horizontal="center" vertical="center"/>
    </xf>
    <xf numFmtId="0" fontId="10" fillId="0" borderId="12" xfId="0" applyFont="1" applyBorder="1" applyAlignment="1">
      <alignment horizontal="justify" vertical="center" wrapText="1"/>
    </xf>
    <xf numFmtId="0" fontId="15" fillId="0" borderId="0" xfId="3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justify" vertical="center" wrapText="1"/>
    </xf>
    <xf numFmtId="0" fontId="20" fillId="0" borderId="12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vertical="center" wrapText="1"/>
    </xf>
    <xf numFmtId="0" fontId="2" fillId="0" borderId="22" xfId="0" applyFont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0" fontId="2" fillId="0" borderId="61" xfId="0" applyFont="1" applyBorder="1" applyAlignment="1">
      <alignment horizontal="center" vertical="center" wrapText="1"/>
    </xf>
    <xf numFmtId="0" fontId="2" fillId="0" borderId="61" xfId="0" applyFont="1" applyBorder="1" applyAlignment="1">
      <alignment horizontal="center" vertical="center"/>
    </xf>
    <xf numFmtId="0" fontId="2" fillId="0" borderId="62" xfId="0" applyFont="1" applyBorder="1" applyAlignment="1">
      <alignment horizontal="center" vertical="center"/>
    </xf>
    <xf numFmtId="0" fontId="2" fillId="0" borderId="63" xfId="0" applyFont="1" applyBorder="1" applyAlignment="1">
      <alignment horizontal="center" vertical="center"/>
    </xf>
    <xf numFmtId="0" fontId="2" fillId="0" borderId="64" xfId="0" applyFont="1" applyBorder="1" applyAlignment="1">
      <alignment horizontal="center" vertical="center" wrapText="1"/>
    </xf>
    <xf numFmtId="0" fontId="2" fillId="0" borderId="6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0" fillId="0" borderId="61" xfId="0" applyFont="1" applyBorder="1">
      <alignment vertical="center"/>
    </xf>
    <xf numFmtId="0" fontId="22" fillId="0" borderId="0" xfId="0" applyFont="1" applyAlignment="1">
      <alignment vertical="center" wrapText="1"/>
    </xf>
    <xf numFmtId="0" fontId="43" fillId="0" borderId="0" xfId="0" applyFont="1" applyBorder="1" applyAlignment="1">
      <alignment horizontal="center" vertical="center"/>
    </xf>
    <xf numFmtId="0" fontId="43" fillId="0" borderId="0" xfId="6" applyFont="1" applyBorder="1" applyAlignment="1">
      <alignment horizontal="center" vertical="center" wrapText="1"/>
    </xf>
    <xf numFmtId="0" fontId="0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6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44" fillId="0" borderId="0" xfId="0" applyFont="1" applyBorder="1" applyAlignment="1">
      <alignment horizontal="center" vertical="center" wrapText="1"/>
    </xf>
    <xf numFmtId="0" fontId="44" fillId="0" borderId="0" xfId="6" applyFont="1" applyBorder="1" applyAlignment="1">
      <alignment horizontal="center" vertical="center" wrapText="1"/>
    </xf>
    <xf numFmtId="0" fontId="2" fillId="0" borderId="1" xfId="6" applyFont="1" applyBorder="1" applyAlignment="1">
      <alignment horizontal="center" vertical="center" wrapText="1"/>
    </xf>
    <xf numFmtId="0" fontId="38" fillId="0" borderId="0" xfId="0" applyFont="1" applyBorder="1" applyAlignment="1">
      <alignment horizontal="center" vertical="center" wrapText="1"/>
    </xf>
    <xf numFmtId="0" fontId="38" fillId="0" borderId="0" xfId="0" applyFont="1" applyFill="1" applyBorder="1" applyAlignment="1">
      <alignment horizontal="left" vertical="center" wrapText="1"/>
    </xf>
    <xf numFmtId="0" fontId="10" fillId="0" borderId="0" xfId="6" applyFont="1" applyFill="1" applyBorder="1" applyAlignment="1">
      <alignment horizontal="center" vertical="center" wrapText="1"/>
    </xf>
    <xf numFmtId="0" fontId="10" fillId="0" borderId="0" xfId="0" quotePrefix="1" applyFont="1" applyFill="1" applyBorder="1" applyAlignment="1">
      <alignment horizontal="left" vertical="center" wrapText="1"/>
    </xf>
    <xf numFmtId="0" fontId="10" fillId="0" borderId="0" xfId="0" quotePrefix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/>
    </xf>
    <xf numFmtId="0" fontId="15" fillId="0" borderId="0" xfId="0" applyFont="1" applyFill="1" applyBorder="1" applyAlignment="1">
      <alignment vertical="center"/>
    </xf>
    <xf numFmtId="0" fontId="0" fillId="0" borderId="10" xfId="0" applyFont="1" applyBorder="1">
      <alignment vertical="center"/>
    </xf>
    <xf numFmtId="0" fontId="0" fillId="0" borderId="0" xfId="0" applyFont="1" applyBorder="1" applyAlignment="1">
      <alignment horizontal="left" vertical="center" wrapText="1"/>
    </xf>
    <xf numFmtId="0" fontId="0" fillId="0" borderId="9" xfId="0" applyFont="1" applyBorder="1">
      <alignment vertical="center"/>
    </xf>
    <xf numFmtId="0" fontId="29" fillId="0" borderId="0" xfId="0" applyFont="1" applyBorder="1" applyAlignment="1">
      <alignment horizontal="center" vertical="center" wrapText="1"/>
    </xf>
    <xf numFmtId="0" fontId="46" fillId="0" borderId="0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0" fontId="5" fillId="6" borderId="24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left" vertical="center"/>
    </xf>
    <xf numFmtId="0" fontId="0" fillId="0" borderId="9" xfId="0" applyFont="1" applyBorder="1" applyAlignment="1">
      <alignment horizontal="center" vertical="center"/>
    </xf>
    <xf numFmtId="0" fontId="5" fillId="6" borderId="65" xfId="0" applyFont="1" applyFill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0" fillId="0" borderId="13" xfId="0" applyFont="1" applyBorder="1">
      <alignment vertical="center"/>
    </xf>
    <xf numFmtId="0" fontId="10" fillId="0" borderId="0" xfId="0" applyFont="1" applyAlignment="1">
      <alignment horizontal="left" vertical="center"/>
    </xf>
    <xf numFmtId="0" fontId="10" fillId="0" borderId="12" xfId="0" applyFont="1" applyBorder="1" applyAlignment="1">
      <alignment vertical="center" wrapText="1"/>
    </xf>
    <xf numFmtId="0" fontId="38" fillId="0" borderId="12" xfId="0" applyFont="1" applyFill="1" applyBorder="1" applyAlignment="1">
      <alignment horizontal="center" vertical="center" wrapText="1"/>
    </xf>
    <xf numFmtId="0" fontId="43" fillId="0" borderId="12" xfId="0" applyFont="1" applyBorder="1" applyAlignment="1">
      <alignment horizontal="center" vertical="center"/>
    </xf>
    <xf numFmtId="0" fontId="35" fillId="0" borderId="0" xfId="0" applyFont="1" applyBorder="1" applyAlignment="1">
      <alignment horizontal="center" vertical="center" wrapText="1"/>
    </xf>
    <xf numFmtId="0" fontId="38" fillId="0" borderId="0" xfId="6" applyFont="1" applyBorder="1" applyAlignment="1">
      <alignment vertical="center" wrapText="1"/>
    </xf>
    <xf numFmtId="0" fontId="4" fillId="0" borderId="61" xfId="0" applyFont="1" applyBorder="1" applyAlignment="1">
      <alignment horizontal="center" vertical="center"/>
    </xf>
    <xf numFmtId="0" fontId="0" fillId="0" borderId="61" xfId="0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 wrapText="1"/>
    </xf>
    <xf numFmtId="0" fontId="49" fillId="0" borderId="0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4" fillId="0" borderId="5" xfId="0" applyFont="1" applyBorder="1">
      <alignment vertical="center"/>
    </xf>
    <xf numFmtId="0" fontId="4" fillId="0" borderId="0" xfId="0" applyFont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 wrapText="1"/>
    </xf>
    <xf numFmtId="0" fontId="15" fillId="0" borderId="0" xfId="0" applyFont="1" applyBorder="1" applyAlignment="1">
      <alignment horizontal="left" vertical="center"/>
    </xf>
    <xf numFmtId="0" fontId="28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left" vertical="center"/>
    </xf>
    <xf numFmtId="0" fontId="46" fillId="0" borderId="0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0" fillId="0" borderId="0" xfId="0" applyFont="1" applyBorder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/>
    </xf>
    <xf numFmtId="0" fontId="2" fillId="0" borderId="60" xfId="0" applyFont="1" applyBorder="1" applyAlignment="1">
      <alignment horizontal="center" vertical="center"/>
    </xf>
    <xf numFmtId="0" fontId="5" fillId="3" borderId="65" xfId="0" applyFont="1" applyFill="1" applyBorder="1" applyAlignment="1">
      <alignment horizontal="center" vertical="center"/>
    </xf>
    <xf numFmtId="0" fontId="2" fillId="0" borderId="66" xfId="0" applyFont="1" applyBorder="1" applyAlignment="1">
      <alignment horizontal="center" vertical="center"/>
    </xf>
    <xf numFmtId="0" fontId="40" fillId="0" borderId="0" xfId="0" applyFont="1" applyBorder="1">
      <alignment vertical="center"/>
    </xf>
    <xf numFmtId="0" fontId="8" fillId="0" borderId="0" xfId="0" applyFont="1" applyBorder="1">
      <alignment vertical="center"/>
    </xf>
    <xf numFmtId="0" fontId="8" fillId="0" borderId="10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5" fillId="5" borderId="21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2" fillId="0" borderId="2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4" borderId="21" xfId="0" applyFont="1" applyFill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0" fontId="2" fillId="0" borderId="4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5" fillId="3" borderId="24" xfId="0" applyFont="1" applyFill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0" fontId="5" fillId="6" borderId="21" xfId="0" applyFont="1" applyFill="1" applyBorder="1" applyAlignment="1">
      <alignment horizontal="center" vertical="center"/>
    </xf>
    <xf numFmtId="0" fontId="5" fillId="6" borderId="22" xfId="0" applyFont="1" applyFill="1" applyBorder="1" applyAlignment="1">
      <alignment horizontal="center" vertical="center"/>
    </xf>
    <xf numFmtId="0" fontId="5" fillId="6" borderId="23" xfId="0" applyFont="1" applyFill="1" applyBorder="1" applyAlignment="1">
      <alignment horizontal="center" vertical="center"/>
    </xf>
    <xf numFmtId="0" fontId="5" fillId="4" borderId="2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6" borderId="24" xfId="0" applyFont="1" applyFill="1" applyBorder="1" applyAlignment="1">
      <alignment horizontal="center" vertical="center"/>
    </xf>
    <xf numFmtId="0" fontId="5" fillId="6" borderId="40" xfId="0" applyFont="1" applyFill="1" applyBorder="1" applyAlignment="1">
      <alignment horizontal="center" vertical="center"/>
    </xf>
    <xf numFmtId="0" fontId="15" fillId="0" borderId="60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2" fillId="0" borderId="25" xfId="6" applyFont="1" applyBorder="1" applyAlignment="1">
      <alignment horizontal="center" vertical="center" wrapText="1"/>
    </xf>
    <xf numFmtId="0" fontId="2" fillId="0" borderId="36" xfId="6" applyFont="1" applyBorder="1" applyAlignment="1">
      <alignment horizontal="center" vertical="center" wrapText="1"/>
    </xf>
    <xf numFmtId="0" fontId="5" fillId="4" borderId="21" xfId="6" applyFont="1" applyFill="1" applyBorder="1" applyAlignment="1">
      <alignment horizontal="center" vertical="center" wrapText="1"/>
    </xf>
    <xf numFmtId="0" fontId="5" fillId="4" borderId="22" xfId="6" applyFont="1" applyFill="1" applyBorder="1" applyAlignment="1">
      <alignment horizontal="center" vertical="center" wrapText="1"/>
    </xf>
    <xf numFmtId="0" fontId="5" fillId="4" borderId="23" xfId="6" applyFont="1" applyFill="1" applyBorder="1" applyAlignment="1">
      <alignment horizontal="center" vertical="center" wrapText="1"/>
    </xf>
    <xf numFmtId="0" fontId="2" fillId="0" borderId="24" xfId="6" applyFont="1" applyBorder="1" applyAlignment="1">
      <alignment horizontal="center" vertical="center" wrapText="1"/>
    </xf>
    <xf numFmtId="0" fontId="2" fillId="0" borderId="1" xfId="6" applyFont="1" applyBorder="1" applyAlignment="1">
      <alignment horizontal="center" vertical="center" wrapText="1"/>
    </xf>
    <xf numFmtId="0" fontId="5" fillId="6" borderId="21" xfId="6" applyFont="1" applyFill="1" applyBorder="1" applyAlignment="1">
      <alignment horizontal="center" vertical="center" wrapText="1"/>
    </xf>
    <xf numFmtId="0" fontId="5" fillId="6" borderId="22" xfId="6" applyFont="1" applyFill="1" applyBorder="1" applyAlignment="1">
      <alignment horizontal="center" vertical="center" wrapText="1"/>
    </xf>
    <xf numFmtId="0" fontId="5" fillId="6" borderId="23" xfId="6" applyFont="1" applyFill="1" applyBorder="1" applyAlignment="1">
      <alignment horizontal="center" vertical="center" wrapText="1"/>
    </xf>
    <xf numFmtId="0" fontId="24" fillId="0" borderId="49" xfId="0" applyFont="1" applyBorder="1" applyAlignment="1">
      <alignment horizontal="center" vertical="center"/>
    </xf>
    <xf numFmtId="0" fontId="25" fillId="0" borderId="51" xfId="0" applyFont="1" applyBorder="1">
      <alignment vertical="center"/>
    </xf>
    <xf numFmtId="0" fontId="26" fillId="8" borderId="24" xfId="0" applyFont="1" applyFill="1" applyBorder="1" applyAlignment="1">
      <alignment horizontal="center" vertical="center"/>
    </xf>
    <xf numFmtId="0" fontId="27" fillId="0" borderId="24" xfId="0" applyFont="1" applyBorder="1">
      <alignment vertical="center"/>
    </xf>
    <xf numFmtId="0" fontId="24" fillId="0" borderId="24" xfId="0" applyFont="1" applyBorder="1" applyAlignment="1">
      <alignment horizontal="center" vertical="center" wrapText="1"/>
    </xf>
    <xf numFmtId="0" fontId="25" fillId="0" borderId="1" xfId="0" applyFont="1" applyBorder="1">
      <alignment vertical="center"/>
    </xf>
    <xf numFmtId="0" fontId="24" fillId="0" borderId="24" xfId="0" applyFont="1" applyBorder="1" applyAlignment="1">
      <alignment horizontal="center" vertical="center"/>
    </xf>
    <xf numFmtId="0" fontId="25" fillId="0" borderId="24" xfId="0" applyFont="1" applyBorder="1">
      <alignment vertical="center"/>
    </xf>
    <xf numFmtId="0" fontId="24" fillId="0" borderId="25" xfId="0" applyFont="1" applyBorder="1" applyAlignment="1">
      <alignment horizontal="center" vertical="center"/>
    </xf>
    <xf numFmtId="0" fontId="25" fillId="0" borderId="36" xfId="0" applyFont="1" applyBorder="1">
      <alignment vertical="center"/>
    </xf>
    <xf numFmtId="0" fontId="26" fillId="7" borderId="45" xfId="0" applyFont="1" applyFill="1" applyBorder="1" applyAlignment="1">
      <alignment horizontal="center" vertical="center"/>
    </xf>
    <xf numFmtId="0" fontId="27" fillId="0" borderId="46" xfId="0" applyFont="1" applyBorder="1">
      <alignment vertical="center"/>
    </xf>
    <xf numFmtId="0" fontId="24" fillId="0" borderId="47" xfId="0" applyFont="1" applyBorder="1" applyAlignment="1">
      <alignment horizontal="center" vertical="center" wrapText="1"/>
    </xf>
    <xf numFmtId="0" fontId="25" fillId="0" borderId="17" xfId="0" applyFont="1" applyBorder="1">
      <alignment vertical="center"/>
    </xf>
    <xf numFmtId="0" fontId="24" fillId="0" borderId="45" xfId="0" applyFont="1" applyBorder="1" applyAlignment="1">
      <alignment horizontal="center" vertical="center"/>
    </xf>
    <xf numFmtId="0" fontId="25" fillId="0" borderId="46" xfId="0" applyFont="1" applyBorder="1">
      <alignment vertical="center"/>
    </xf>
    <xf numFmtId="0" fontId="25" fillId="0" borderId="48" xfId="0" applyFont="1" applyBorder="1">
      <alignment vertical="center"/>
    </xf>
    <xf numFmtId="0" fontId="24" fillId="0" borderId="47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7" fillId="0" borderId="24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5" fillId="4" borderId="24" xfId="0" applyFont="1" applyFill="1" applyBorder="1" applyAlignment="1">
      <alignment horizontal="center" vertical="center" wrapText="1"/>
    </xf>
    <xf numFmtId="0" fontId="45" fillId="4" borderId="21" xfId="6" applyFont="1" applyFill="1" applyBorder="1" applyAlignment="1">
      <alignment horizontal="center" vertical="center" wrapText="1"/>
    </xf>
    <xf numFmtId="0" fontId="45" fillId="4" borderId="22" xfId="6" applyFont="1" applyFill="1" applyBorder="1" applyAlignment="1">
      <alignment horizontal="center" vertical="center" wrapText="1"/>
    </xf>
    <xf numFmtId="0" fontId="45" fillId="4" borderId="23" xfId="6" applyFont="1" applyFill="1" applyBorder="1" applyAlignment="1">
      <alignment horizontal="center" vertical="center" wrapText="1"/>
    </xf>
    <xf numFmtId="0" fontId="26" fillId="7" borderId="46" xfId="0" applyFont="1" applyFill="1" applyBorder="1" applyAlignment="1">
      <alignment horizontal="center" vertical="center"/>
    </xf>
    <xf numFmtId="0" fontId="26" fillId="7" borderId="48" xfId="0" applyFont="1" applyFill="1" applyBorder="1" applyAlignment="1">
      <alignment horizontal="center" vertical="center"/>
    </xf>
    <xf numFmtId="0" fontId="24" fillId="0" borderId="17" xfId="0" applyFont="1" applyBorder="1" applyAlignment="1">
      <alignment horizontal="center" vertical="center" wrapText="1"/>
    </xf>
    <xf numFmtId="0" fontId="24" fillId="0" borderId="46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4" fillId="0" borderId="51" xfId="0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 wrapText="1"/>
    </xf>
    <xf numFmtId="0" fontId="5" fillId="3" borderId="40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 wrapText="1"/>
    </xf>
  </cellXfs>
  <cellStyles count="7">
    <cellStyle name="ColLevel_1" xfId="2" builtinId="2" iLevel="0"/>
    <cellStyle name="RowLevel_1" xfId="1" builtinId="1" iLevel="0"/>
    <cellStyle name="표준" xfId="0" builtinId="0"/>
    <cellStyle name="표준 2" xfId="3" xr:uid="{00000000-0005-0000-0000-000003000000}"/>
    <cellStyle name="표준 3" xfId="4" xr:uid="{00000000-0005-0000-0000-000004000000}"/>
    <cellStyle name="표준 4" xfId="5" xr:uid="{00000000-0005-0000-0000-000005000000}"/>
    <cellStyle name="표준 5" xfId="6" xr:uid="{00000000-0005-0000-0000-000006000000}"/>
  </cellStyles>
  <dxfs count="451"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strike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36"/>
  <sheetViews>
    <sheetView workbookViewId="0"/>
  </sheetViews>
  <sheetFormatPr defaultRowHeight="24.95" customHeight="1"/>
  <cols>
    <col min="1" max="1" width="9" style="40"/>
    <col min="2" max="2" width="15.5" style="5" customWidth="1"/>
    <col min="3" max="3" width="150.5" customWidth="1"/>
    <col min="4" max="4" width="8" style="40" customWidth="1"/>
    <col min="5" max="5" width="9" style="45"/>
    <col min="6" max="6" width="10" style="45" customWidth="1"/>
  </cols>
  <sheetData>
    <row r="1" spans="2:6" s="40" customFormat="1" ht="24.95" customHeight="1" thickBot="1">
      <c r="B1" s="45"/>
      <c r="E1" s="45"/>
      <c r="F1" s="45"/>
    </row>
    <row r="2" spans="2:6" ht="24.95" customHeight="1">
      <c r="B2" s="1" t="s">
        <v>613</v>
      </c>
      <c r="C2" s="2"/>
      <c r="D2" s="124"/>
      <c r="E2" s="123"/>
      <c r="F2"/>
    </row>
    <row r="3" spans="2:6" ht="24.95" customHeight="1">
      <c r="B3" s="9"/>
      <c r="C3" s="193"/>
    </row>
    <row r="4" spans="2:6" ht="24.95" customHeight="1">
      <c r="B4" s="194" t="s">
        <v>0</v>
      </c>
      <c r="C4" s="195" t="s">
        <v>1</v>
      </c>
      <c r="D4" s="124"/>
    </row>
    <row r="5" spans="2:6" ht="24.95" customHeight="1">
      <c r="B5" s="196" t="s">
        <v>5</v>
      </c>
      <c r="C5" s="193" t="s">
        <v>2</v>
      </c>
      <c r="D5" s="73"/>
    </row>
    <row r="6" spans="2:6" ht="24.95" customHeight="1">
      <c r="B6" s="196" t="s">
        <v>3</v>
      </c>
      <c r="C6" s="193" t="s">
        <v>10</v>
      </c>
      <c r="D6" s="73"/>
    </row>
    <row r="7" spans="2:6" ht="24.95" customHeight="1">
      <c r="B7" s="196" t="s">
        <v>6</v>
      </c>
      <c r="C7" s="193" t="s">
        <v>11</v>
      </c>
      <c r="D7" s="73"/>
    </row>
    <row r="8" spans="2:6" ht="24.95" customHeight="1">
      <c r="B8" s="196" t="s">
        <v>7</v>
      </c>
      <c r="C8" s="193" t="s">
        <v>12</v>
      </c>
      <c r="D8" s="73"/>
    </row>
    <row r="9" spans="2:6" ht="24.95" customHeight="1">
      <c r="B9" s="196" t="s">
        <v>4</v>
      </c>
      <c r="C9" s="193" t="s">
        <v>13</v>
      </c>
      <c r="D9" s="73"/>
    </row>
    <row r="10" spans="2:6" ht="24.95" customHeight="1">
      <c r="B10" s="196" t="s">
        <v>8</v>
      </c>
      <c r="C10" s="193" t="s">
        <v>54</v>
      </c>
      <c r="D10" s="73"/>
    </row>
    <row r="11" spans="2:6" ht="24.95" customHeight="1">
      <c r="B11" s="197" t="s">
        <v>9</v>
      </c>
      <c r="C11" s="198" t="s">
        <v>53</v>
      </c>
      <c r="D11" s="73"/>
    </row>
    <row r="12" spans="2:6" ht="24.95" customHeight="1">
      <c r="B12" s="199"/>
      <c r="C12" s="200"/>
      <c r="D12" s="73"/>
    </row>
    <row r="13" spans="2:6" ht="24.95" customHeight="1">
      <c r="B13" s="194" t="s">
        <v>14</v>
      </c>
      <c r="C13" s="195" t="s">
        <v>15</v>
      </c>
      <c r="D13" s="124"/>
    </row>
    <row r="14" spans="2:6" ht="24.95" customHeight="1">
      <c r="B14" s="196" t="s">
        <v>16</v>
      </c>
      <c r="C14" s="193" t="s">
        <v>17</v>
      </c>
      <c r="D14" s="73"/>
    </row>
    <row r="15" spans="2:6" ht="24.95" customHeight="1">
      <c r="B15" s="196" t="s">
        <v>18</v>
      </c>
      <c r="C15" s="193" t="s">
        <v>49</v>
      </c>
      <c r="D15" s="73"/>
    </row>
    <row r="16" spans="2:6" ht="24.95" customHeight="1">
      <c r="B16" s="196" t="s">
        <v>19</v>
      </c>
      <c r="C16" s="193" t="s">
        <v>48</v>
      </c>
      <c r="D16" s="73"/>
    </row>
    <row r="17" spans="2:4" ht="24.95" customHeight="1">
      <c r="B17" s="196" t="s">
        <v>20</v>
      </c>
      <c r="C17" s="193" t="s">
        <v>21</v>
      </c>
      <c r="D17" s="73"/>
    </row>
    <row r="18" spans="2:4" ht="24.95" customHeight="1">
      <c r="B18" s="196" t="s">
        <v>22</v>
      </c>
      <c r="C18" s="193" t="s">
        <v>23</v>
      </c>
      <c r="D18" s="73"/>
    </row>
    <row r="19" spans="2:4" ht="24.95" customHeight="1">
      <c r="B19" s="196" t="s">
        <v>24</v>
      </c>
      <c r="C19" s="193" t="s">
        <v>50</v>
      </c>
      <c r="D19" s="73"/>
    </row>
    <row r="20" spans="2:4" ht="24.95" customHeight="1">
      <c r="B20" s="196" t="s">
        <v>25</v>
      </c>
      <c r="C20" s="193" t="s">
        <v>26</v>
      </c>
      <c r="D20" s="73"/>
    </row>
    <row r="21" spans="2:4" ht="24.95" customHeight="1">
      <c r="B21" s="196" t="s">
        <v>27</v>
      </c>
      <c r="C21" s="193" t="s">
        <v>51</v>
      </c>
      <c r="D21" s="73"/>
    </row>
    <row r="22" spans="2:4" ht="24.95" customHeight="1">
      <c r="B22" s="196" t="s">
        <v>104</v>
      </c>
      <c r="C22" s="193" t="s">
        <v>28</v>
      </c>
      <c r="D22" s="73"/>
    </row>
    <row r="23" spans="2:4" ht="24.95" customHeight="1">
      <c r="B23" s="197" t="s">
        <v>29</v>
      </c>
      <c r="C23" s="198" t="s">
        <v>52</v>
      </c>
      <c r="D23" s="73"/>
    </row>
    <row r="24" spans="2:4" ht="24.95" customHeight="1">
      <c r="B24" s="9"/>
      <c r="C24" s="193"/>
    </row>
    <row r="25" spans="2:4" ht="24.95" customHeight="1">
      <c r="B25" s="194" t="s">
        <v>30</v>
      </c>
      <c r="C25" s="195" t="s">
        <v>31</v>
      </c>
      <c r="D25" s="124"/>
    </row>
    <row r="26" spans="2:4" ht="24.95" customHeight="1">
      <c r="B26" s="196" t="s">
        <v>32</v>
      </c>
      <c r="C26" s="193"/>
      <c r="D26" s="73"/>
    </row>
    <row r="27" spans="2:4" ht="24.95" customHeight="1">
      <c r="B27" s="196" t="s">
        <v>33</v>
      </c>
      <c r="C27" s="193" t="s">
        <v>34</v>
      </c>
      <c r="D27" s="73"/>
    </row>
    <row r="28" spans="2:4" ht="24.95" customHeight="1">
      <c r="B28" s="197" t="s">
        <v>35</v>
      </c>
      <c r="C28" s="198" t="s">
        <v>36</v>
      </c>
      <c r="D28" s="73"/>
    </row>
    <row r="29" spans="2:4" ht="24.95" customHeight="1">
      <c r="B29" s="9"/>
      <c r="C29" s="193"/>
    </row>
    <row r="30" spans="2:4" ht="24.95" customHeight="1">
      <c r="B30" s="179" t="s">
        <v>37</v>
      </c>
      <c r="C30" s="201" t="s">
        <v>45</v>
      </c>
      <c r="D30" s="124"/>
    </row>
    <row r="31" spans="2:4" ht="24.95" customHeight="1">
      <c r="B31" s="9" t="s">
        <v>46</v>
      </c>
      <c r="C31" s="202" t="s">
        <v>152</v>
      </c>
      <c r="D31" s="3"/>
    </row>
    <row r="32" spans="2:4" ht="24.95" customHeight="1">
      <c r="B32" s="9" t="s">
        <v>47</v>
      </c>
      <c r="C32" s="203"/>
      <c r="D32" s="125"/>
    </row>
    <row r="33" spans="1:6" ht="24.95" customHeight="1">
      <c r="B33" s="9" t="s">
        <v>55</v>
      </c>
      <c r="C33" s="203"/>
      <c r="D33" s="125"/>
    </row>
    <row r="34" spans="1:6" ht="24.95" customHeight="1">
      <c r="B34" s="9" t="s">
        <v>56</v>
      </c>
      <c r="C34" s="204"/>
      <c r="D34" s="73"/>
    </row>
    <row r="35" spans="1:6" s="15" customFormat="1" ht="24.95" customHeight="1">
      <c r="A35" s="40"/>
      <c r="B35" s="9" t="s">
        <v>57</v>
      </c>
      <c r="C35" s="204"/>
      <c r="D35" s="73"/>
      <c r="E35" s="45"/>
      <c r="F35" s="45"/>
    </row>
    <row r="36" spans="1:6" ht="24.95" customHeight="1" thickBot="1">
      <c r="B36" s="12" t="s">
        <v>83</v>
      </c>
      <c r="C36" s="205"/>
      <c r="D36" s="125"/>
    </row>
  </sheetData>
  <mergeCells count="1">
    <mergeCell ref="B2:C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12"/>
  <sheetViews>
    <sheetView workbookViewId="0"/>
  </sheetViews>
  <sheetFormatPr defaultRowHeight="24.95" customHeight="1"/>
  <cols>
    <col min="1" max="1" width="9" style="40"/>
    <col min="2" max="3" width="15.625" style="5" customWidth="1"/>
    <col min="4" max="4" width="20.625" style="5" customWidth="1"/>
    <col min="5" max="5" width="150.625" style="4" customWidth="1"/>
  </cols>
  <sheetData>
    <row r="1" spans="1:5" s="40" customFormat="1" ht="24.95" customHeight="1" thickBot="1">
      <c r="B1" s="45"/>
      <c r="C1" s="45"/>
      <c r="D1" s="45"/>
      <c r="E1" s="18"/>
    </row>
    <row r="2" spans="1:5" s="5" customFormat="1" ht="24.95" customHeight="1" thickBot="1">
      <c r="A2" s="45"/>
      <c r="B2" s="6" t="s">
        <v>58</v>
      </c>
      <c r="C2" s="7" t="s">
        <v>59</v>
      </c>
      <c r="D2" s="7" t="s">
        <v>60</v>
      </c>
      <c r="E2" s="8" t="s">
        <v>61</v>
      </c>
    </row>
    <row r="3" spans="1:5" ht="24.95" customHeight="1" thickTop="1">
      <c r="B3" s="9">
        <v>1</v>
      </c>
      <c r="C3" s="19">
        <v>44427</v>
      </c>
      <c r="D3" s="18" t="s">
        <v>127</v>
      </c>
      <c r="E3" s="11" t="s">
        <v>462</v>
      </c>
    </row>
    <row r="4" spans="1:5" ht="24.95" customHeight="1">
      <c r="B4" s="9">
        <v>2</v>
      </c>
      <c r="C4" s="19">
        <v>44428</v>
      </c>
      <c r="D4" s="18" t="s">
        <v>463</v>
      </c>
      <c r="E4" s="11" t="s">
        <v>464</v>
      </c>
    </row>
    <row r="5" spans="1:5" ht="24.95" customHeight="1">
      <c r="B5" s="9">
        <v>3</v>
      </c>
      <c r="C5" s="19">
        <v>44444</v>
      </c>
      <c r="D5" s="18" t="s">
        <v>127</v>
      </c>
      <c r="E5" s="11" t="s">
        <v>465</v>
      </c>
    </row>
    <row r="6" spans="1:5" ht="24.95" customHeight="1">
      <c r="B6" s="9">
        <v>4</v>
      </c>
      <c r="C6" s="19">
        <v>44445</v>
      </c>
      <c r="D6" s="18" t="s">
        <v>463</v>
      </c>
      <c r="E6" s="11" t="s">
        <v>466</v>
      </c>
    </row>
    <row r="7" spans="1:5" ht="24.95" customHeight="1">
      <c r="B7" s="9">
        <v>5</v>
      </c>
      <c r="C7" s="10">
        <v>44469</v>
      </c>
      <c r="D7" s="18" t="s">
        <v>602</v>
      </c>
      <c r="E7" s="11" t="s">
        <v>603</v>
      </c>
    </row>
    <row r="8" spans="1:5" ht="24.95" customHeight="1">
      <c r="B8" s="9">
        <v>6</v>
      </c>
      <c r="C8" s="19">
        <v>44494</v>
      </c>
      <c r="D8" s="4" t="s">
        <v>602</v>
      </c>
      <c r="E8" s="11" t="s">
        <v>612</v>
      </c>
    </row>
    <row r="9" spans="1:5" ht="24.95" customHeight="1">
      <c r="B9" s="9">
        <v>7</v>
      </c>
      <c r="C9" s="4"/>
      <c r="D9" s="4"/>
      <c r="E9" s="11"/>
    </row>
    <row r="10" spans="1:5" ht="24.95" customHeight="1">
      <c r="B10" s="9">
        <v>8</v>
      </c>
      <c r="C10" s="4"/>
      <c r="D10" s="4"/>
      <c r="E10" s="11"/>
    </row>
    <row r="11" spans="1:5" ht="24.95" customHeight="1">
      <c r="B11" s="9">
        <v>9</v>
      </c>
      <c r="C11" s="4"/>
      <c r="D11" s="4"/>
      <c r="E11" s="11"/>
    </row>
    <row r="12" spans="1:5" ht="24.95" customHeight="1" thickBot="1">
      <c r="B12" s="12">
        <v>10</v>
      </c>
      <c r="C12" s="13"/>
      <c r="D12" s="13"/>
      <c r="E12" s="1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BM32"/>
  <sheetViews>
    <sheetView zoomScale="85" zoomScaleNormal="85" workbookViewId="0">
      <selection activeCell="D17" sqref="D17"/>
    </sheetView>
  </sheetViews>
  <sheetFormatPr defaultRowHeight="24.95" customHeight="1"/>
  <cols>
    <col min="1" max="1" width="9" style="40"/>
    <col min="2" max="2" width="10.625" customWidth="1"/>
    <col min="3" max="3" width="30.625" customWidth="1"/>
    <col min="4" max="4" width="141.5" bestFit="1" customWidth="1"/>
    <col min="5" max="5" width="10.625" customWidth="1"/>
    <col min="6" max="6" width="30.625" customWidth="1"/>
    <col min="7" max="11" width="5.625" customWidth="1"/>
    <col min="12" max="12" width="8.625" style="40" customWidth="1"/>
    <col min="13" max="13" width="10.75" style="45" bestFit="1" customWidth="1"/>
    <col min="16" max="16" width="10.375" bestFit="1" customWidth="1"/>
  </cols>
  <sheetData>
    <row r="1" spans="1:65" s="153" customFormat="1" ht="24.95" customHeight="1" thickBot="1">
      <c r="B1" s="153" t="s">
        <v>226</v>
      </c>
      <c r="C1" s="154" t="s">
        <v>227</v>
      </c>
      <c r="D1" s="154"/>
      <c r="E1" s="155" t="s">
        <v>226</v>
      </c>
      <c r="F1" s="153" t="s">
        <v>227</v>
      </c>
      <c r="G1" s="153" t="s">
        <v>229</v>
      </c>
      <c r="H1" s="153" t="s">
        <v>229</v>
      </c>
      <c r="I1" s="153" t="s">
        <v>229</v>
      </c>
      <c r="J1" s="153" t="s">
        <v>229</v>
      </c>
      <c r="K1" s="153" t="s">
        <v>229</v>
      </c>
      <c r="O1" s="154"/>
      <c r="P1" s="154"/>
      <c r="Q1" s="155"/>
      <c r="AA1" s="154"/>
      <c r="AB1" s="154"/>
      <c r="AC1" s="155"/>
      <c r="AM1" s="154"/>
      <c r="AN1" s="154"/>
      <c r="AO1" s="155"/>
      <c r="AY1" s="154"/>
      <c r="AZ1" s="154"/>
      <c r="BA1" s="155"/>
      <c r="BK1" s="154"/>
      <c r="BL1" s="154"/>
      <c r="BM1" s="155"/>
    </row>
    <row r="2" spans="1:65" ht="24.95" customHeight="1">
      <c r="A2" s="153" t="s">
        <v>238</v>
      </c>
      <c r="B2" s="178" t="s">
        <v>74</v>
      </c>
      <c r="C2" s="456" t="s">
        <v>84</v>
      </c>
      <c r="D2" s="457"/>
      <c r="E2" s="458"/>
      <c r="F2" s="451" t="s">
        <v>39</v>
      </c>
      <c r="G2" s="453" t="s">
        <v>40</v>
      </c>
      <c r="H2" s="453"/>
      <c r="I2" s="453"/>
      <c r="J2" s="453"/>
      <c r="K2" s="454" t="s">
        <v>29</v>
      </c>
      <c r="L2" s="124"/>
    </row>
    <row r="3" spans="1:65" ht="24.95" customHeight="1">
      <c r="B3" s="179" t="s">
        <v>16</v>
      </c>
      <c r="C3" s="140" t="s">
        <v>18</v>
      </c>
      <c r="D3" s="140" t="s">
        <v>38</v>
      </c>
      <c r="E3" s="140" t="s">
        <v>20</v>
      </c>
      <c r="F3" s="452"/>
      <c r="G3" s="140" t="s">
        <v>41</v>
      </c>
      <c r="H3" s="140" t="s">
        <v>0</v>
      </c>
      <c r="I3" s="140" t="s">
        <v>42</v>
      </c>
      <c r="J3" s="140" t="s">
        <v>43</v>
      </c>
      <c r="K3" s="455"/>
      <c r="L3" s="124"/>
      <c r="W3" s="40"/>
    </row>
    <row r="4" spans="1:65" ht="24.95" customHeight="1">
      <c r="B4" s="180" t="s">
        <v>129</v>
      </c>
      <c r="C4" s="59" t="s">
        <v>128</v>
      </c>
      <c r="D4" s="27" t="s">
        <v>975</v>
      </c>
      <c r="E4" s="41" t="str">
        <f>'Requirements Description'!B31</f>
        <v>REF. 1</v>
      </c>
      <c r="F4" s="41" t="s">
        <v>153</v>
      </c>
      <c r="G4" s="41" t="s">
        <v>44</v>
      </c>
      <c r="H4" s="41"/>
      <c r="I4" s="41"/>
      <c r="J4" s="41"/>
      <c r="K4" s="181"/>
      <c r="L4" s="43"/>
      <c r="W4" s="40"/>
    </row>
    <row r="5" spans="1:65" ht="24.95" customHeight="1" thickBot="1">
      <c r="B5" s="190"/>
      <c r="C5" s="188"/>
      <c r="D5" s="188"/>
      <c r="E5" s="13"/>
      <c r="F5" s="188"/>
      <c r="G5" s="188"/>
      <c r="H5" s="188"/>
      <c r="I5" s="188"/>
      <c r="J5" s="188"/>
      <c r="K5" s="189"/>
      <c r="L5" s="73"/>
      <c r="W5" s="40"/>
    </row>
    <row r="6" spans="1:65" ht="24.95" customHeight="1" thickBot="1">
      <c r="W6" s="40"/>
    </row>
    <row r="7" spans="1:65" ht="24.95" customHeight="1">
      <c r="B7" s="178" t="s">
        <v>75</v>
      </c>
      <c r="C7" s="456" t="s">
        <v>946</v>
      </c>
      <c r="D7" s="457"/>
      <c r="E7" s="458"/>
      <c r="F7" s="451" t="s">
        <v>39</v>
      </c>
      <c r="G7" s="453" t="s">
        <v>40</v>
      </c>
      <c r="H7" s="453"/>
      <c r="I7" s="453"/>
      <c r="J7" s="453"/>
      <c r="K7" s="454" t="s">
        <v>29</v>
      </c>
    </row>
    <row r="8" spans="1:65" ht="24.95" customHeight="1">
      <c r="B8" s="179" t="s">
        <v>16</v>
      </c>
      <c r="C8" s="435" t="s">
        <v>18</v>
      </c>
      <c r="D8" s="435" t="s">
        <v>38</v>
      </c>
      <c r="E8" s="435" t="s">
        <v>20</v>
      </c>
      <c r="F8" s="452"/>
      <c r="G8" s="435" t="s">
        <v>41</v>
      </c>
      <c r="H8" s="435" t="s">
        <v>0</v>
      </c>
      <c r="I8" s="435" t="s">
        <v>42</v>
      </c>
      <c r="J8" s="435" t="s">
        <v>43</v>
      </c>
      <c r="K8" s="455"/>
      <c r="L8" s="124"/>
    </row>
    <row r="9" spans="1:65" ht="24.95" customHeight="1">
      <c r="B9" s="180" t="s">
        <v>947</v>
      </c>
      <c r="C9" s="36" t="s">
        <v>907</v>
      </c>
      <c r="D9" s="424" t="s">
        <v>905</v>
      </c>
      <c r="E9" s="41" t="str">
        <f>'Requirements Description'!B31</f>
        <v>REF. 1</v>
      </c>
      <c r="F9" s="42"/>
      <c r="G9" s="41"/>
      <c r="H9" s="41"/>
      <c r="I9" s="41"/>
      <c r="J9" s="41"/>
      <c r="K9" s="181"/>
      <c r="L9" s="124"/>
    </row>
    <row r="10" spans="1:65" ht="24.95" customHeight="1">
      <c r="B10" s="182" t="s">
        <v>950</v>
      </c>
      <c r="C10" s="37" t="s">
        <v>908</v>
      </c>
      <c r="D10" s="63" t="s">
        <v>912</v>
      </c>
      <c r="E10" s="43" t="str">
        <f>'Requirements Description'!B31</f>
        <v>REF. 1</v>
      </c>
      <c r="F10" s="37"/>
      <c r="G10" s="73"/>
      <c r="H10" s="43"/>
      <c r="I10" s="43"/>
      <c r="J10" s="31"/>
      <c r="K10" s="183"/>
      <c r="L10" s="43"/>
    </row>
    <row r="11" spans="1:65" s="40" customFormat="1" ht="24.95" customHeight="1">
      <c r="B11" s="182" t="s">
        <v>948</v>
      </c>
      <c r="C11" s="37" t="s">
        <v>909</v>
      </c>
      <c r="D11" s="63" t="s">
        <v>911</v>
      </c>
      <c r="E11" s="43" t="str">
        <f>'Requirements Description'!B31</f>
        <v>REF. 1</v>
      </c>
      <c r="F11" s="37"/>
      <c r="G11" s="73"/>
      <c r="H11" s="43"/>
      <c r="I11" s="43"/>
      <c r="J11" s="31"/>
      <c r="K11" s="183"/>
      <c r="L11" s="43"/>
      <c r="M11" s="45"/>
    </row>
    <row r="12" spans="1:65" ht="24.95" customHeight="1">
      <c r="B12" s="182" t="s">
        <v>949</v>
      </c>
      <c r="C12" s="37" t="s">
        <v>910</v>
      </c>
      <c r="D12" s="38" t="s">
        <v>906</v>
      </c>
      <c r="E12" s="43" t="s">
        <v>46</v>
      </c>
      <c r="F12" s="18"/>
      <c r="G12" s="73"/>
      <c r="H12" s="73"/>
      <c r="I12" s="73"/>
      <c r="J12" s="324"/>
      <c r="K12" s="193"/>
      <c r="L12" s="43"/>
    </row>
    <row r="13" spans="1:65" ht="24.95" customHeight="1" thickBot="1">
      <c r="B13" s="190"/>
      <c r="C13" s="188"/>
      <c r="D13" s="188"/>
      <c r="E13" s="188"/>
      <c r="F13" s="188"/>
      <c r="G13" s="188"/>
      <c r="H13" s="188"/>
      <c r="I13" s="188"/>
      <c r="J13" s="188"/>
      <c r="K13" s="189"/>
      <c r="L13" s="73"/>
    </row>
    <row r="14" spans="1:65" ht="24.95" customHeight="1" thickBot="1"/>
    <row r="15" spans="1:65" ht="24.95" customHeight="1">
      <c r="B15" s="191" t="s">
        <v>866</v>
      </c>
      <c r="C15" s="448" t="s">
        <v>867</v>
      </c>
      <c r="D15" s="449"/>
      <c r="E15" s="450"/>
      <c r="F15" s="451" t="s">
        <v>39</v>
      </c>
      <c r="G15" s="453" t="s">
        <v>40</v>
      </c>
      <c r="H15" s="453"/>
      <c r="I15" s="453"/>
      <c r="J15" s="453"/>
      <c r="K15" s="454" t="s">
        <v>29</v>
      </c>
    </row>
    <row r="16" spans="1:65" s="40" customFormat="1" ht="24.95" customHeight="1">
      <c r="B16" s="179" t="s">
        <v>16</v>
      </c>
      <c r="C16" s="436" t="s">
        <v>18</v>
      </c>
      <c r="D16" s="436" t="s">
        <v>38</v>
      </c>
      <c r="E16" s="435" t="s">
        <v>20</v>
      </c>
      <c r="F16" s="452"/>
      <c r="G16" s="435" t="s">
        <v>41</v>
      </c>
      <c r="H16" s="435" t="s">
        <v>0</v>
      </c>
      <c r="I16" s="435" t="s">
        <v>42</v>
      </c>
      <c r="J16" s="435" t="s">
        <v>43</v>
      </c>
      <c r="K16" s="455"/>
      <c r="M16" s="45"/>
    </row>
    <row r="17" spans="2:13" s="40" customFormat="1" ht="24.95" customHeight="1">
      <c r="B17" s="182" t="s">
        <v>868</v>
      </c>
      <c r="C17" s="18" t="s">
        <v>890</v>
      </c>
      <c r="D17" s="112" t="s">
        <v>876</v>
      </c>
      <c r="E17" s="31" t="str">
        <f>B4</f>
        <v>EMO-001</v>
      </c>
      <c r="F17" s="30"/>
      <c r="G17" s="31"/>
      <c r="H17" s="31"/>
      <c r="I17" s="31"/>
      <c r="J17" s="31"/>
      <c r="K17" s="326"/>
      <c r="M17" s="45"/>
    </row>
    <row r="18" spans="2:13" s="40" customFormat="1" ht="24.95" customHeight="1">
      <c r="B18" s="182" t="s">
        <v>869</v>
      </c>
      <c r="C18" s="98" t="s">
        <v>891</v>
      </c>
      <c r="D18" s="112" t="s">
        <v>877</v>
      </c>
      <c r="E18" s="31" t="str">
        <f>B4</f>
        <v>EMO-001</v>
      </c>
      <c r="F18" s="30"/>
      <c r="G18" s="31"/>
      <c r="H18" s="31"/>
      <c r="I18" s="31"/>
      <c r="J18" s="31"/>
      <c r="K18" s="326"/>
      <c r="M18" s="45"/>
    </row>
    <row r="19" spans="2:13" s="40" customFormat="1" ht="24.95" customHeight="1">
      <c r="B19" s="182" t="s">
        <v>870</v>
      </c>
      <c r="C19" s="37" t="s">
        <v>892</v>
      </c>
      <c r="D19" s="63" t="s">
        <v>951</v>
      </c>
      <c r="E19" s="31" t="str">
        <f>B4</f>
        <v>EMO-001</v>
      </c>
      <c r="F19" s="31"/>
      <c r="G19" s="31"/>
      <c r="H19" s="31"/>
      <c r="I19" s="31"/>
      <c r="J19" s="31"/>
      <c r="K19" s="326"/>
      <c r="M19" s="45"/>
    </row>
    <row r="20" spans="2:13" s="40" customFormat="1" ht="24.95" customHeight="1">
      <c r="B20" s="182" t="s">
        <v>871</v>
      </c>
      <c r="C20" s="30" t="s">
        <v>893</v>
      </c>
      <c r="D20" s="431" t="s">
        <v>952</v>
      </c>
      <c r="E20" s="31" t="str">
        <f>B10</f>
        <v>STP-002</v>
      </c>
      <c r="F20" s="30"/>
      <c r="G20" s="31"/>
      <c r="H20" s="31"/>
      <c r="I20" s="31"/>
      <c r="J20" s="31"/>
      <c r="K20" s="183"/>
      <c r="M20" s="45"/>
    </row>
    <row r="21" spans="2:13" s="40" customFormat="1" ht="24.95" customHeight="1">
      <c r="B21" s="182" t="s">
        <v>872</v>
      </c>
      <c r="C21" s="30" t="s">
        <v>894</v>
      </c>
      <c r="D21" s="431" t="s">
        <v>953</v>
      </c>
      <c r="E21" s="31" t="str">
        <f>B10</f>
        <v>STP-002</v>
      </c>
      <c r="F21" s="30"/>
      <c r="G21" s="31"/>
      <c r="H21" s="31"/>
      <c r="I21" s="31"/>
      <c r="J21" s="31"/>
      <c r="K21" s="183"/>
      <c r="M21" s="45"/>
    </row>
    <row r="22" spans="2:13" ht="24.95" customHeight="1">
      <c r="B22" s="182" t="s">
        <v>873</v>
      </c>
      <c r="C22" s="32" t="s">
        <v>895</v>
      </c>
      <c r="D22" s="130" t="s">
        <v>878</v>
      </c>
      <c r="E22" s="31" t="str">
        <f>B9</f>
        <v>STP-001</v>
      </c>
      <c r="F22" s="30"/>
      <c r="G22" s="129"/>
      <c r="H22" s="113"/>
      <c r="I22" s="43"/>
      <c r="J22" s="43"/>
      <c r="K22" s="326"/>
    </row>
    <row r="23" spans="2:13" s="40" customFormat="1" ht="24.95" customHeight="1">
      <c r="B23" s="182" t="s">
        <v>874</v>
      </c>
      <c r="C23" s="32" t="s">
        <v>896</v>
      </c>
      <c r="D23" s="437" t="s">
        <v>954</v>
      </c>
      <c r="E23" s="31" t="str">
        <f>B11</f>
        <v>STP-003</v>
      </c>
      <c r="F23" s="30"/>
      <c r="G23" s="31"/>
      <c r="H23" s="31"/>
      <c r="I23" s="31"/>
      <c r="J23" s="31"/>
      <c r="K23" s="326"/>
      <c r="M23" s="45"/>
    </row>
    <row r="24" spans="2:13" ht="24.95" customHeight="1">
      <c r="B24" s="182" t="s">
        <v>875</v>
      </c>
      <c r="C24" s="30" t="s">
        <v>897</v>
      </c>
      <c r="D24" s="63" t="s">
        <v>955</v>
      </c>
      <c r="E24" s="31" t="str">
        <f>B12</f>
        <v>STP-004</v>
      </c>
      <c r="F24" s="30"/>
      <c r="G24" s="31"/>
      <c r="H24" s="31"/>
      <c r="I24" s="31"/>
      <c r="J24" s="31"/>
      <c r="K24" s="326"/>
      <c r="L24" s="43"/>
    </row>
    <row r="25" spans="2:13" ht="24.95" customHeight="1">
      <c r="B25" s="182" t="s">
        <v>883</v>
      </c>
      <c r="C25" s="30" t="s">
        <v>898</v>
      </c>
      <c r="D25" s="63" t="s">
        <v>956</v>
      </c>
      <c r="E25" s="31" t="str">
        <f>B11</f>
        <v>STP-003</v>
      </c>
      <c r="F25" s="30"/>
      <c r="G25" s="31"/>
      <c r="H25" s="31"/>
      <c r="I25" s="31"/>
      <c r="J25" s="31"/>
      <c r="K25" s="326"/>
      <c r="L25" s="43"/>
    </row>
    <row r="26" spans="2:13" ht="24.95" customHeight="1">
      <c r="B26" s="182" t="s">
        <v>884</v>
      </c>
      <c r="C26" s="30" t="s">
        <v>899</v>
      </c>
      <c r="D26" s="63" t="s">
        <v>957</v>
      </c>
      <c r="E26" s="31" t="str">
        <f>B4</f>
        <v>EMO-001</v>
      </c>
      <c r="F26" s="30"/>
      <c r="G26" s="31"/>
      <c r="H26" s="31"/>
      <c r="I26" s="31"/>
      <c r="J26" s="31"/>
      <c r="K26" s="326"/>
      <c r="L26" s="43"/>
    </row>
    <row r="27" spans="2:13" ht="24.95" customHeight="1">
      <c r="B27" s="182" t="s">
        <v>885</v>
      </c>
      <c r="C27" s="30" t="s">
        <v>900</v>
      </c>
      <c r="D27" s="63" t="s">
        <v>880</v>
      </c>
      <c r="E27" s="31" t="str">
        <f>B4</f>
        <v>EMO-001</v>
      </c>
      <c r="F27" s="30"/>
      <c r="G27" s="31"/>
      <c r="H27" s="31"/>
      <c r="I27" s="31"/>
      <c r="J27" s="31"/>
      <c r="K27" s="326"/>
    </row>
    <row r="28" spans="2:13" ht="24.95" customHeight="1">
      <c r="B28" s="182" t="s">
        <v>886</v>
      </c>
      <c r="C28" s="30" t="s">
        <v>901</v>
      </c>
      <c r="D28" s="63" t="s">
        <v>879</v>
      </c>
      <c r="E28" s="31" t="str">
        <f>B4</f>
        <v>EMO-001</v>
      </c>
      <c r="F28" s="30"/>
      <c r="G28" s="31"/>
      <c r="H28" s="31"/>
      <c r="I28" s="31"/>
      <c r="J28" s="31"/>
      <c r="K28" s="326"/>
    </row>
    <row r="29" spans="2:13" ht="24.95" customHeight="1">
      <c r="B29" s="182" t="s">
        <v>887</v>
      </c>
      <c r="C29" s="30" t="s">
        <v>902</v>
      </c>
      <c r="D29" s="63" t="s">
        <v>881</v>
      </c>
      <c r="E29" s="31" t="str">
        <f>B4</f>
        <v>EMO-001</v>
      </c>
      <c r="F29" s="30"/>
      <c r="G29" s="31"/>
      <c r="H29" s="31"/>
      <c r="I29" s="31"/>
      <c r="J29" s="31"/>
      <c r="K29" s="326"/>
    </row>
    <row r="30" spans="2:13" ht="24.95" customHeight="1">
      <c r="B30" s="182" t="s">
        <v>888</v>
      </c>
      <c r="C30" s="30" t="s">
        <v>903</v>
      </c>
      <c r="D30" s="63" t="s">
        <v>882</v>
      </c>
      <c r="E30" s="31" t="str">
        <f>B4</f>
        <v>EMO-001</v>
      </c>
      <c r="F30" s="30"/>
      <c r="G30" s="31"/>
      <c r="H30" s="31"/>
      <c r="I30" s="31"/>
      <c r="J30" s="31"/>
      <c r="K30" s="326"/>
    </row>
    <row r="31" spans="2:13" ht="24.95" customHeight="1">
      <c r="B31" s="182" t="s">
        <v>889</v>
      </c>
      <c r="C31" s="18" t="s">
        <v>904</v>
      </c>
      <c r="D31" s="73" t="s">
        <v>974</v>
      </c>
      <c r="E31" s="18" t="str">
        <f>B4</f>
        <v>EMO-001</v>
      </c>
      <c r="F31" s="73"/>
      <c r="G31" s="73"/>
      <c r="H31" s="73"/>
      <c r="I31" s="73"/>
      <c r="J31" s="73"/>
      <c r="K31" s="193"/>
    </row>
    <row r="32" spans="2:13" ht="24.95" customHeight="1" thickBot="1">
      <c r="B32" s="190"/>
      <c r="C32" s="188"/>
      <c r="D32" s="188"/>
      <c r="E32" s="188"/>
      <c r="F32" s="188"/>
      <c r="G32" s="188"/>
      <c r="H32" s="188"/>
      <c r="I32" s="188"/>
      <c r="J32" s="188"/>
      <c r="K32" s="189"/>
    </row>
  </sheetData>
  <mergeCells count="12">
    <mergeCell ref="C15:E15"/>
    <mergeCell ref="F15:F16"/>
    <mergeCell ref="G15:J15"/>
    <mergeCell ref="K15:K16"/>
    <mergeCell ref="C2:E2"/>
    <mergeCell ref="F2:F3"/>
    <mergeCell ref="G2:J2"/>
    <mergeCell ref="K2:K3"/>
    <mergeCell ref="C7:E7"/>
    <mergeCell ref="F7:F8"/>
    <mergeCell ref="G7:J7"/>
    <mergeCell ref="K7:K8"/>
  </mergeCells>
  <phoneticPr fontId="1" type="noConversion"/>
  <conditionalFormatting sqref="K2:L6 L32:L1048576 L17 K15">
    <cfRule type="expression" dxfId="450" priority="430">
      <formula>EXACT("C",$U1048573)</formula>
    </cfRule>
  </conditionalFormatting>
  <conditionalFormatting sqref="L18">
    <cfRule type="expression" dxfId="449" priority="435">
      <formula>EXACT("C",$U15)</formula>
    </cfRule>
  </conditionalFormatting>
  <conditionalFormatting sqref="L7:L12">
    <cfRule type="expression" dxfId="448" priority="437">
      <formula>EXACT("C",$J7)</formula>
    </cfRule>
  </conditionalFormatting>
  <conditionalFormatting sqref="K7:K9">
    <cfRule type="expression" dxfId="447" priority="438">
      <formula>EXACT("C",$J8)</formula>
    </cfRule>
  </conditionalFormatting>
  <conditionalFormatting sqref="K12">
    <cfRule type="expression" dxfId="446" priority="440">
      <formula>EXACT("C",#REF!)</formula>
    </cfRule>
  </conditionalFormatting>
  <conditionalFormatting sqref="L27:L31 K36">
    <cfRule type="expression" dxfId="445" priority="559">
      <formula>EXACT("C",#REF!)</formula>
    </cfRule>
  </conditionalFormatting>
  <conditionalFormatting sqref="K31">
    <cfRule type="expression" dxfId="444" priority="747">
      <formula>EXACT("C",#REF!)</formula>
    </cfRule>
  </conditionalFormatting>
  <conditionalFormatting sqref="K19">
    <cfRule type="expression" dxfId="443" priority="763">
      <formula>EXACT("C",$U23)</formula>
    </cfRule>
  </conditionalFormatting>
  <conditionalFormatting sqref="K22:K25">
    <cfRule type="expression" dxfId="442" priority="1185">
      <formula>EXACT("C",$U14)</formula>
    </cfRule>
  </conditionalFormatting>
  <conditionalFormatting sqref="L24:L25">
    <cfRule type="expression" dxfId="441" priority="1193">
      <formula>EXACT("C",$U13)</formula>
    </cfRule>
  </conditionalFormatting>
  <conditionalFormatting sqref="L19">
    <cfRule type="expression" dxfId="440" priority="1197">
      <formula>EXACT("C",$U12)</formula>
    </cfRule>
  </conditionalFormatting>
  <conditionalFormatting sqref="L23 K28">
    <cfRule type="expression" dxfId="439" priority="1198">
      <formula>EXACT("C",$U13)</formula>
    </cfRule>
  </conditionalFormatting>
  <conditionalFormatting sqref="L21">
    <cfRule type="expression" dxfId="438" priority="1203">
      <formula>EXACT("C",$U12)</formula>
    </cfRule>
  </conditionalFormatting>
  <conditionalFormatting sqref="K22">
    <cfRule type="expression" dxfId="437" priority="1211">
      <formula>EXACT("C",$U17)</formula>
    </cfRule>
  </conditionalFormatting>
  <conditionalFormatting sqref="K20 K16:K18">
    <cfRule type="expression" dxfId="436" priority="3">
      <formula>EXACT("C",$U12)</formula>
    </cfRule>
  </conditionalFormatting>
  <conditionalFormatting sqref="L20">
    <cfRule type="expression" dxfId="435" priority="2">
      <formula>EXACT("C",$U13)</formula>
    </cfRule>
  </conditionalFormatting>
  <conditionalFormatting sqref="K21">
    <cfRule type="expression" dxfId="434" priority="1">
      <formula>EXACT("C",$U17)</formula>
    </cfRule>
  </conditionalFormatting>
  <conditionalFormatting sqref="L26">
    <cfRule type="expression" dxfId="433" priority="1306">
      <formula>EXACT("C",#REF!)</formula>
    </cfRule>
  </conditionalFormatting>
  <conditionalFormatting sqref="K30">
    <cfRule type="expression" dxfId="432" priority="1308">
      <formula>EXACT("C",$U17)</formula>
    </cfRule>
  </conditionalFormatting>
  <conditionalFormatting sqref="K37:K1048576">
    <cfRule type="expression" dxfId="431" priority="1310">
      <formula>EXACT("C",$U27)</formula>
    </cfRule>
  </conditionalFormatting>
  <conditionalFormatting sqref="K29">
    <cfRule type="expression" dxfId="430" priority="1312">
      <formula>EXACT("C",$U17)</formula>
    </cfRule>
  </conditionalFormatting>
  <conditionalFormatting sqref="K26:K27">
    <cfRule type="expression" dxfId="429" priority="1314">
      <formula>EXACT("C",$U17)</formula>
    </cfRule>
  </conditionalFormatting>
  <conditionalFormatting sqref="L13:L16">
    <cfRule type="expression" dxfId="428" priority="1315">
      <formula>EXACT("C",$U7)</formula>
    </cfRule>
  </conditionalFormatting>
  <conditionalFormatting sqref="K11">
    <cfRule type="expression" dxfId="427" priority="1320">
      <formula>EXACT("C",$J14)</formula>
    </cfRule>
  </conditionalFormatting>
  <conditionalFormatting sqref="K10">
    <cfRule type="expression" dxfId="426" priority="1323">
      <formula>EXACT("C",$J12)</formula>
    </cfRule>
  </conditionalFormatting>
  <pageMargins left="0.7" right="0.7" top="0.75" bottom="0.75" header="0.3" footer="0.3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M168"/>
  <sheetViews>
    <sheetView zoomScale="55" zoomScaleNormal="55" workbookViewId="0"/>
  </sheetViews>
  <sheetFormatPr defaultColWidth="9" defaultRowHeight="30" customHeight="1"/>
  <cols>
    <col min="1" max="1" width="9" style="28"/>
    <col min="2" max="2" width="10.625" style="28" customWidth="1"/>
    <col min="3" max="3" width="30.625" style="46" customWidth="1"/>
    <col min="4" max="4" width="100.625" style="29" customWidth="1"/>
    <col min="5" max="5" width="10.625" style="47" customWidth="1"/>
    <col min="6" max="6" width="30.625" style="46" customWidth="1"/>
    <col min="7" max="10" width="5.625" style="28" customWidth="1"/>
    <col min="11" max="11" width="20.625" style="28" customWidth="1"/>
    <col min="12" max="12" width="5.625" style="46" customWidth="1"/>
    <col min="13" max="13" width="9.875" style="46" customWidth="1"/>
    <col min="14" max="14" width="10.625" style="46" customWidth="1"/>
    <col min="15" max="15" width="30.625" style="46" customWidth="1"/>
    <col min="16" max="16" width="100.625" style="46" customWidth="1"/>
    <col min="17" max="17" width="10.625" style="46" customWidth="1"/>
    <col min="18" max="18" width="30.625" style="46" customWidth="1"/>
    <col min="19" max="19" width="5.625" style="46" customWidth="1"/>
    <col min="20" max="22" width="5.625" style="28" customWidth="1"/>
    <col min="23" max="23" width="20.625" style="28" customWidth="1"/>
    <col min="24" max="24" width="5.625" style="28" customWidth="1"/>
    <col min="25" max="25" width="9" style="28"/>
    <col min="26" max="26" width="10.625" style="28" customWidth="1"/>
    <col min="27" max="27" width="30.625" style="28" customWidth="1"/>
    <col min="28" max="28" width="100.625" style="28" customWidth="1"/>
    <col min="29" max="29" width="10.625" style="28" customWidth="1"/>
    <col min="30" max="30" width="30.625" style="28" customWidth="1"/>
    <col min="31" max="34" width="5.625" style="28" customWidth="1"/>
    <col min="35" max="35" width="20.625" style="28" customWidth="1"/>
    <col min="36" max="36" width="5.625" style="28" customWidth="1"/>
    <col min="37" max="16384" width="9" style="28"/>
  </cols>
  <sheetData>
    <row r="1" spans="2:65" s="153" customFormat="1" ht="30" customHeight="1" thickBot="1">
      <c r="B1" s="153" t="s">
        <v>226</v>
      </c>
      <c r="C1" s="154" t="s">
        <v>227</v>
      </c>
      <c r="D1" s="154" t="s">
        <v>228</v>
      </c>
      <c r="E1" s="155" t="s">
        <v>226</v>
      </c>
      <c r="F1" s="153" t="s">
        <v>227</v>
      </c>
      <c r="G1" s="153" t="s">
        <v>229</v>
      </c>
      <c r="H1" s="153" t="s">
        <v>229</v>
      </c>
      <c r="I1" s="153" t="s">
        <v>229</v>
      </c>
      <c r="J1" s="153" t="s">
        <v>229</v>
      </c>
      <c r="K1" s="153" t="s">
        <v>230</v>
      </c>
      <c r="L1" s="153" t="s">
        <v>229</v>
      </c>
      <c r="N1" s="153" t="s">
        <v>226</v>
      </c>
      <c r="O1" s="154" t="s">
        <v>227</v>
      </c>
      <c r="P1" s="154" t="s">
        <v>228</v>
      </c>
      <c r="Q1" s="155" t="s">
        <v>226</v>
      </c>
      <c r="R1" s="153" t="s">
        <v>227</v>
      </c>
      <c r="S1" s="153" t="s">
        <v>229</v>
      </c>
      <c r="T1" s="153" t="s">
        <v>229</v>
      </c>
      <c r="U1" s="153" t="s">
        <v>229</v>
      </c>
      <c r="V1" s="153" t="s">
        <v>229</v>
      </c>
      <c r="W1" s="153" t="s">
        <v>230</v>
      </c>
      <c r="X1" s="153" t="s">
        <v>229</v>
      </c>
      <c r="Z1" s="153" t="s">
        <v>226</v>
      </c>
      <c r="AA1" s="154" t="s">
        <v>227</v>
      </c>
      <c r="AB1" s="154" t="s">
        <v>228</v>
      </c>
      <c r="AC1" s="155" t="s">
        <v>226</v>
      </c>
      <c r="AD1" s="153" t="s">
        <v>227</v>
      </c>
      <c r="AE1" s="153" t="s">
        <v>229</v>
      </c>
      <c r="AF1" s="153" t="s">
        <v>229</v>
      </c>
      <c r="AG1" s="153" t="s">
        <v>229</v>
      </c>
      <c r="AH1" s="153" t="s">
        <v>229</v>
      </c>
      <c r="AI1" s="153" t="s">
        <v>230</v>
      </c>
      <c r="AJ1" s="153" t="s">
        <v>229</v>
      </c>
      <c r="AM1" s="154"/>
      <c r="AN1" s="154"/>
      <c r="AO1" s="155"/>
      <c r="AY1" s="154"/>
      <c r="AZ1" s="154"/>
      <c r="BA1" s="155"/>
      <c r="BK1" s="154"/>
      <c r="BL1" s="154"/>
      <c r="BM1" s="155"/>
    </row>
    <row r="2" spans="2:65" ht="30" customHeight="1">
      <c r="B2" s="206" t="s">
        <v>73</v>
      </c>
      <c r="C2" s="471" t="s">
        <v>783</v>
      </c>
      <c r="D2" s="471"/>
      <c r="E2" s="471"/>
      <c r="F2" s="451" t="s">
        <v>62</v>
      </c>
      <c r="G2" s="453" t="s">
        <v>63</v>
      </c>
      <c r="H2" s="453"/>
      <c r="I2" s="453"/>
      <c r="J2" s="453"/>
      <c r="K2" s="472" t="s">
        <v>85</v>
      </c>
      <c r="L2" s="454" t="s">
        <v>64</v>
      </c>
      <c r="N2" s="210" t="s">
        <v>171</v>
      </c>
      <c r="O2" s="474" t="s">
        <v>808</v>
      </c>
      <c r="P2" s="475"/>
      <c r="Q2" s="476"/>
      <c r="R2" s="462" t="s">
        <v>62</v>
      </c>
      <c r="S2" s="464" t="s">
        <v>63</v>
      </c>
      <c r="T2" s="465"/>
      <c r="U2" s="465"/>
      <c r="V2" s="466"/>
      <c r="W2" s="467" t="s">
        <v>85</v>
      </c>
      <c r="X2" s="469" t="s">
        <v>64</v>
      </c>
      <c r="Z2" s="214" t="s">
        <v>81</v>
      </c>
      <c r="AA2" s="477" t="s">
        <v>652</v>
      </c>
      <c r="AB2" s="477"/>
      <c r="AC2" s="477"/>
      <c r="AD2" s="451" t="s">
        <v>62</v>
      </c>
      <c r="AE2" s="453" t="s">
        <v>63</v>
      </c>
      <c r="AF2" s="453"/>
      <c r="AG2" s="453"/>
      <c r="AH2" s="453"/>
      <c r="AI2" s="479" t="s">
        <v>85</v>
      </c>
      <c r="AJ2" s="454" t="s">
        <v>64</v>
      </c>
    </row>
    <row r="3" spans="2:65" ht="30" customHeight="1">
      <c r="B3" s="300" t="s">
        <v>170</v>
      </c>
      <c r="C3" s="397" t="s">
        <v>65</v>
      </c>
      <c r="D3" s="397" t="s">
        <v>66</v>
      </c>
      <c r="E3" s="301" t="s">
        <v>67</v>
      </c>
      <c r="F3" s="452"/>
      <c r="G3" s="397" t="s">
        <v>68</v>
      </c>
      <c r="H3" s="397" t="s">
        <v>69</v>
      </c>
      <c r="I3" s="397" t="s">
        <v>70</v>
      </c>
      <c r="J3" s="397" t="s">
        <v>71</v>
      </c>
      <c r="K3" s="473"/>
      <c r="L3" s="455"/>
      <c r="N3" s="194" t="s">
        <v>80</v>
      </c>
      <c r="O3" s="400" t="s">
        <v>177</v>
      </c>
      <c r="P3" s="400" t="s">
        <v>66</v>
      </c>
      <c r="Q3" s="400" t="s">
        <v>67</v>
      </c>
      <c r="R3" s="463"/>
      <c r="S3" s="400" t="s">
        <v>68</v>
      </c>
      <c r="T3" s="400" t="s">
        <v>69</v>
      </c>
      <c r="U3" s="400" t="s">
        <v>70</v>
      </c>
      <c r="V3" s="400" t="s">
        <v>71</v>
      </c>
      <c r="W3" s="468"/>
      <c r="X3" s="470"/>
      <c r="Z3" s="194" t="s">
        <v>80</v>
      </c>
      <c r="AA3" s="400" t="s">
        <v>65</v>
      </c>
      <c r="AB3" s="400" t="s">
        <v>66</v>
      </c>
      <c r="AC3" s="400" t="s">
        <v>67</v>
      </c>
      <c r="AD3" s="478"/>
      <c r="AE3" s="400" t="s">
        <v>68</v>
      </c>
      <c r="AF3" s="400" t="s">
        <v>69</v>
      </c>
      <c r="AG3" s="400" t="s">
        <v>70</v>
      </c>
      <c r="AH3" s="400" t="s">
        <v>71</v>
      </c>
      <c r="AI3" s="480"/>
      <c r="AJ3" s="481"/>
    </row>
    <row r="4" spans="2:65" ht="30" customHeight="1">
      <c r="B4" s="182" t="s">
        <v>585</v>
      </c>
      <c r="C4" s="43" t="s">
        <v>913</v>
      </c>
      <c r="D4" s="3" t="s">
        <v>958</v>
      </c>
      <c r="E4" s="43" t="str">
        <f>Mission!B25</f>
        <v>TSE-009</v>
      </c>
      <c r="F4" s="43" t="s">
        <v>777</v>
      </c>
      <c r="G4" s="43"/>
      <c r="H4" s="43"/>
      <c r="I4" s="43"/>
      <c r="J4" s="43"/>
      <c r="K4" s="124"/>
      <c r="L4" s="326"/>
      <c r="N4" s="182" t="s">
        <v>587</v>
      </c>
      <c r="O4" s="31" t="s">
        <v>913</v>
      </c>
      <c r="P4" s="87" t="s">
        <v>919</v>
      </c>
      <c r="Q4" s="30" t="str">
        <f>B4</f>
        <v>PAYS-001</v>
      </c>
      <c r="R4" s="381" t="s">
        <v>631</v>
      </c>
      <c r="S4" s="31"/>
      <c r="T4" s="31" t="s">
        <v>399</v>
      </c>
      <c r="U4" s="31" t="s">
        <v>399</v>
      </c>
      <c r="V4" s="31"/>
      <c r="W4" s="31"/>
      <c r="X4" s="192"/>
      <c r="Z4" s="182" t="s">
        <v>201</v>
      </c>
      <c r="AA4" s="30" t="s">
        <v>207</v>
      </c>
      <c r="AB4" s="88" t="s">
        <v>826</v>
      </c>
      <c r="AC4" s="89" t="str">
        <f>N40</f>
        <v>LST-001</v>
      </c>
      <c r="AD4" s="30" t="s">
        <v>324</v>
      </c>
      <c r="AE4" s="31"/>
      <c r="AF4" s="31" t="s">
        <v>154</v>
      </c>
      <c r="AH4" s="31"/>
      <c r="AI4" s="31"/>
      <c r="AJ4" s="192"/>
    </row>
    <row r="5" spans="2:65" ht="30" customHeight="1">
      <c r="B5" s="182" t="s">
        <v>165</v>
      </c>
      <c r="C5" s="43" t="s">
        <v>914</v>
      </c>
      <c r="D5" s="3" t="s">
        <v>959</v>
      </c>
      <c r="E5" s="43" t="str">
        <f>Mission!B25</f>
        <v>TSE-009</v>
      </c>
      <c r="F5" s="43" t="s">
        <v>777</v>
      </c>
      <c r="G5" s="43"/>
      <c r="H5" s="43"/>
      <c r="I5" s="43"/>
      <c r="J5" s="43"/>
      <c r="K5" s="124"/>
      <c r="L5" s="326"/>
      <c r="N5" s="182" t="s">
        <v>588</v>
      </c>
      <c r="O5" s="43" t="s">
        <v>923</v>
      </c>
      <c r="P5" s="62" t="s">
        <v>961</v>
      </c>
      <c r="Q5" s="43" t="str">
        <f>B5</f>
        <v>PAYS-002</v>
      </c>
      <c r="R5" s="32" t="s">
        <v>683</v>
      </c>
      <c r="S5" s="31" t="s">
        <v>399</v>
      </c>
      <c r="T5" s="370"/>
      <c r="U5" s="31" t="s">
        <v>399</v>
      </c>
      <c r="V5" s="370"/>
      <c r="W5" s="137"/>
      <c r="X5" s="183"/>
      <c r="Z5" s="182" t="s">
        <v>202</v>
      </c>
      <c r="AA5" s="30" t="s">
        <v>208</v>
      </c>
      <c r="AB5" s="87" t="s">
        <v>827</v>
      </c>
      <c r="AC5" s="30" t="str">
        <f>N21</f>
        <v>LSE-004</v>
      </c>
      <c r="AD5" s="30" t="s">
        <v>747</v>
      </c>
      <c r="AE5" s="31"/>
      <c r="AF5" s="31" t="s">
        <v>154</v>
      </c>
      <c r="AG5" s="31" t="s">
        <v>154</v>
      </c>
      <c r="AH5" s="31"/>
      <c r="AI5" s="31"/>
      <c r="AJ5" s="192"/>
    </row>
    <row r="6" spans="2:65" s="425" customFormat="1" ht="30" customHeight="1">
      <c r="B6" s="182" t="s">
        <v>166</v>
      </c>
      <c r="C6" s="31" t="s">
        <v>915</v>
      </c>
      <c r="D6" s="3" t="s">
        <v>960</v>
      </c>
      <c r="E6" s="43" t="str">
        <f>Mission!B17</f>
        <v>TSE-001</v>
      </c>
      <c r="F6" s="430" t="s">
        <v>778</v>
      </c>
      <c r="G6" s="31" t="s">
        <v>154</v>
      </c>
      <c r="H6" s="3"/>
      <c r="I6" s="31" t="s">
        <v>154</v>
      </c>
      <c r="J6" s="3"/>
      <c r="K6" s="423"/>
      <c r="L6" s="427"/>
      <c r="N6" s="182" t="s">
        <v>589</v>
      </c>
      <c r="O6" s="91" t="s">
        <v>920</v>
      </c>
      <c r="P6" s="110" t="s">
        <v>964</v>
      </c>
      <c r="Q6" s="43" t="str">
        <f>B5</f>
        <v>PAYS-002</v>
      </c>
      <c r="R6" s="32" t="s">
        <v>683</v>
      </c>
      <c r="S6" s="31" t="s">
        <v>399</v>
      </c>
      <c r="T6" s="370"/>
      <c r="U6" s="31" t="s">
        <v>399</v>
      </c>
      <c r="V6" s="370"/>
      <c r="W6" s="137"/>
      <c r="X6" s="183"/>
      <c r="Z6" s="182" t="s">
        <v>203</v>
      </c>
      <c r="AA6" s="30" t="s">
        <v>209</v>
      </c>
      <c r="AB6" s="63" t="s">
        <v>828</v>
      </c>
      <c r="AC6" s="30" t="str">
        <f>N6</f>
        <v>LDS-003</v>
      </c>
      <c r="AD6" s="30" t="s">
        <v>211</v>
      </c>
      <c r="AE6" s="31"/>
      <c r="AF6" s="31" t="s">
        <v>154</v>
      </c>
      <c r="AG6" s="31"/>
      <c r="AH6" s="31"/>
      <c r="AI6" s="31"/>
      <c r="AJ6" s="192"/>
    </row>
    <row r="7" spans="2:65" s="425" customFormat="1" ht="30" customHeight="1">
      <c r="B7" s="182" t="s">
        <v>586</v>
      </c>
      <c r="C7" s="30" t="s">
        <v>191</v>
      </c>
      <c r="D7" s="3" t="s">
        <v>812</v>
      </c>
      <c r="E7" s="43" t="str">
        <f>Mission!B17</f>
        <v>TSE-001</v>
      </c>
      <c r="F7" s="43" t="s">
        <v>621</v>
      </c>
      <c r="G7" s="31" t="s">
        <v>154</v>
      </c>
      <c r="H7" s="31" t="s">
        <v>154</v>
      </c>
      <c r="I7" s="3"/>
      <c r="J7" s="3"/>
      <c r="K7" s="423"/>
      <c r="L7" s="427"/>
      <c r="N7" s="182" t="s">
        <v>590</v>
      </c>
      <c r="O7" s="31" t="s">
        <v>921</v>
      </c>
      <c r="P7" s="87" t="s">
        <v>806</v>
      </c>
      <c r="Q7" s="43" t="str">
        <f>B5</f>
        <v>PAYS-002</v>
      </c>
      <c r="R7" s="32" t="s">
        <v>683</v>
      </c>
      <c r="S7" s="31" t="s">
        <v>399</v>
      </c>
      <c r="T7" s="370"/>
      <c r="U7" s="31" t="s">
        <v>399</v>
      </c>
      <c r="V7" s="370"/>
      <c r="W7" s="137"/>
      <c r="X7" s="259"/>
      <c r="Z7" s="182" t="s">
        <v>204</v>
      </c>
      <c r="AA7" s="30" t="s">
        <v>593</v>
      </c>
      <c r="AB7" s="63" t="s">
        <v>963</v>
      </c>
      <c r="AC7" s="30" t="str">
        <f>N5</f>
        <v>LDS-002</v>
      </c>
      <c r="AD7" s="30" t="s">
        <v>210</v>
      </c>
      <c r="AE7" s="31"/>
      <c r="AF7" s="31" t="s">
        <v>154</v>
      </c>
      <c r="AG7" s="31"/>
      <c r="AH7" s="31"/>
      <c r="AI7" s="31"/>
      <c r="AJ7" s="192"/>
    </row>
    <row r="8" spans="2:65" s="425" customFormat="1" ht="30" customHeight="1">
      <c r="B8" s="182" t="s">
        <v>167</v>
      </c>
      <c r="C8" s="30" t="s">
        <v>916</v>
      </c>
      <c r="D8" s="3" t="s">
        <v>813</v>
      </c>
      <c r="E8" s="43" t="str">
        <f>Mission!B31</f>
        <v>TSE-015</v>
      </c>
      <c r="F8" s="43" t="s">
        <v>779</v>
      </c>
      <c r="G8" s="31" t="s">
        <v>154</v>
      </c>
      <c r="H8" s="31" t="s">
        <v>154</v>
      </c>
      <c r="I8" s="3"/>
      <c r="J8" s="3"/>
      <c r="K8" s="423"/>
      <c r="L8" s="427"/>
      <c r="N8" s="182" t="s">
        <v>591</v>
      </c>
      <c r="O8" s="30" t="s">
        <v>922</v>
      </c>
      <c r="P8" s="87" t="s">
        <v>742</v>
      </c>
      <c r="Q8" s="43" t="str">
        <f>B5</f>
        <v>PAYS-002</v>
      </c>
      <c r="R8" s="32" t="s">
        <v>683</v>
      </c>
      <c r="S8" s="31" t="s">
        <v>399</v>
      </c>
      <c r="T8" s="370"/>
      <c r="U8" s="31" t="s">
        <v>399</v>
      </c>
      <c r="V8" s="370"/>
      <c r="W8" s="137"/>
      <c r="X8" s="259"/>
      <c r="Z8" s="182" t="s">
        <v>204</v>
      </c>
      <c r="AA8" s="30" t="s">
        <v>593</v>
      </c>
      <c r="AB8" s="63" t="s">
        <v>962</v>
      </c>
      <c r="AC8" s="30" t="str">
        <f>N5</f>
        <v>LDS-002</v>
      </c>
      <c r="AD8" s="30" t="s">
        <v>210</v>
      </c>
      <c r="AE8" s="31"/>
      <c r="AF8" s="31" t="s">
        <v>154</v>
      </c>
      <c r="AG8" s="31"/>
      <c r="AH8" s="31"/>
      <c r="AI8" s="31"/>
      <c r="AJ8" s="192"/>
    </row>
    <row r="9" spans="2:65" s="425" customFormat="1" ht="30" customHeight="1">
      <c r="B9" s="182" t="s">
        <v>168</v>
      </c>
      <c r="C9" s="30" t="s">
        <v>917</v>
      </c>
      <c r="D9" s="3" t="s">
        <v>814</v>
      </c>
      <c r="E9" s="43" t="str">
        <f>Mission!B28</f>
        <v>TSE-012</v>
      </c>
      <c r="F9" s="43" t="s">
        <v>779</v>
      </c>
      <c r="G9" s="31" t="s">
        <v>154</v>
      </c>
      <c r="H9" s="31" t="s">
        <v>154</v>
      </c>
      <c r="I9" s="3"/>
      <c r="J9" s="3"/>
      <c r="K9" s="423"/>
      <c r="L9" s="427"/>
      <c r="N9" s="426"/>
      <c r="O9" s="423"/>
      <c r="P9" s="423"/>
      <c r="Q9" s="423"/>
      <c r="R9" s="428"/>
      <c r="S9" s="423"/>
      <c r="T9" s="423"/>
      <c r="U9" s="423"/>
      <c r="V9" s="423"/>
      <c r="W9" s="429"/>
      <c r="X9" s="427"/>
      <c r="Z9" s="182" t="s">
        <v>751</v>
      </c>
      <c r="AA9" s="32" t="s">
        <v>750</v>
      </c>
      <c r="AB9" s="137" t="s">
        <v>829</v>
      </c>
      <c r="AC9" s="43" t="str">
        <f>N6</f>
        <v>LDS-003</v>
      </c>
      <c r="AD9" s="32" t="s">
        <v>196</v>
      </c>
      <c r="AE9" s="31" t="s">
        <v>154</v>
      </c>
      <c r="AF9" s="137"/>
      <c r="AG9" s="137"/>
      <c r="AH9" s="137"/>
      <c r="AI9" s="137"/>
      <c r="AJ9" s="259"/>
    </row>
    <row r="10" spans="2:65" s="425" customFormat="1" ht="30" customHeight="1" thickBot="1">
      <c r="B10" s="182" t="s">
        <v>776</v>
      </c>
      <c r="C10" s="30" t="s">
        <v>918</v>
      </c>
      <c r="D10" s="425" t="s">
        <v>815</v>
      </c>
      <c r="E10" s="43" t="str">
        <f>Mission!B17</f>
        <v>TSE-001</v>
      </c>
      <c r="F10" s="43" t="s">
        <v>651</v>
      </c>
      <c r="G10" s="31" t="s">
        <v>154</v>
      </c>
      <c r="H10" s="3"/>
      <c r="I10" s="31" t="s">
        <v>154</v>
      </c>
      <c r="J10" s="3"/>
      <c r="K10" s="423"/>
      <c r="L10" s="427"/>
      <c r="N10" s="184"/>
      <c r="O10" s="209"/>
      <c r="P10" s="411"/>
      <c r="Q10" s="187"/>
      <c r="R10" s="412"/>
      <c r="S10" s="207"/>
      <c r="T10" s="207"/>
      <c r="U10" s="207"/>
      <c r="V10" s="413"/>
      <c r="W10" s="208"/>
      <c r="X10" s="260"/>
      <c r="Z10" s="182"/>
      <c r="AA10" s="30"/>
      <c r="AB10" s="63"/>
      <c r="AC10" s="30"/>
      <c r="AD10" s="30"/>
      <c r="AE10" s="31"/>
      <c r="AF10" s="31"/>
      <c r="AG10" s="31"/>
      <c r="AH10" s="31"/>
      <c r="AI10" s="31"/>
      <c r="AJ10" s="192"/>
    </row>
    <row r="11" spans="2:65" s="425" customFormat="1" ht="30" customHeight="1">
      <c r="B11" s="182" t="s">
        <v>169</v>
      </c>
      <c r="C11" s="32" t="s">
        <v>944</v>
      </c>
      <c r="D11" s="3" t="s">
        <v>932</v>
      </c>
      <c r="E11" s="43" t="str">
        <f>Mission!B17</f>
        <v>TSE-001</v>
      </c>
      <c r="F11" s="43" t="s">
        <v>780</v>
      </c>
      <c r="G11" s="3"/>
      <c r="H11" s="31" t="s">
        <v>154</v>
      </c>
      <c r="I11" s="31" t="s">
        <v>154</v>
      </c>
      <c r="J11" s="3"/>
      <c r="K11" s="423"/>
      <c r="L11" s="427"/>
      <c r="N11" s="43"/>
      <c r="O11" s="30"/>
      <c r="P11" s="87"/>
      <c r="Q11" s="43"/>
      <c r="R11" s="320"/>
      <c r="S11" s="31"/>
      <c r="T11" s="31"/>
      <c r="U11" s="31"/>
      <c r="V11" s="370"/>
      <c r="W11" s="137"/>
      <c r="X11" s="137"/>
      <c r="Z11" s="182"/>
      <c r="AA11" s="137"/>
      <c r="AB11" s="137"/>
      <c r="AC11" s="137"/>
      <c r="AD11" s="137"/>
      <c r="AE11" s="137"/>
      <c r="AF11" s="31"/>
      <c r="AG11" s="31"/>
      <c r="AH11" s="31"/>
      <c r="AI11" s="31"/>
      <c r="AJ11" s="192"/>
    </row>
    <row r="12" spans="2:65" s="425" customFormat="1" ht="30" customHeight="1">
      <c r="B12" s="426"/>
      <c r="C12" s="423"/>
      <c r="D12" s="423"/>
      <c r="E12" s="423"/>
      <c r="F12" s="124"/>
      <c r="G12" s="423"/>
      <c r="H12" s="423"/>
      <c r="I12" s="423"/>
      <c r="J12" s="423"/>
      <c r="K12" s="423"/>
      <c r="L12" s="427"/>
      <c r="N12" s="43"/>
      <c r="O12" s="30"/>
      <c r="P12" s="87"/>
      <c r="Q12" s="43"/>
      <c r="R12" s="320"/>
      <c r="S12" s="31"/>
      <c r="T12" s="31"/>
      <c r="U12" s="31"/>
      <c r="V12" s="370"/>
      <c r="W12" s="137"/>
      <c r="X12" s="137"/>
      <c r="Z12" s="182"/>
      <c r="AA12" s="31"/>
      <c r="AB12" s="3"/>
      <c r="AC12" s="43"/>
      <c r="AD12" s="137"/>
      <c r="AE12" s="137"/>
      <c r="AF12" s="137"/>
      <c r="AG12" s="137"/>
      <c r="AH12" s="137"/>
      <c r="AI12" s="137"/>
      <c r="AJ12" s="183"/>
    </row>
    <row r="13" spans="2:65" s="425" customFormat="1" ht="30" customHeight="1" thickBot="1">
      <c r="B13" s="217"/>
      <c r="C13" s="187"/>
      <c r="D13" s="212"/>
      <c r="E13" s="185"/>
      <c r="F13" s="187"/>
      <c r="G13" s="208"/>
      <c r="H13" s="208"/>
      <c r="I13" s="208"/>
      <c r="J13" s="208"/>
      <c r="K13" s="208"/>
      <c r="L13" s="213"/>
      <c r="N13" s="43"/>
      <c r="O13" s="30"/>
      <c r="P13" s="87"/>
      <c r="Q13" s="43"/>
      <c r="R13" s="320"/>
      <c r="S13" s="31"/>
      <c r="T13" s="31"/>
      <c r="U13" s="31"/>
      <c r="V13" s="370"/>
      <c r="W13" s="137"/>
      <c r="X13" s="137"/>
      <c r="Z13" s="217"/>
      <c r="AA13" s="187"/>
      <c r="AB13" s="212"/>
      <c r="AC13" s="185"/>
      <c r="AD13" s="208"/>
      <c r="AE13" s="208"/>
      <c r="AF13" s="208"/>
      <c r="AG13" s="208"/>
      <c r="AH13" s="208"/>
      <c r="AI13" s="208"/>
      <c r="AJ13" s="213"/>
    </row>
    <row r="14" spans="2:65" s="425" customFormat="1" ht="30" customHeight="1">
      <c r="B14" s="28"/>
      <c r="C14" s="48"/>
      <c r="D14" s="58"/>
      <c r="E14" s="46"/>
      <c r="F14" s="46"/>
      <c r="G14" s="28"/>
      <c r="H14" s="28"/>
      <c r="I14" s="28"/>
      <c r="J14" s="28"/>
      <c r="K14" s="33"/>
      <c r="L14" s="46"/>
      <c r="N14" s="43"/>
      <c r="O14" s="30"/>
      <c r="P14" s="87"/>
      <c r="Q14" s="43"/>
      <c r="R14" s="320"/>
      <c r="S14" s="31"/>
      <c r="T14" s="31"/>
      <c r="U14" s="31"/>
      <c r="V14" s="370"/>
      <c r="W14" s="137"/>
      <c r="X14" s="137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spans="2:65" s="425" customFormat="1" ht="30" customHeight="1" thickBot="1">
      <c r="B15" s="28"/>
      <c r="C15" s="46"/>
      <c r="D15" s="29"/>
      <c r="E15" s="47"/>
      <c r="F15" s="46"/>
      <c r="G15" s="28"/>
      <c r="H15" s="28"/>
      <c r="I15" s="28"/>
      <c r="J15" s="28"/>
      <c r="K15" s="28"/>
      <c r="L15" s="46"/>
      <c r="N15" s="43"/>
      <c r="O15" s="30"/>
      <c r="P15" s="3"/>
      <c r="Q15" s="43"/>
      <c r="R15" s="30"/>
      <c r="S15" s="31"/>
      <c r="T15" s="370"/>
      <c r="U15" s="31"/>
      <c r="V15" s="370"/>
      <c r="W15" s="137"/>
      <c r="X15" s="137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spans="2:65" ht="30" customHeight="1">
      <c r="N16" s="210" t="s">
        <v>111</v>
      </c>
      <c r="O16" s="474" t="s">
        <v>807</v>
      </c>
      <c r="P16" s="475"/>
      <c r="Q16" s="476"/>
      <c r="R16" s="462" t="s">
        <v>62</v>
      </c>
      <c r="S16" s="464" t="s">
        <v>63</v>
      </c>
      <c r="T16" s="465"/>
      <c r="U16" s="465"/>
      <c r="V16" s="466"/>
      <c r="W16" s="467" t="s">
        <v>85</v>
      </c>
      <c r="X16" s="469" t="s">
        <v>64</v>
      </c>
      <c r="Z16" s="214" t="s">
        <v>81</v>
      </c>
      <c r="AA16" s="459" t="s">
        <v>653</v>
      </c>
      <c r="AB16" s="460"/>
      <c r="AC16" s="461"/>
      <c r="AD16" s="462" t="s">
        <v>62</v>
      </c>
      <c r="AE16" s="464" t="s">
        <v>63</v>
      </c>
      <c r="AF16" s="465"/>
      <c r="AG16" s="465"/>
      <c r="AH16" s="466"/>
      <c r="AI16" s="467" t="s">
        <v>85</v>
      </c>
      <c r="AJ16" s="469" t="s">
        <v>64</v>
      </c>
    </row>
    <row r="17" spans="1:37" ht="30" customHeight="1">
      <c r="N17" s="194" t="s">
        <v>80</v>
      </c>
      <c r="O17" s="400" t="s">
        <v>18</v>
      </c>
      <c r="P17" s="400" t="s">
        <v>66</v>
      </c>
      <c r="Q17" s="400" t="s">
        <v>67</v>
      </c>
      <c r="R17" s="463"/>
      <c r="S17" s="400" t="s">
        <v>68</v>
      </c>
      <c r="T17" s="400" t="s">
        <v>69</v>
      </c>
      <c r="U17" s="400" t="s">
        <v>70</v>
      </c>
      <c r="V17" s="400" t="s">
        <v>71</v>
      </c>
      <c r="W17" s="468"/>
      <c r="X17" s="470"/>
      <c r="Z17" s="194" t="s">
        <v>80</v>
      </c>
      <c r="AA17" s="357" t="s">
        <v>65</v>
      </c>
      <c r="AB17" s="357" t="s">
        <v>66</v>
      </c>
      <c r="AC17" s="357" t="s">
        <v>67</v>
      </c>
      <c r="AD17" s="463"/>
      <c r="AE17" s="357" t="s">
        <v>68</v>
      </c>
      <c r="AF17" s="357" t="s">
        <v>69</v>
      </c>
      <c r="AG17" s="357" t="s">
        <v>70</v>
      </c>
      <c r="AH17" s="357" t="s">
        <v>71</v>
      </c>
      <c r="AI17" s="468"/>
      <c r="AJ17" s="470"/>
    </row>
    <row r="18" spans="1:37" ht="30" customHeight="1">
      <c r="N18" s="182" t="s">
        <v>737</v>
      </c>
      <c r="O18" s="30" t="s">
        <v>176</v>
      </c>
      <c r="P18" s="63" t="s">
        <v>811</v>
      </c>
      <c r="Q18" s="30" t="str">
        <f>B10</f>
        <v>PAYS-007</v>
      </c>
      <c r="R18" s="394" t="s">
        <v>769</v>
      </c>
      <c r="S18" s="31" t="s">
        <v>399</v>
      </c>
      <c r="T18" s="31"/>
      <c r="U18" s="31" t="s">
        <v>399</v>
      </c>
      <c r="V18" s="31"/>
      <c r="W18" s="31"/>
      <c r="X18" s="192"/>
      <c r="Z18" s="182" t="s">
        <v>596</v>
      </c>
      <c r="AA18" s="30" t="s">
        <v>207</v>
      </c>
      <c r="AB18" s="88" t="s">
        <v>830</v>
      </c>
      <c r="AC18" s="89" t="str">
        <f>N40</f>
        <v>LST-001</v>
      </c>
      <c r="AD18" s="30" t="s">
        <v>749</v>
      </c>
      <c r="AE18" s="31" t="s">
        <v>154</v>
      </c>
      <c r="AF18" s="31" t="s">
        <v>154</v>
      </c>
      <c r="AG18" s="31" t="s">
        <v>154</v>
      </c>
      <c r="AH18" s="31"/>
      <c r="AI18" s="31"/>
      <c r="AJ18" s="192"/>
    </row>
    <row r="19" spans="1:37" ht="30" customHeight="1">
      <c r="N19" s="182" t="s">
        <v>738</v>
      </c>
      <c r="O19" s="30" t="s">
        <v>662</v>
      </c>
      <c r="P19" s="63" t="s">
        <v>816</v>
      </c>
      <c r="Q19" s="30" t="str">
        <f>B10</f>
        <v>PAYS-007</v>
      </c>
      <c r="R19" s="394" t="s">
        <v>769</v>
      </c>
      <c r="S19" s="31" t="s">
        <v>399</v>
      </c>
      <c r="T19" s="31"/>
      <c r="U19" s="31" t="s">
        <v>399</v>
      </c>
      <c r="V19" s="31"/>
      <c r="W19" s="31"/>
      <c r="X19" s="192"/>
      <c r="Z19" s="182" t="s">
        <v>597</v>
      </c>
      <c r="AA19" s="30" t="s">
        <v>208</v>
      </c>
      <c r="AB19" s="87" t="s">
        <v>831</v>
      </c>
      <c r="AC19" s="30" t="str">
        <f>N21</f>
        <v>LSE-004</v>
      </c>
      <c r="AD19" s="30" t="s">
        <v>748</v>
      </c>
      <c r="AE19" s="31"/>
      <c r="AF19" s="31" t="s">
        <v>154</v>
      </c>
      <c r="AG19" s="31" t="s">
        <v>154</v>
      </c>
      <c r="AH19" s="31"/>
      <c r="AI19" s="31"/>
      <c r="AJ19" s="192"/>
    </row>
    <row r="20" spans="1:37" ht="30" customHeight="1">
      <c r="N20" s="182" t="s">
        <v>736</v>
      </c>
      <c r="O20" s="30" t="s">
        <v>267</v>
      </c>
      <c r="P20" s="130" t="s">
        <v>820</v>
      </c>
      <c r="Q20" s="31" t="str">
        <f>B11</f>
        <v>PAYS-008</v>
      </c>
      <c r="R20" s="32" t="s">
        <v>768</v>
      </c>
      <c r="S20" s="31"/>
      <c r="T20" s="31" t="s">
        <v>399</v>
      </c>
      <c r="U20" s="31" t="s">
        <v>399</v>
      </c>
      <c r="V20" s="31"/>
      <c r="W20" s="137"/>
      <c r="X20" s="183"/>
      <c r="Z20" s="182" t="s">
        <v>598</v>
      </c>
      <c r="AA20" s="420" t="s">
        <v>757</v>
      </c>
      <c r="AB20" s="63" t="s">
        <v>832</v>
      </c>
      <c r="AC20" s="30" t="str">
        <f>N7</f>
        <v>LDS-004</v>
      </c>
      <c r="AD20" s="30" t="s">
        <v>324</v>
      </c>
      <c r="AE20" s="31"/>
      <c r="AF20" s="31" t="s">
        <v>154</v>
      </c>
      <c r="AG20" s="31"/>
      <c r="AH20" s="31"/>
      <c r="AI20" s="31"/>
      <c r="AJ20" s="192"/>
    </row>
    <row r="21" spans="1:37" ht="30" customHeight="1">
      <c r="N21" s="182" t="s">
        <v>739</v>
      </c>
      <c r="O21" s="91" t="s">
        <v>684</v>
      </c>
      <c r="P21" s="3" t="s">
        <v>819</v>
      </c>
      <c r="Q21" s="30" t="str">
        <f>B6</f>
        <v>PAYS-003</v>
      </c>
      <c r="R21" s="30" t="s">
        <v>686</v>
      </c>
      <c r="S21" s="31" t="s">
        <v>399</v>
      </c>
      <c r="T21" s="31"/>
      <c r="U21" s="31" t="s">
        <v>399</v>
      </c>
      <c r="V21" s="31"/>
      <c r="W21" s="31"/>
      <c r="X21" s="192"/>
      <c r="Z21" s="182" t="s">
        <v>599</v>
      </c>
      <c r="AA21" s="420" t="s">
        <v>758</v>
      </c>
      <c r="AB21" s="28" t="s">
        <v>833</v>
      </c>
      <c r="AC21" s="46" t="str">
        <f>N8</f>
        <v>LDS-005</v>
      </c>
      <c r="AD21" s="32" t="s">
        <v>324</v>
      </c>
      <c r="AF21" s="31" t="s">
        <v>154</v>
      </c>
      <c r="AI21" s="31"/>
      <c r="AJ21" s="192"/>
    </row>
    <row r="22" spans="1:37" ht="30" customHeight="1">
      <c r="N22" s="182" t="s">
        <v>740</v>
      </c>
      <c r="O22" s="30" t="s">
        <v>745</v>
      </c>
      <c r="P22" s="3" t="s">
        <v>817</v>
      </c>
      <c r="Q22" s="30" t="str">
        <f>B7</f>
        <v>PAYS-004</v>
      </c>
      <c r="R22" s="30" t="s">
        <v>768</v>
      </c>
      <c r="S22" s="31"/>
      <c r="T22" s="31" t="s">
        <v>399</v>
      </c>
      <c r="U22" s="31" t="s">
        <v>399</v>
      </c>
      <c r="V22" s="31"/>
      <c r="W22" s="31"/>
      <c r="X22" s="192"/>
      <c r="Z22" s="182" t="s">
        <v>600</v>
      </c>
      <c r="AA22" s="30" t="s">
        <v>752</v>
      </c>
      <c r="AB22" s="63" t="s">
        <v>834</v>
      </c>
      <c r="AC22" s="30" t="str">
        <f>N23</f>
        <v>LSE-006</v>
      </c>
      <c r="AD22" s="30" t="s">
        <v>683</v>
      </c>
      <c r="AE22" s="31" t="s">
        <v>154</v>
      </c>
      <c r="AF22" s="31"/>
      <c r="AG22" s="31" t="s">
        <v>154</v>
      </c>
      <c r="AH22" s="31"/>
      <c r="AI22" s="31"/>
      <c r="AJ22" s="192"/>
    </row>
    <row r="23" spans="1:37" ht="30" customHeight="1">
      <c r="N23" s="182" t="s">
        <v>753</v>
      </c>
      <c r="O23" s="31" t="s">
        <v>746</v>
      </c>
      <c r="P23" s="87" t="s">
        <v>818</v>
      </c>
      <c r="Q23" s="30" t="str">
        <f>B7</f>
        <v>PAYS-004</v>
      </c>
      <c r="R23" s="30" t="s">
        <v>768</v>
      </c>
      <c r="S23" s="31"/>
      <c r="T23" s="31" t="s">
        <v>399</v>
      </c>
      <c r="U23" s="31" t="s">
        <v>399</v>
      </c>
      <c r="V23" s="31"/>
      <c r="W23" s="31"/>
      <c r="X23" s="192"/>
      <c r="Z23" s="182"/>
      <c r="AA23" s="30"/>
      <c r="AB23" s="63"/>
      <c r="AC23" s="30"/>
      <c r="AD23" s="30"/>
      <c r="AE23" s="31"/>
      <c r="AF23" s="31"/>
      <c r="AG23" s="31"/>
      <c r="AH23" s="31"/>
      <c r="AI23" s="31"/>
      <c r="AJ23" s="192"/>
    </row>
    <row r="24" spans="1:37" ht="30" customHeight="1" thickBot="1">
      <c r="N24" s="184"/>
      <c r="O24" s="209"/>
      <c r="P24" s="411"/>
      <c r="Q24" s="209"/>
      <c r="R24" s="209"/>
      <c r="S24" s="207"/>
      <c r="T24" s="207"/>
      <c r="U24" s="207"/>
      <c r="V24" s="207"/>
      <c r="W24" s="207"/>
      <c r="X24" s="344"/>
      <c r="Z24" s="182"/>
      <c r="AA24" s="32"/>
      <c r="AB24" s="130"/>
      <c r="AC24" s="46"/>
      <c r="AF24" s="31"/>
      <c r="AG24" s="31"/>
      <c r="AH24" s="31"/>
      <c r="AI24" s="31"/>
      <c r="AJ24" s="192"/>
    </row>
    <row r="25" spans="1:37" ht="30" customHeight="1">
      <c r="Z25" s="182"/>
      <c r="AA25" s="31"/>
      <c r="AB25" s="3"/>
      <c r="AC25" s="43"/>
      <c r="AD25" s="137"/>
      <c r="AE25" s="137"/>
      <c r="AF25" s="137"/>
      <c r="AG25" s="137"/>
      <c r="AH25" s="137"/>
      <c r="AI25" s="137"/>
      <c r="AJ25" s="183"/>
      <c r="AK25" s="122"/>
    </row>
    <row r="26" spans="1:37" ht="30" customHeight="1" thickBot="1">
      <c r="Z26" s="217"/>
      <c r="AA26" s="187"/>
      <c r="AB26" s="212"/>
      <c r="AC26" s="185"/>
      <c r="AD26" s="208"/>
      <c r="AE26" s="208"/>
      <c r="AF26" s="208"/>
      <c r="AG26" s="208"/>
      <c r="AH26" s="208"/>
      <c r="AI26" s="208"/>
      <c r="AJ26" s="213"/>
      <c r="AK26" s="122"/>
    </row>
    <row r="27" spans="1:37" ht="30" customHeight="1" thickBot="1">
      <c r="A27" s="302" t="s">
        <v>266</v>
      </c>
      <c r="N27" s="43"/>
      <c r="O27" s="43"/>
      <c r="P27" s="43"/>
      <c r="Q27" s="43"/>
      <c r="R27" s="137"/>
      <c r="S27" s="137"/>
      <c r="T27" s="137"/>
      <c r="U27" s="137"/>
      <c r="V27" s="137"/>
      <c r="W27" s="137"/>
      <c r="X27" s="43"/>
      <c r="AK27" s="122"/>
    </row>
    <row r="28" spans="1:37" ht="30" customHeight="1">
      <c r="N28" s="210" t="s">
        <v>111</v>
      </c>
      <c r="O28" s="474" t="s">
        <v>809</v>
      </c>
      <c r="P28" s="475"/>
      <c r="Q28" s="476"/>
      <c r="R28" s="462" t="s">
        <v>62</v>
      </c>
      <c r="S28" s="464" t="s">
        <v>63</v>
      </c>
      <c r="T28" s="465"/>
      <c r="U28" s="465"/>
      <c r="V28" s="466"/>
      <c r="W28" s="467" t="s">
        <v>85</v>
      </c>
      <c r="X28" s="469" t="s">
        <v>64</v>
      </c>
      <c r="Z28" s="122"/>
      <c r="AK28" s="122"/>
    </row>
    <row r="29" spans="1:37" ht="30" customHeight="1">
      <c r="N29" s="300" t="s">
        <v>80</v>
      </c>
      <c r="O29" s="400" t="s">
        <v>18</v>
      </c>
      <c r="P29" s="400" t="s">
        <v>66</v>
      </c>
      <c r="Q29" s="400" t="s">
        <v>67</v>
      </c>
      <c r="R29" s="463"/>
      <c r="S29" s="400" t="s">
        <v>68</v>
      </c>
      <c r="T29" s="400" t="s">
        <v>69</v>
      </c>
      <c r="U29" s="400" t="s">
        <v>70</v>
      </c>
      <c r="V29" s="400" t="s">
        <v>71</v>
      </c>
      <c r="W29" s="468"/>
      <c r="X29" s="470"/>
      <c r="Z29" s="122"/>
      <c r="AK29" s="122"/>
    </row>
    <row r="30" spans="1:37" ht="30" customHeight="1">
      <c r="N30" s="180" t="s">
        <v>733</v>
      </c>
      <c r="O30" s="59" t="s">
        <v>174</v>
      </c>
      <c r="P30" s="358" t="s">
        <v>821</v>
      </c>
      <c r="Q30" s="59" t="str">
        <f>B8</f>
        <v>PAYS-005</v>
      </c>
      <c r="R30" s="59" t="s">
        <v>626</v>
      </c>
      <c r="S30" s="60"/>
      <c r="T30" s="396" t="s">
        <v>400</v>
      </c>
      <c r="U30" s="60"/>
      <c r="V30" s="60"/>
      <c r="W30" s="60"/>
      <c r="X30" s="211"/>
      <c r="Z30" s="122"/>
      <c r="AK30" s="122"/>
    </row>
    <row r="31" spans="1:37" ht="30" customHeight="1">
      <c r="N31" s="182" t="s">
        <v>743</v>
      </c>
      <c r="O31" s="30" t="s">
        <v>175</v>
      </c>
      <c r="P31" s="63" t="s">
        <v>822</v>
      </c>
      <c r="Q31" s="89" t="str">
        <f>B9</f>
        <v>PAYS-006</v>
      </c>
      <c r="R31" s="30" t="s">
        <v>630</v>
      </c>
      <c r="S31" s="31" t="s">
        <v>399</v>
      </c>
      <c r="T31" s="31" t="s">
        <v>399</v>
      </c>
      <c r="U31" s="31"/>
      <c r="V31" s="31"/>
      <c r="W31" s="31"/>
      <c r="X31" s="192"/>
      <c r="Z31" s="122"/>
      <c r="AK31" s="122"/>
    </row>
    <row r="32" spans="1:37" ht="30" customHeight="1">
      <c r="N32" s="182" t="s">
        <v>744</v>
      </c>
      <c r="O32" s="30" t="s">
        <v>754</v>
      </c>
      <c r="P32" s="63" t="s">
        <v>823</v>
      </c>
      <c r="Q32" s="30" t="str">
        <f>B7</f>
        <v>PAYS-004</v>
      </c>
      <c r="R32" s="30" t="s">
        <v>755</v>
      </c>
      <c r="S32" s="31" t="s">
        <v>399</v>
      </c>
      <c r="T32" s="31"/>
      <c r="U32" s="31" t="s">
        <v>399</v>
      </c>
      <c r="V32" s="31"/>
      <c r="W32" s="31"/>
      <c r="X32" s="192"/>
      <c r="Z32" s="122"/>
      <c r="AK32" s="122"/>
    </row>
    <row r="33" spans="14:37" ht="30" customHeight="1">
      <c r="N33" s="182"/>
      <c r="O33" s="91"/>
      <c r="P33" s="3"/>
      <c r="Q33" s="30"/>
      <c r="R33" s="30"/>
      <c r="S33" s="31"/>
      <c r="T33" s="31"/>
      <c r="U33" s="31"/>
      <c r="V33" s="31"/>
      <c r="W33" s="31"/>
      <c r="X33" s="192"/>
      <c r="Z33" s="122"/>
      <c r="AK33" s="122"/>
    </row>
    <row r="34" spans="14:37" ht="30" customHeight="1">
      <c r="N34" s="182"/>
      <c r="O34" s="31"/>
      <c r="P34" s="87"/>
      <c r="Q34" s="30"/>
      <c r="R34" s="381"/>
      <c r="S34" s="31"/>
      <c r="T34" s="31"/>
      <c r="U34" s="31"/>
      <c r="V34" s="31"/>
      <c r="W34" s="31"/>
      <c r="X34" s="192"/>
      <c r="Z34" s="122"/>
      <c r="AK34" s="122"/>
    </row>
    <row r="35" spans="14:37" ht="30" customHeight="1" thickBot="1">
      <c r="N35" s="184"/>
      <c r="O35" s="209"/>
      <c r="P35" s="411"/>
      <c r="Q35" s="209"/>
      <c r="R35" s="209"/>
      <c r="S35" s="207"/>
      <c r="T35" s="207"/>
      <c r="U35" s="207"/>
      <c r="V35" s="207"/>
      <c r="W35" s="207"/>
      <c r="X35" s="344"/>
      <c r="AK35" s="122"/>
    </row>
    <row r="36" spans="14:37" ht="30" customHeight="1">
      <c r="N36" s="43"/>
      <c r="O36" s="43"/>
      <c r="P36" s="43"/>
      <c r="Q36" s="43"/>
      <c r="R36" s="30"/>
      <c r="S36" s="31"/>
      <c r="T36" s="31"/>
      <c r="U36" s="31"/>
      <c r="V36" s="31"/>
      <c r="W36" s="31"/>
      <c r="X36" s="31"/>
      <c r="AK36" s="122"/>
    </row>
    <row r="37" spans="14:37" ht="30" customHeight="1" thickBot="1">
      <c r="AK37" s="122"/>
    </row>
    <row r="38" spans="14:37" ht="30" customHeight="1">
      <c r="N38" s="210" t="s">
        <v>111</v>
      </c>
      <c r="O38" s="474" t="s">
        <v>810</v>
      </c>
      <c r="P38" s="475"/>
      <c r="Q38" s="476"/>
      <c r="R38" s="462" t="s">
        <v>62</v>
      </c>
      <c r="S38" s="464" t="s">
        <v>63</v>
      </c>
      <c r="T38" s="465"/>
      <c r="U38" s="465"/>
      <c r="V38" s="466"/>
      <c r="W38" s="467" t="s">
        <v>85</v>
      </c>
      <c r="X38" s="469" t="s">
        <v>64</v>
      </c>
      <c r="AK38" s="122"/>
    </row>
    <row r="39" spans="14:37" ht="30" customHeight="1">
      <c r="N39" s="194" t="s">
        <v>80</v>
      </c>
      <c r="O39" s="400" t="s">
        <v>18</v>
      </c>
      <c r="P39" s="400" t="s">
        <v>66</v>
      </c>
      <c r="Q39" s="400" t="s">
        <v>67</v>
      </c>
      <c r="R39" s="463"/>
      <c r="S39" s="400" t="s">
        <v>68</v>
      </c>
      <c r="T39" s="400" t="s">
        <v>69</v>
      </c>
      <c r="U39" s="400" t="s">
        <v>70</v>
      </c>
      <c r="V39" s="400" t="s">
        <v>71</v>
      </c>
      <c r="W39" s="468"/>
      <c r="X39" s="470"/>
    </row>
    <row r="40" spans="14:37" ht="30" customHeight="1">
      <c r="N40" s="182" t="s">
        <v>734</v>
      </c>
      <c r="O40" s="31" t="s">
        <v>685</v>
      </c>
      <c r="P40" s="87" t="s">
        <v>824</v>
      </c>
      <c r="Q40" s="30" t="str">
        <f>B6</f>
        <v>PAYS-003</v>
      </c>
      <c r="R40" s="381" t="s">
        <v>687</v>
      </c>
      <c r="S40" s="31" t="s">
        <v>399</v>
      </c>
      <c r="T40" s="31" t="s">
        <v>399</v>
      </c>
      <c r="U40" s="31" t="s">
        <v>399</v>
      </c>
      <c r="V40" s="31"/>
      <c r="W40" s="31"/>
      <c r="X40" s="192"/>
    </row>
    <row r="41" spans="14:37" ht="30" customHeight="1">
      <c r="N41" s="182" t="s">
        <v>735</v>
      </c>
      <c r="O41" s="31" t="s">
        <v>688</v>
      </c>
      <c r="P41" s="63" t="s">
        <v>825</v>
      </c>
      <c r="Q41" s="43" t="str">
        <f>B6</f>
        <v>PAYS-003</v>
      </c>
      <c r="R41" s="43" t="s">
        <v>759</v>
      </c>
      <c r="S41" s="31" t="s">
        <v>399</v>
      </c>
      <c r="T41" s="137"/>
      <c r="U41" s="137"/>
      <c r="V41" s="137"/>
      <c r="W41" s="137"/>
      <c r="X41" s="259"/>
      <c r="Z41" s="122"/>
      <c r="AA41" s="122"/>
      <c r="AB41" s="122"/>
      <c r="AC41" s="122"/>
      <c r="AD41" s="122"/>
      <c r="AE41" s="122"/>
      <c r="AF41" s="122"/>
      <c r="AG41" s="122"/>
      <c r="AH41" s="122"/>
      <c r="AI41" s="122"/>
    </row>
    <row r="42" spans="14:37" ht="30" customHeight="1" thickBot="1">
      <c r="N42" s="184"/>
      <c r="O42" s="209"/>
      <c r="P42" s="250"/>
      <c r="Q42" s="209"/>
      <c r="R42" s="418"/>
      <c r="S42" s="207"/>
      <c r="T42" s="207"/>
      <c r="U42" s="207"/>
      <c r="V42" s="207"/>
      <c r="W42" s="207"/>
      <c r="X42" s="344"/>
      <c r="Z42" s="122"/>
      <c r="AA42" s="122"/>
      <c r="AB42" s="122"/>
      <c r="AC42" s="122"/>
      <c r="AD42" s="122"/>
      <c r="AE42" s="122"/>
      <c r="AF42" s="122"/>
      <c r="AG42" s="122"/>
      <c r="AH42" s="122"/>
      <c r="AI42" s="122"/>
    </row>
    <row r="43" spans="14:37" ht="30" customHeight="1">
      <c r="Z43" s="122"/>
      <c r="AA43" s="122"/>
      <c r="AB43" s="122"/>
      <c r="AC43" s="122"/>
      <c r="AD43" s="122"/>
      <c r="AE43" s="122"/>
      <c r="AF43" s="122"/>
      <c r="AG43" s="122"/>
      <c r="AH43" s="122"/>
      <c r="AI43" s="122"/>
    </row>
    <row r="44" spans="14:37" ht="30" customHeight="1">
      <c r="Y44" s="131"/>
      <c r="Z44" s="122"/>
      <c r="AA44" s="122"/>
      <c r="AB44" s="122"/>
      <c r="AC44" s="122"/>
      <c r="AD44" s="122"/>
      <c r="AE44" s="122"/>
      <c r="AF44" s="122"/>
      <c r="AG44" s="122"/>
      <c r="AH44" s="122"/>
      <c r="AI44" s="122"/>
    </row>
    <row r="45" spans="14:37" ht="30" customHeight="1">
      <c r="N45" s="43"/>
      <c r="O45" s="30"/>
      <c r="P45" s="87"/>
      <c r="Q45" s="30"/>
      <c r="R45" s="30"/>
      <c r="S45" s="31"/>
      <c r="T45" s="31"/>
      <c r="U45" s="31"/>
      <c r="V45" s="31"/>
      <c r="W45" s="31"/>
      <c r="X45" s="31"/>
      <c r="Y45" s="131"/>
      <c r="Z45" s="131"/>
      <c r="AA45" s="32"/>
      <c r="AB45" s="62" t="s">
        <v>649</v>
      </c>
      <c r="AC45" s="32"/>
      <c r="AD45" s="32"/>
      <c r="AE45" s="133"/>
      <c r="AF45" s="133"/>
      <c r="AG45" s="133"/>
      <c r="AH45" s="133"/>
      <c r="AI45" s="133"/>
      <c r="AJ45" s="133"/>
    </row>
    <row r="46" spans="14:37" ht="30" customHeight="1">
      <c r="N46" s="43"/>
      <c r="O46" s="43"/>
      <c r="P46" s="43"/>
      <c r="Q46" s="43"/>
      <c r="R46" s="30"/>
      <c r="S46" s="31"/>
      <c r="T46" s="31"/>
      <c r="U46" s="31"/>
      <c r="V46" s="31"/>
      <c r="W46" s="31"/>
      <c r="X46" s="31"/>
      <c r="Z46" s="131"/>
      <c r="AA46" s="32"/>
      <c r="AB46" s="130"/>
      <c r="AC46" s="32"/>
      <c r="AD46" s="32"/>
      <c r="AE46" s="133"/>
      <c r="AF46" s="133"/>
      <c r="AG46" s="133"/>
      <c r="AH46" s="133"/>
      <c r="AI46" s="133"/>
      <c r="AJ46" s="133"/>
    </row>
    <row r="47" spans="14:37" ht="30" customHeight="1">
      <c r="Z47" s="131"/>
      <c r="AA47" s="32"/>
      <c r="AB47" s="130"/>
      <c r="AC47" s="32"/>
      <c r="AD47" s="32"/>
      <c r="AE47" s="133"/>
      <c r="AF47" s="133"/>
      <c r="AG47" s="133"/>
      <c r="AH47" s="133"/>
      <c r="AI47" s="133"/>
      <c r="AJ47" s="133"/>
    </row>
    <row r="48" spans="14:37" ht="30" customHeight="1">
      <c r="Z48" s="131"/>
      <c r="AA48" s="32"/>
      <c r="AB48" s="130"/>
      <c r="AC48" s="32"/>
      <c r="AD48" s="32"/>
      <c r="AE48" s="133"/>
      <c r="AF48" s="133"/>
      <c r="AG48" s="133"/>
      <c r="AH48" s="133"/>
      <c r="AI48" s="133"/>
      <c r="AJ48" s="133"/>
    </row>
    <row r="49" spans="13:46" ht="30" customHeight="1">
      <c r="Z49" s="122"/>
      <c r="AA49" s="122"/>
      <c r="AB49" s="122"/>
      <c r="AC49" s="122"/>
      <c r="AD49" s="122"/>
      <c r="AE49" s="122"/>
      <c r="AF49" s="122"/>
      <c r="AG49" s="122"/>
      <c r="AH49" s="122"/>
      <c r="AI49" s="122"/>
      <c r="AJ49" s="122"/>
    </row>
    <row r="50" spans="13:46" ht="30" customHeight="1">
      <c r="Z50" s="131"/>
      <c r="AA50" s="122"/>
      <c r="AB50" s="122"/>
      <c r="AC50" s="122"/>
      <c r="AD50" s="122"/>
      <c r="AE50" s="122"/>
      <c r="AF50" s="122"/>
      <c r="AG50" s="122"/>
      <c r="AH50" s="133"/>
      <c r="AI50" s="133"/>
      <c r="AJ50" s="133"/>
    </row>
    <row r="51" spans="13:46" ht="30" customHeight="1">
      <c r="Z51" s="122"/>
      <c r="AA51" s="133"/>
      <c r="AB51" s="386"/>
      <c r="AC51" s="131"/>
      <c r="AD51" s="122"/>
      <c r="AE51" s="122"/>
      <c r="AF51" s="122"/>
      <c r="AG51" s="122"/>
      <c r="AH51" s="122"/>
      <c r="AI51" s="122"/>
      <c r="AJ51" s="131"/>
    </row>
    <row r="52" spans="13:46" ht="30" customHeight="1">
      <c r="Y52" s="389"/>
      <c r="Z52" s="131"/>
      <c r="AA52" s="32"/>
      <c r="AB52" s="139"/>
      <c r="AC52" s="131"/>
      <c r="AD52" s="122"/>
      <c r="AE52" s="122"/>
      <c r="AF52" s="122"/>
      <c r="AG52" s="122"/>
      <c r="AH52" s="122"/>
      <c r="AI52" s="122"/>
      <c r="AJ52" s="131"/>
    </row>
    <row r="53" spans="13:46" ht="30" customHeight="1">
      <c r="Y53" s="389"/>
      <c r="Z53" s="131"/>
      <c r="AA53" s="32"/>
      <c r="AB53" s="122"/>
      <c r="AC53" s="131"/>
      <c r="AD53" s="122"/>
      <c r="AE53" s="122"/>
      <c r="AF53" s="122"/>
      <c r="AG53" s="122"/>
      <c r="AH53" s="122"/>
      <c r="AI53" s="122"/>
      <c r="AJ53" s="131"/>
    </row>
    <row r="54" spans="13:46" ht="30" customHeight="1">
      <c r="Y54" s="133"/>
      <c r="Z54" s="122"/>
      <c r="AA54" s="122"/>
      <c r="AB54" s="122"/>
      <c r="AC54" s="122"/>
      <c r="AD54" s="122"/>
      <c r="AE54" s="122"/>
      <c r="AF54" s="122"/>
      <c r="AG54" s="122"/>
      <c r="AH54" s="122"/>
      <c r="AI54" s="122"/>
      <c r="AJ54" s="122"/>
    </row>
    <row r="55" spans="13:46" ht="30" customHeight="1">
      <c r="Y55" s="133"/>
      <c r="Z55" s="122"/>
      <c r="AA55" s="122"/>
      <c r="AB55" s="122"/>
      <c r="AC55" s="122"/>
      <c r="AD55" s="122"/>
      <c r="AE55" s="122"/>
      <c r="AF55" s="122"/>
      <c r="AG55" s="122"/>
      <c r="AH55" s="122"/>
      <c r="AI55" s="122"/>
      <c r="AJ55" s="122"/>
    </row>
    <row r="56" spans="13:46" ht="30" customHeight="1">
      <c r="N56" s="43"/>
      <c r="O56" s="43"/>
      <c r="P56" s="43"/>
      <c r="Q56" s="43"/>
      <c r="R56" s="30"/>
      <c r="S56" s="31"/>
      <c r="T56" s="31"/>
      <c r="U56" s="31"/>
      <c r="V56" s="31"/>
      <c r="W56" s="31"/>
      <c r="X56" s="31"/>
      <c r="Z56" s="122"/>
      <c r="AA56" s="122"/>
      <c r="AB56" s="122"/>
      <c r="AC56" s="122"/>
      <c r="AD56" s="122"/>
      <c r="AE56" s="122"/>
      <c r="AF56" s="122"/>
      <c r="AG56" s="122"/>
      <c r="AH56" s="122"/>
      <c r="AI56" s="122"/>
      <c r="AJ56" s="122"/>
      <c r="AK56" s="122"/>
      <c r="AL56" s="122"/>
      <c r="AM56" s="122"/>
      <c r="AN56" s="122"/>
      <c r="AO56" s="122"/>
      <c r="AP56" s="122"/>
      <c r="AQ56" s="122"/>
      <c r="AR56" s="122"/>
      <c r="AS56" s="122"/>
      <c r="AT56" s="122"/>
    </row>
    <row r="57" spans="13:46" ht="30" customHeight="1">
      <c r="Z57" s="122"/>
      <c r="AA57" s="122"/>
      <c r="AB57" s="122"/>
      <c r="AC57" s="122"/>
      <c r="AD57" s="122"/>
      <c r="AE57" s="122"/>
      <c r="AF57" s="122"/>
      <c r="AG57" s="122"/>
      <c r="AH57" s="122"/>
      <c r="AI57" s="122"/>
      <c r="AJ57" s="122"/>
      <c r="AK57" s="122"/>
      <c r="AL57" s="122"/>
      <c r="AM57" s="122"/>
      <c r="AN57" s="122"/>
      <c r="AO57" s="122"/>
      <c r="AP57" s="122"/>
      <c r="AQ57" s="122"/>
      <c r="AR57" s="122"/>
      <c r="AS57" s="122"/>
      <c r="AT57" s="122"/>
    </row>
    <row r="58" spans="13:46" ht="30" customHeight="1">
      <c r="Z58" s="122"/>
      <c r="AA58" s="122"/>
      <c r="AB58" s="122"/>
      <c r="AC58" s="122"/>
      <c r="AD58" s="122"/>
      <c r="AE58" s="122"/>
      <c r="AF58" s="122"/>
      <c r="AG58" s="122"/>
      <c r="AH58" s="122"/>
      <c r="AI58" s="122"/>
      <c r="AJ58" s="122"/>
      <c r="AK58" s="122"/>
      <c r="AL58" s="122"/>
      <c r="AM58" s="122"/>
      <c r="AN58" s="122"/>
      <c r="AO58" s="122"/>
      <c r="AP58" s="122"/>
      <c r="AQ58" s="122"/>
      <c r="AR58" s="122"/>
      <c r="AS58" s="122"/>
      <c r="AT58" s="122"/>
    </row>
    <row r="59" spans="13:46" ht="30" customHeight="1">
      <c r="Z59" s="122"/>
      <c r="AA59" s="122"/>
      <c r="AB59" s="122"/>
      <c r="AC59" s="122"/>
      <c r="AD59" s="122"/>
      <c r="AE59" s="122"/>
      <c r="AF59" s="122"/>
      <c r="AG59" s="122"/>
      <c r="AH59" s="122"/>
      <c r="AI59" s="122"/>
      <c r="AJ59" s="122"/>
      <c r="AK59" s="122"/>
      <c r="AL59" s="122"/>
      <c r="AM59" s="122"/>
      <c r="AN59" s="122"/>
      <c r="AO59" s="122"/>
      <c r="AP59" s="122"/>
      <c r="AQ59" s="122"/>
      <c r="AR59" s="122"/>
      <c r="AS59" s="122"/>
      <c r="AT59" s="122"/>
    </row>
    <row r="60" spans="13:46" ht="30" customHeight="1">
      <c r="Z60" s="122"/>
      <c r="AA60" s="122"/>
      <c r="AB60" s="122"/>
      <c r="AC60" s="122"/>
      <c r="AD60" s="122"/>
      <c r="AE60" s="122"/>
      <c r="AF60" s="122"/>
      <c r="AG60" s="122"/>
      <c r="AH60" s="122"/>
      <c r="AI60" s="122"/>
      <c r="AJ60" s="122"/>
      <c r="AK60" s="122"/>
      <c r="AL60" s="122"/>
      <c r="AM60" s="122"/>
      <c r="AN60" s="122"/>
      <c r="AO60" s="122"/>
      <c r="AP60" s="122"/>
      <c r="AQ60" s="122"/>
      <c r="AR60" s="122"/>
      <c r="AS60" s="122"/>
      <c r="AT60" s="122"/>
    </row>
    <row r="61" spans="13:46" ht="30" customHeight="1">
      <c r="Z61" s="122"/>
      <c r="AA61" s="122"/>
      <c r="AB61" s="122"/>
      <c r="AC61" s="122"/>
      <c r="AD61" s="122"/>
      <c r="AE61" s="122"/>
      <c r="AF61" s="122"/>
      <c r="AG61" s="122"/>
      <c r="AH61" s="122"/>
      <c r="AI61" s="122"/>
      <c r="AJ61" s="122"/>
      <c r="AK61" s="122"/>
      <c r="AL61" s="122"/>
      <c r="AM61" s="122"/>
      <c r="AN61" s="122"/>
      <c r="AO61" s="122"/>
      <c r="AP61" s="122"/>
      <c r="AQ61" s="122"/>
      <c r="AR61" s="122"/>
      <c r="AS61" s="122"/>
      <c r="AT61" s="122"/>
    </row>
    <row r="62" spans="13:46" ht="30" customHeight="1">
      <c r="M62" s="302"/>
      <c r="Z62" s="122"/>
      <c r="AA62" s="122"/>
      <c r="AB62" s="122"/>
      <c r="AC62" s="122"/>
      <c r="AD62" s="122"/>
      <c r="AE62" s="122"/>
      <c r="AF62" s="122"/>
      <c r="AG62" s="122"/>
      <c r="AH62" s="122"/>
      <c r="AI62" s="122"/>
      <c r="AJ62" s="122"/>
      <c r="AK62" s="122"/>
      <c r="AL62" s="122"/>
      <c r="AM62" s="122"/>
      <c r="AN62" s="122"/>
      <c r="AO62" s="122"/>
      <c r="AP62" s="122"/>
      <c r="AQ62" s="122"/>
      <c r="AR62" s="122"/>
      <c r="AS62" s="122"/>
      <c r="AT62" s="122"/>
    </row>
    <row r="63" spans="13:46" ht="30" customHeight="1">
      <c r="Z63" s="122"/>
      <c r="AA63" s="122"/>
      <c r="AB63" s="122"/>
      <c r="AC63" s="122"/>
      <c r="AD63" s="122"/>
      <c r="AE63" s="122"/>
      <c r="AF63" s="122"/>
      <c r="AG63" s="122"/>
      <c r="AH63" s="122"/>
      <c r="AI63" s="122"/>
      <c r="AJ63" s="122"/>
      <c r="AK63" s="122"/>
      <c r="AL63" s="122"/>
      <c r="AM63" s="122"/>
      <c r="AN63" s="122"/>
      <c r="AO63" s="122"/>
      <c r="AP63" s="122"/>
      <c r="AQ63" s="122"/>
      <c r="AR63" s="122"/>
      <c r="AS63" s="122"/>
      <c r="AT63" s="122"/>
    </row>
    <row r="64" spans="13:46" ht="30" customHeight="1">
      <c r="Z64" s="122"/>
      <c r="AA64" s="122"/>
      <c r="AB64" s="122"/>
      <c r="AC64" s="122"/>
      <c r="AD64" s="122"/>
      <c r="AE64" s="122"/>
      <c r="AF64" s="122"/>
      <c r="AG64" s="122"/>
      <c r="AH64" s="122"/>
      <c r="AI64" s="122"/>
      <c r="AJ64" s="122"/>
      <c r="AK64" s="122"/>
    </row>
    <row r="65" spans="26:37" ht="30" customHeight="1">
      <c r="Z65" s="122"/>
      <c r="AA65" s="122"/>
      <c r="AB65" s="122"/>
      <c r="AC65" s="122"/>
      <c r="AD65" s="122"/>
      <c r="AE65" s="122"/>
      <c r="AF65" s="122"/>
      <c r="AG65" s="122"/>
      <c r="AH65" s="122"/>
      <c r="AI65" s="122"/>
      <c r="AJ65" s="122"/>
      <c r="AK65" s="122"/>
    </row>
    <row r="66" spans="26:37" ht="30" customHeight="1">
      <c r="Z66" s="122"/>
      <c r="AA66" s="122"/>
      <c r="AB66" s="122"/>
      <c r="AC66" s="122"/>
      <c r="AD66" s="122"/>
      <c r="AE66" s="122"/>
      <c r="AF66" s="122"/>
      <c r="AG66" s="122"/>
      <c r="AH66" s="122"/>
      <c r="AI66" s="122"/>
      <c r="AJ66" s="122"/>
      <c r="AK66" s="122"/>
    </row>
    <row r="67" spans="26:37" ht="30" customHeight="1">
      <c r="Z67" s="122"/>
      <c r="AA67" s="122"/>
      <c r="AB67" s="122"/>
      <c r="AC67" s="122"/>
      <c r="AD67" s="122"/>
      <c r="AE67" s="122"/>
      <c r="AF67" s="122"/>
      <c r="AG67" s="122"/>
      <c r="AH67" s="122"/>
      <c r="AI67" s="122"/>
      <c r="AJ67" s="122"/>
      <c r="AK67" s="122"/>
    </row>
    <row r="68" spans="26:37" ht="30" customHeight="1">
      <c r="Z68" s="122"/>
      <c r="AA68" s="122"/>
      <c r="AB68" s="122"/>
      <c r="AC68" s="122"/>
      <c r="AD68" s="122"/>
      <c r="AE68" s="122"/>
      <c r="AF68" s="122"/>
      <c r="AG68" s="122"/>
      <c r="AH68" s="122"/>
      <c r="AI68" s="122"/>
      <c r="AJ68" s="122"/>
      <c r="AK68" s="122"/>
    </row>
    <row r="69" spans="26:37" ht="30" customHeight="1">
      <c r="Z69" s="122"/>
      <c r="AA69" s="122"/>
      <c r="AB69" s="122"/>
      <c r="AC69" s="122"/>
      <c r="AD69" s="122"/>
      <c r="AE69" s="122"/>
      <c r="AF69" s="122"/>
      <c r="AG69" s="122"/>
      <c r="AH69" s="122"/>
      <c r="AI69" s="122"/>
      <c r="AJ69" s="122"/>
      <c r="AK69" s="122"/>
    </row>
    <row r="70" spans="26:37" ht="30" customHeight="1">
      <c r="Z70" s="122"/>
      <c r="AA70" s="122"/>
      <c r="AB70" s="122"/>
      <c r="AC70" s="122"/>
      <c r="AD70" s="122"/>
      <c r="AE70" s="122"/>
      <c r="AF70" s="122"/>
      <c r="AG70" s="122"/>
      <c r="AH70" s="122"/>
      <c r="AI70" s="122"/>
      <c r="AJ70" s="122"/>
      <c r="AK70" s="122"/>
    </row>
    <row r="71" spans="26:37" ht="30" customHeight="1">
      <c r="Z71" s="122"/>
      <c r="AA71" s="122"/>
      <c r="AB71" s="122"/>
      <c r="AC71" s="122"/>
      <c r="AD71" s="122"/>
      <c r="AE71" s="122"/>
      <c r="AF71" s="122"/>
      <c r="AG71" s="122"/>
      <c r="AH71" s="122"/>
      <c r="AI71" s="122"/>
      <c r="AJ71" s="122"/>
      <c r="AK71" s="122"/>
    </row>
    <row r="72" spans="26:37" ht="30" customHeight="1">
      <c r="Z72" s="122"/>
      <c r="AA72" s="122"/>
      <c r="AB72" s="122"/>
      <c r="AC72" s="122"/>
      <c r="AD72" s="122"/>
      <c r="AE72" s="122"/>
      <c r="AF72" s="122"/>
      <c r="AG72" s="122"/>
      <c r="AH72" s="122"/>
      <c r="AI72" s="122"/>
      <c r="AJ72" s="122"/>
      <c r="AK72" s="122"/>
    </row>
    <row r="73" spans="26:37" ht="30" customHeight="1">
      <c r="Z73" s="122"/>
      <c r="AA73" s="122"/>
      <c r="AB73" s="122"/>
      <c r="AC73" s="122"/>
      <c r="AD73" s="122"/>
      <c r="AE73" s="122"/>
      <c r="AF73" s="122"/>
      <c r="AG73" s="122"/>
      <c r="AH73" s="122"/>
      <c r="AI73" s="122"/>
      <c r="AJ73" s="122"/>
      <c r="AK73" s="122"/>
    </row>
    <row r="74" spans="26:37" ht="30" customHeight="1">
      <c r="Z74" s="122"/>
      <c r="AA74" s="122"/>
      <c r="AB74" s="122"/>
      <c r="AC74" s="122"/>
      <c r="AD74" s="122"/>
      <c r="AE74" s="122"/>
      <c r="AF74" s="122"/>
      <c r="AG74" s="122"/>
      <c r="AH74" s="122"/>
      <c r="AI74" s="122"/>
      <c r="AJ74" s="122"/>
      <c r="AK74" s="122"/>
    </row>
    <row r="75" spans="26:37" ht="30" customHeight="1">
      <c r="Z75" s="122"/>
      <c r="AA75" s="122"/>
      <c r="AB75" s="122"/>
      <c r="AC75" s="122"/>
      <c r="AD75" s="122"/>
      <c r="AE75" s="122"/>
      <c r="AF75" s="122"/>
      <c r="AG75" s="122"/>
      <c r="AH75" s="122"/>
      <c r="AI75" s="122"/>
      <c r="AJ75" s="122"/>
      <c r="AK75" s="122"/>
    </row>
    <row r="76" spans="26:37" ht="30" customHeight="1">
      <c r="Z76" s="122"/>
      <c r="AA76" s="122"/>
      <c r="AB76" s="122"/>
      <c r="AC76" s="122"/>
      <c r="AD76" s="122"/>
      <c r="AE76" s="122"/>
      <c r="AF76" s="122"/>
      <c r="AG76" s="122"/>
      <c r="AH76" s="122"/>
      <c r="AI76" s="122"/>
      <c r="AJ76" s="122"/>
      <c r="AK76" s="122"/>
    </row>
    <row r="77" spans="26:37" ht="30" customHeight="1">
      <c r="Z77" s="122"/>
      <c r="AA77" s="122"/>
      <c r="AB77" s="122"/>
      <c r="AC77" s="122"/>
      <c r="AD77" s="122"/>
      <c r="AE77" s="122"/>
      <c r="AF77" s="122"/>
      <c r="AG77" s="122"/>
      <c r="AH77" s="122"/>
      <c r="AI77" s="122"/>
      <c r="AJ77" s="122"/>
      <c r="AK77" s="122"/>
    </row>
    <row r="78" spans="26:37" ht="30" customHeight="1">
      <c r="Z78" s="122"/>
      <c r="AA78" s="122"/>
      <c r="AB78" s="122"/>
      <c r="AC78" s="122"/>
      <c r="AD78" s="122"/>
      <c r="AE78" s="122"/>
      <c r="AF78" s="122"/>
      <c r="AG78" s="122"/>
      <c r="AH78" s="122"/>
      <c r="AI78" s="122"/>
      <c r="AJ78" s="122"/>
      <c r="AK78" s="122"/>
    </row>
    <row r="79" spans="26:37" ht="30" customHeight="1">
      <c r="Z79" s="122"/>
      <c r="AA79" s="122"/>
      <c r="AB79" s="122"/>
      <c r="AC79" s="122"/>
      <c r="AD79" s="122"/>
      <c r="AE79" s="122"/>
      <c r="AF79" s="122"/>
      <c r="AG79" s="122"/>
      <c r="AH79" s="122"/>
      <c r="AI79" s="122"/>
      <c r="AJ79" s="122"/>
      <c r="AK79" s="122"/>
    </row>
    <row r="80" spans="26:37" ht="30" customHeight="1">
      <c r="Z80" s="122"/>
      <c r="AA80" s="122"/>
      <c r="AB80" s="122"/>
      <c r="AC80" s="122"/>
      <c r="AD80" s="122"/>
      <c r="AE80" s="122"/>
      <c r="AF80" s="122"/>
      <c r="AG80" s="122"/>
      <c r="AH80" s="122"/>
      <c r="AI80" s="122"/>
      <c r="AJ80" s="122"/>
      <c r="AK80" s="122"/>
    </row>
    <row r="81" spans="26:37" ht="30" customHeight="1">
      <c r="Z81" s="122"/>
      <c r="AA81" s="122"/>
      <c r="AB81" s="122"/>
      <c r="AC81" s="122"/>
      <c r="AD81" s="122"/>
      <c r="AE81" s="122"/>
      <c r="AF81" s="122"/>
      <c r="AG81" s="122"/>
      <c r="AH81" s="122"/>
      <c r="AI81" s="122"/>
      <c r="AJ81" s="122"/>
      <c r="AK81" s="122"/>
    </row>
    <row r="82" spans="26:37" ht="30" customHeight="1">
      <c r="Z82" s="122"/>
      <c r="AA82" s="122"/>
      <c r="AB82" s="122"/>
      <c r="AC82" s="122"/>
      <c r="AD82" s="122"/>
      <c r="AE82" s="122"/>
      <c r="AF82" s="122"/>
      <c r="AG82" s="122"/>
      <c r="AH82" s="122"/>
      <c r="AI82" s="122"/>
      <c r="AJ82" s="122"/>
      <c r="AK82" s="122"/>
    </row>
    <row r="83" spans="26:37" ht="30" customHeight="1">
      <c r="Z83" s="122"/>
      <c r="AA83" s="122"/>
      <c r="AB83" s="122"/>
      <c r="AC83" s="122"/>
      <c r="AD83" s="122"/>
      <c r="AE83" s="122"/>
      <c r="AF83" s="122"/>
      <c r="AG83" s="122"/>
      <c r="AH83" s="122"/>
      <c r="AI83" s="122"/>
      <c r="AJ83" s="122"/>
      <c r="AK83" s="122"/>
    </row>
    <row r="84" spans="26:37" ht="30" customHeight="1">
      <c r="Z84" s="122"/>
      <c r="AA84" s="122"/>
      <c r="AB84" s="122"/>
      <c r="AC84" s="122"/>
      <c r="AD84" s="122"/>
      <c r="AE84" s="122"/>
      <c r="AF84" s="122"/>
      <c r="AG84" s="122"/>
      <c r="AH84" s="122"/>
      <c r="AI84" s="122"/>
      <c r="AJ84" s="122"/>
      <c r="AK84" s="122"/>
    </row>
    <row r="85" spans="26:37" ht="30" customHeight="1">
      <c r="Z85" s="122"/>
      <c r="AA85" s="122"/>
      <c r="AB85" s="122"/>
      <c r="AC85" s="122"/>
      <c r="AD85" s="122"/>
      <c r="AE85" s="122"/>
      <c r="AF85" s="122"/>
      <c r="AG85" s="122"/>
      <c r="AH85" s="122"/>
      <c r="AI85" s="122"/>
      <c r="AJ85" s="122"/>
      <c r="AK85" s="122"/>
    </row>
    <row r="86" spans="26:37" ht="30" customHeight="1">
      <c r="Z86" s="122"/>
      <c r="AA86" s="122"/>
      <c r="AB86" s="122"/>
      <c r="AC86" s="122"/>
      <c r="AD86" s="122"/>
      <c r="AE86" s="122"/>
      <c r="AF86" s="122"/>
      <c r="AG86" s="122"/>
      <c r="AH86" s="122"/>
      <c r="AI86" s="122"/>
      <c r="AJ86" s="122"/>
      <c r="AK86" s="122"/>
    </row>
    <row r="87" spans="26:37" ht="30" customHeight="1">
      <c r="Z87" s="122"/>
      <c r="AA87" s="122"/>
      <c r="AB87" s="122"/>
      <c r="AC87" s="122"/>
      <c r="AD87" s="122"/>
      <c r="AE87" s="122"/>
      <c r="AF87" s="122"/>
      <c r="AG87" s="122"/>
      <c r="AH87" s="122"/>
      <c r="AI87" s="122"/>
      <c r="AJ87" s="122"/>
      <c r="AK87" s="122"/>
    </row>
    <row r="88" spans="26:37" ht="30" customHeight="1">
      <c r="Z88" s="122"/>
      <c r="AA88" s="122"/>
      <c r="AB88" s="122"/>
      <c r="AC88" s="122"/>
      <c r="AD88" s="122"/>
      <c r="AE88" s="122"/>
      <c r="AF88" s="122"/>
      <c r="AG88" s="122"/>
      <c r="AH88" s="122"/>
      <c r="AI88" s="122"/>
      <c r="AJ88" s="122"/>
      <c r="AK88" s="122"/>
    </row>
    <row r="89" spans="26:37" ht="30" customHeight="1">
      <c r="Z89" s="122"/>
      <c r="AA89" s="122"/>
      <c r="AB89" s="122"/>
      <c r="AC89" s="122"/>
      <c r="AD89" s="122"/>
      <c r="AE89" s="122"/>
      <c r="AF89" s="122"/>
      <c r="AG89" s="122"/>
      <c r="AH89" s="122"/>
      <c r="AI89" s="122"/>
      <c r="AJ89" s="122"/>
      <c r="AK89" s="122"/>
    </row>
    <row r="90" spans="26:37" ht="30" customHeight="1">
      <c r="Z90" s="122"/>
      <c r="AA90" s="122"/>
      <c r="AB90" s="122"/>
      <c r="AC90" s="122"/>
      <c r="AD90" s="122"/>
      <c r="AE90" s="122"/>
      <c r="AF90" s="122"/>
      <c r="AG90" s="122"/>
      <c r="AH90" s="122"/>
      <c r="AI90" s="122"/>
      <c r="AJ90" s="122"/>
      <c r="AK90" s="122"/>
    </row>
    <row r="91" spans="26:37" ht="30" customHeight="1">
      <c r="Z91" s="122"/>
      <c r="AA91" s="122"/>
      <c r="AB91" s="122"/>
      <c r="AC91" s="122"/>
      <c r="AD91" s="122"/>
      <c r="AE91" s="122"/>
      <c r="AF91" s="122"/>
      <c r="AG91" s="122"/>
      <c r="AH91" s="122"/>
      <c r="AI91" s="122"/>
      <c r="AJ91" s="122"/>
      <c r="AK91" s="122"/>
    </row>
    <row r="92" spans="26:37" ht="30" customHeight="1">
      <c r="Z92" s="122"/>
      <c r="AA92" s="122"/>
      <c r="AB92" s="122"/>
      <c r="AC92" s="122"/>
      <c r="AD92" s="122"/>
      <c r="AE92" s="122"/>
      <c r="AF92" s="122"/>
      <c r="AG92" s="122"/>
      <c r="AH92" s="122"/>
      <c r="AI92" s="122"/>
      <c r="AJ92" s="122"/>
      <c r="AK92" s="122"/>
    </row>
    <row r="93" spans="26:37" ht="30" customHeight="1">
      <c r="Z93" s="122"/>
      <c r="AA93" s="122"/>
      <c r="AB93" s="122"/>
      <c r="AC93" s="122"/>
      <c r="AD93" s="122"/>
      <c r="AE93" s="122"/>
      <c r="AF93" s="122"/>
      <c r="AG93" s="122"/>
      <c r="AH93" s="122"/>
      <c r="AI93" s="122"/>
      <c r="AJ93" s="122"/>
      <c r="AK93" s="122"/>
    </row>
    <row r="94" spans="26:37" ht="30" customHeight="1">
      <c r="Z94" s="122"/>
      <c r="AA94" s="122"/>
      <c r="AB94" s="122"/>
      <c r="AC94" s="122"/>
      <c r="AD94" s="122"/>
      <c r="AE94" s="122"/>
      <c r="AF94" s="122"/>
      <c r="AG94" s="122"/>
      <c r="AH94" s="122"/>
      <c r="AI94" s="122"/>
      <c r="AJ94" s="122"/>
      <c r="AK94" s="122"/>
    </row>
    <row r="95" spans="26:37" ht="30" customHeight="1">
      <c r="Z95" s="122"/>
      <c r="AA95" s="122"/>
      <c r="AB95" s="122"/>
      <c r="AC95" s="122"/>
      <c r="AD95" s="122"/>
      <c r="AE95" s="122"/>
      <c r="AF95" s="122"/>
      <c r="AG95" s="122"/>
      <c r="AH95" s="122"/>
      <c r="AI95" s="122"/>
      <c r="AJ95" s="122"/>
      <c r="AK95" s="122"/>
    </row>
    <row r="96" spans="26:37" ht="30" customHeight="1">
      <c r="Z96" s="122"/>
      <c r="AA96" s="122"/>
      <c r="AB96" s="122"/>
      <c r="AC96" s="122"/>
      <c r="AD96" s="122"/>
      <c r="AE96" s="122"/>
      <c r="AF96" s="122"/>
      <c r="AG96" s="122"/>
      <c r="AH96" s="122"/>
      <c r="AI96" s="122"/>
      <c r="AJ96" s="122"/>
      <c r="AK96" s="122"/>
    </row>
    <row r="97" spans="26:37" ht="30" customHeight="1">
      <c r="Z97" s="122"/>
      <c r="AA97" s="122"/>
      <c r="AB97" s="122"/>
      <c r="AC97" s="122"/>
      <c r="AD97" s="122"/>
      <c r="AE97" s="122"/>
      <c r="AF97" s="122"/>
      <c r="AG97" s="122"/>
      <c r="AH97" s="122"/>
      <c r="AI97" s="122"/>
      <c r="AJ97" s="122"/>
      <c r="AK97" s="122"/>
    </row>
    <row r="98" spans="26:37" ht="30" customHeight="1">
      <c r="Z98" s="122"/>
      <c r="AA98" s="122"/>
      <c r="AB98" s="122"/>
      <c r="AC98" s="122"/>
      <c r="AD98" s="122"/>
      <c r="AE98" s="122"/>
      <c r="AF98" s="122"/>
      <c r="AG98" s="122"/>
      <c r="AH98" s="122"/>
      <c r="AI98" s="122"/>
      <c r="AJ98" s="122"/>
      <c r="AK98" s="122"/>
    </row>
    <row r="99" spans="26:37" ht="30" customHeight="1">
      <c r="Z99" s="122"/>
      <c r="AA99" s="122"/>
      <c r="AB99" s="122"/>
      <c r="AC99" s="122"/>
      <c r="AD99" s="122"/>
      <c r="AE99" s="122"/>
      <c r="AF99" s="122"/>
      <c r="AG99" s="122"/>
      <c r="AH99" s="122"/>
      <c r="AI99" s="122"/>
      <c r="AJ99" s="122"/>
      <c r="AK99" s="122"/>
    </row>
    <row r="100" spans="26:37" ht="30" customHeight="1">
      <c r="Z100" s="122"/>
      <c r="AA100" s="122"/>
      <c r="AB100" s="122"/>
      <c r="AC100" s="122"/>
      <c r="AD100" s="122"/>
      <c r="AE100" s="122"/>
      <c r="AF100" s="122"/>
      <c r="AG100" s="122"/>
      <c r="AH100" s="122"/>
      <c r="AI100" s="122"/>
      <c r="AJ100" s="122"/>
      <c r="AK100" s="122"/>
    </row>
    <row r="101" spans="26:37" ht="30" customHeight="1">
      <c r="Z101" s="122"/>
      <c r="AA101" s="122"/>
      <c r="AB101" s="122"/>
      <c r="AC101" s="122"/>
      <c r="AD101" s="122"/>
      <c r="AE101" s="122"/>
      <c r="AF101" s="122"/>
      <c r="AG101" s="122"/>
      <c r="AH101" s="122"/>
      <c r="AI101" s="122"/>
      <c r="AJ101" s="122"/>
      <c r="AK101" s="122"/>
    </row>
    <row r="102" spans="26:37" ht="30" customHeight="1">
      <c r="Z102" s="122"/>
      <c r="AA102" s="122"/>
      <c r="AB102" s="122"/>
      <c r="AC102" s="122"/>
      <c r="AD102" s="122"/>
      <c r="AE102" s="122"/>
      <c r="AF102" s="122"/>
      <c r="AG102" s="122"/>
      <c r="AH102" s="122"/>
      <c r="AI102" s="122"/>
      <c r="AJ102" s="122"/>
      <c r="AK102" s="122"/>
    </row>
    <row r="103" spans="26:37" ht="30" customHeight="1">
      <c r="Z103" s="122"/>
      <c r="AA103" s="122"/>
      <c r="AB103" s="122"/>
      <c r="AC103" s="122"/>
      <c r="AD103" s="122"/>
      <c r="AE103" s="122"/>
      <c r="AF103" s="122"/>
      <c r="AG103" s="122"/>
      <c r="AH103" s="122"/>
      <c r="AI103" s="122"/>
      <c r="AJ103" s="122"/>
      <c r="AK103" s="122"/>
    </row>
    <row r="104" spans="26:37" ht="30" customHeight="1">
      <c r="Z104" s="122"/>
      <c r="AA104" s="122"/>
      <c r="AB104" s="122"/>
      <c r="AC104" s="122"/>
      <c r="AD104" s="122"/>
      <c r="AE104" s="122"/>
      <c r="AF104" s="122"/>
      <c r="AG104" s="122"/>
      <c r="AH104" s="122"/>
      <c r="AI104" s="122"/>
      <c r="AJ104" s="122"/>
      <c r="AK104" s="122"/>
    </row>
    <row r="105" spans="26:37" ht="30" customHeight="1">
      <c r="Z105" s="122"/>
      <c r="AA105" s="122"/>
      <c r="AB105" s="122"/>
      <c r="AC105" s="122"/>
      <c r="AD105" s="122"/>
      <c r="AE105" s="122"/>
      <c r="AF105" s="122"/>
      <c r="AG105" s="122"/>
      <c r="AH105" s="122"/>
      <c r="AI105" s="122"/>
      <c r="AJ105" s="122"/>
      <c r="AK105" s="122"/>
    </row>
    <row r="106" spans="26:37" ht="30" customHeight="1">
      <c r="Z106" s="122"/>
      <c r="AA106" s="122"/>
      <c r="AB106" s="122"/>
      <c r="AC106" s="122"/>
      <c r="AD106" s="122"/>
      <c r="AE106" s="122"/>
      <c r="AF106" s="122"/>
      <c r="AG106" s="122"/>
      <c r="AH106" s="122"/>
      <c r="AI106" s="122"/>
      <c r="AJ106" s="122"/>
      <c r="AK106" s="122"/>
    </row>
    <row r="107" spans="26:37" ht="30" customHeight="1">
      <c r="Z107" s="122"/>
      <c r="AA107" s="122"/>
      <c r="AB107" s="122"/>
      <c r="AC107" s="122"/>
      <c r="AD107" s="122"/>
      <c r="AE107" s="122"/>
      <c r="AF107" s="122"/>
      <c r="AG107" s="122"/>
      <c r="AH107" s="122"/>
      <c r="AI107" s="122"/>
      <c r="AJ107" s="122"/>
      <c r="AK107" s="122"/>
    </row>
    <row r="108" spans="26:37" ht="30" customHeight="1">
      <c r="Z108" s="122"/>
      <c r="AA108" s="122"/>
      <c r="AB108" s="122"/>
      <c r="AC108" s="122"/>
      <c r="AD108" s="122"/>
      <c r="AE108" s="122"/>
      <c r="AF108" s="122"/>
      <c r="AG108" s="122"/>
      <c r="AH108" s="122"/>
      <c r="AI108" s="122"/>
      <c r="AJ108" s="122"/>
      <c r="AK108" s="122"/>
    </row>
    <row r="109" spans="26:37" ht="30" customHeight="1">
      <c r="Z109" s="122"/>
      <c r="AA109" s="122"/>
      <c r="AB109" s="122"/>
      <c r="AC109" s="122"/>
      <c r="AD109" s="122"/>
      <c r="AE109" s="122"/>
      <c r="AF109" s="122"/>
      <c r="AG109" s="122"/>
      <c r="AH109" s="122"/>
      <c r="AI109" s="122"/>
      <c r="AJ109" s="122"/>
      <c r="AK109" s="122"/>
    </row>
    <row r="110" spans="26:37" ht="30" customHeight="1">
      <c r="Z110" s="122"/>
      <c r="AA110" s="122"/>
      <c r="AB110" s="122"/>
      <c r="AC110" s="122"/>
      <c r="AD110" s="122"/>
      <c r="AE110" s="122"/>
      <c r="AF110" s="122"/>
      <c r="AG110" s="122"/>
      <c r="AH110" s="122"/>
      <c r="AI110" s="122"/>
      <c r="AJ110" s="122"/>
      <c r="AK110" s="122"/>
    </row>
    <row r="111" spans="26:37" ht="30" customHeight="1">
      <c r="Z111" s="122"/>
      <c r="AA111" s="122"/>
      <c r="AB111" s="122"/>
      <c r="AC111" s="122"/>
      <c r="AD111" s="122"/>
      <c r="AE111" s="122"/>
      <c r="AF111" s="122"/>
      <c r="AG111" s="122"/>
      <c r="AH111" s="122"/>
      <c r="AI111" s="122"/>
      <c r="AJ111" s="122"/>
      <c r="AK111" s="122"/>
    </row>
    <row r="112" spans="26:37" ht="30" customHeight="1">
      <c r="Z112" s="122"/>
      <c r="AA112" s="122"/>
      <c r="AB112" s="122"/>
      <c r="AC112" s="122"/>
      <c r="AD112" s="122"/>
      <c r="AE112" s="122"/>
      <c r="AF112" s="122"/>
      <c r="AG112" s="122"/>
      <c r="AH112" s="122"/>
      <c r="AI112" s="122"/>
      <c r="AJ112" s="122"/>
      <c r="AK112" s="122"/>
    </row>
    <row r="113" spans="26:37" ht="30" customHeight="1">
      <c r="Z113" s="122"/>
      <c r="AA113" s="122"/>
      <c r="AB113" s="122"/>
      <c r="AC113" s="122"/>
      <c r="AD113" s="122"/>
      <c r="AE113" s="122"/>
      <c r="AF113" s="122"/>
      <c r="AG113" s="122"/>
      <c r="AH113" s="122"/>
      <c r="AI113" s="122"/>
      <c r="AJ113" s="122"/>
      <c r="AK113" s="122"/>
    </row>
    <row r="114" spans="26:37" ht="30" customHeight="1">
      <c r="Z114" s="122"/>
      <c r="AA114" s="122"/>
      <c r="AB114" s="122"/>
      <c r="AC114" s="122"/>
      <c r="AD114" s="122"/>
      <c r="AE114" s="122"/>
      <c r="AF114" s="122"/>
      <c r="AG114" s="122"/>
      <c r="AH114" s="122"/>
      <c r="AI114" s="122"/>
      <c r="AJ114" s="122"/>
      <c r="AK114" s="122"/>
    </row>
    <row r="115" spans="26:37" ht="30" customHeight="1">
      <c r="Z115" s="122"/>
      <c r="AA115" s="122"/>
      <c r="AB115" s="122"/>
      <c r="AC115" s="122"/>
      <c r="AD115" s="122"/>
      <c r="AE115" s="122"/>
      <c r="AF115" s="122"/>
      <c r="AG115" s="122"/>
      <c r="AH115" s="122"/>
      <c r="AI115" s="122"/>
      <c r="AJ115" s="122"/>
      <c r="AK115" s="122"/>
    </row>
    <row r="116" spans="26:37" ht="30" customHeight="1">
      <c r="Z116" s="122"/>
      <c r="AA116" s="122"/>
      <c r="AB116" s="122"/>
      <c r="AC116" s="122"/>
      <c r="AD116" s="122"/>
      <c r="AE116" s="122"/>
      <c r="AF116" s="122"/>
      <c r="AG116" s="122"/>
      <c r="AH116" s="122"/>
      <c r="AI116" s="122"/>
      <c r="AJ116" s="122"/>
      <c r="AK116" s="122"/>
    </row>
    <row r="117" spans="26:37" ht="30" customHeight="1">
      <c r="Z117" s="122"/>
      <c r="AA117" s="122"/>
      <c r="AB117" s="122"/>
      <c r="AC117" s="122"/>
      <c r="AD117" s="122"/>
      <c r="AE117" s="122"/>
      <c r="AF117" s="122"/>
      <c r="AG117" s="122"/>
      <c r="AH117" s="122"/>
      <c r="AI117" s="122"/>
      <c r="AJ117" s="122"/>
      <c r="AK117" s="122"/>
    </row>
    <row r="118" spans="26:37" ht="30" customHeight="1">
      <c r="Z118" s="122"/>
      <c r="AA118" s="122"/>
      <c r="AB118" s="122"/>
      <c r="AC118" s="122"/>
      <c r="AD118" s="122"/>
      <c r="AE118" s="122"/>
      <c r="AF118" s="122"/>
      <c r="AG118" s="122"/>
      <c r="AH118" s="122"/>
      <c r="AI118" s="122"/>
      <c r="AJ118" s="122"/>
      <c r="AK118" s="122"/>
    </row>
    <row r="119" spans="26:37" ht="30" customHeight="1">
      <c r="Z119" s="122"/>
      <c r="AA119" s="122"/>
      <c r="AB119" s="122"/>
      <c r="AC119" s="122"/>
      <c r="AD119" s="122"/>
      <c r="AE119" s="122"/>
      <c r="AF119" s="122"/>
      <c r="AG119" s="122"/>
      <c r="AH119" s="122"/>
      <c r="AI119" s="122"/>
      <c r="AJ119" s="122"/>
      <c r="AK119" s="122"/>
    </row>
    <row r="120" spans="26:37" ht="30" customHeight="1">
      <c r="Z120" s="122"/>
      <c r="AA120" s="122"/>
      <c r="AB120" s="122"/>
      <c r="AC120" s="122"/>
      <c r="AD120" s="122"/>
      <c r="AE120" s="122"/>
      <c r="AF120" s="122"/>
      <c r="AG120" s="122"/>
      <c r="AH120" s="122"/>
      <c r="AI120" s="122"/>
      <c r="AJ120" s="122"/>
      <c r="AK120" s="122"/>
    </row>
    <row r="121" spans="26:37" ht="30" customHeight="1">
      <c r="Z121" s="122"/>
      <c r="AA121" s="122"/>
      <c r="AB121" s="122"/>
      <c r="AC121" s="122"/>
      <c r="AD121" s="122"/>
      <c r="AE121" s="122"/>
      <c r="AF121" s="122"/>
      <c r="AG121" s="122"/>
      <c r="AH121" s="122"/>
      <c r="AI121" s="122"/>
      <c r="AJ121" s="122"/>
      <c r="AK121" s="122"/>
    </row>
    <row r="122" spans="26:37" ht="30" customHeight="1">
      <c r="Z122" s="122"/>
      <c r="AA122" s="122"/>
      <c r="AB122" s="122"/>
      <c r="AC122" s="122"/>
      <c r="AD122" s="122"/>
      <c r="AE122" s="122"/>
      <c r="AF122" s="122"/>
      <c r="AG122" s="122"/>
      <c r="AH122" s="122"/>
      <c r="AI122" s="122"/>
      <c r="AJ122" s="122"/>
      <c r="AK122" s="122"/>
    </row>
    <row r="123" spans="26:37" ht="30" customHeight="1">
      <c r="Z123" s="122"/>
      <c r="AA123" s="122"/>
      <c r="AB123" s="122"/>
      <c r="AC123" s="122"/>
      <c r="AD123" s="122"/>
      <c r="AE123" s="122"/>
      <c r="AF123" s="122"/>
      <c r="AG123" s="122"/>
      <c r="AH123" s="122"/>
      <c r="AI123" s="122"/>
      <c r="AJ123" s="122"/>
      <c r="AK123" s="122"/>
    </row>
    <row r="124" spans="26:37" ht="30" customHeight="1">
      <c r="Z124" s="122"/>
      <c r="AA124" s="122"/>
      <c r="AB124" s="122"/>
      <c r="AC124" s="122"/>
      <c r="AD124" s="122"/>
      <c r="AE124" s="122"/>
      <c r="AF124" s="122"/>
      <c r="AG124" s="122"/>
      <c r="AH124" s="122"/>
      <c r="AI124" s="122"/>
      <c r="AJ124" s="122"/>
      <c r="AK124" s="122"/>
    </row>
    <row r="125" spans="26:37" ht="30" customHeight="1">
      <c r="Z125" s="122"/>
      <c r="AA125" s="122"/>
      <c r="AB125" s="122"/>
      <c r="AC125" s="122"/>
      <c r="AD125" s="122"/>
      <c r="AE125" s="122"/>
      <c r="AF125" s="122"/>
      <c r="AG125" s="122"/>
      <c r="AH125" s="122"/>
      <c r="AI125" s="122"/>
      <c r="AJ125" s="122"/>
      <c r="AK125" s="122"/>
    </row>
    <row r="126" spans="26:37" ht="30" customHeight="1">
      <c r="Z126" s="122"/>
      <c r="AA126" s="122"/>
      <c r="AB126" s="122"/>
      <c r="AC126" s="122"/>
      <c r="AD126" s="122"/>
      <c r="AE126" s="122"/>
      <c r="AF126" s="122"/>
      <c r="AG126" s="122"/>
      <c r="AH126" s="122"/>
      <c r="AI126" s="122"/>
      <c r="AJ126" s="122"/>
      <c r="AK126" s="122"/>
    </row>
    <row r="127" spans="26:37" ht="30" customHeight="1">
      <c r="Z127" s="122"/>
      <c r="AA127" s="122"/>
      <c r="AB127" s="122"/>
      <c r="AC127" s="122"/>
      <c r="AD127" s="122"/>
      <c r="AE127" s="122"/>
      <c r="AF127" s="122"/>
      <c r="AG127" s="122"/>
      <c r="AH127" s="122"/>
      <c r="AI127" s="122"/>
      <c r="AJ127" s="122"/>
      <c r="AK127" s="122"/>
    </row>
    <row r="128" spans="26:37" ht="30" customHeight="1">
      <c r="Z128" s="122"/>
      <c r="AA128" s="122"/>
      <c r="AB128" s="122"/>
      <c r="AC128" s="122"/>
      <c r="AD128" s="122"/>
      <c r="AE128" s="122"/>
      <c r="AF128" s="122"/>
      <c r="AG128" s="122"/>
      <c r="AH128" s="122"/>
      <c r="AI128" s="122"/>
      <c r="AJ128" s="122"/>
      <c r="AK128" s="122"/>
    </row>
    <row r="129" spans="26:37" ht="30" customHeight="1">
      <c r="Z129" s="122"/>
      <c r="AA129" s="122"/>
      <c r="AB129" s="122"/>
      <c r="AC129" s="122"/>
      <c r="AD129" s="122"/>
      <c r="AE129" s="122"/>
      <c r="AF129" s="122"/>
      <c r="AG129" s="122"/>
      <c r="AH129" s="122"/>
      <c r="AI129" s="122"/>
      <c r="AJ129" s="122"/>
      <c r="AK129" s="122"/>
    </row>
    <row r="130" spans="26:37" ht="30" customHeight="1">
      <c r="Z130" s="122"/>
      <c r="AA130" s="122"/>
      <c r="AB130" s="122"/>
      <c r="AC130" s="122"/>
      <c r="AD130" s="122"/>
      <c r="AE130" s="122"/>
      <c r="AF130" s="122"/>
      <c r="AG130" s="122"/>
      <c r="AH130" s="122"/>
      <c r="AI130" s="122"/>
      <c r="AJ130" s="122"/>
      <c r="AK130" s="122"/>
    </row>
    <row r="131" spans="26:37" ht="30" customHeight="1">
      <c r="Z131" s="122"/>
      <c r="AA131" s="122"/>
      <c r="AB131" s="122"/>
      <c r="AC131" s="122"/>
      <c r="AD131" s="122"/>
      <c r="AE131" s="122"/>
      <c r="AF131" s="122"/>
      <c r="AG131" s="122"/>
      <c r="AH131" s="122"/>
      <c r="AI131" s="122"/>
      <c r="AJ131" s="122"/>
      <c r="AK131" s="122"/>
    </row>
    <row r="132" spans="26:37" ht="30" customHeight="1">
      <c r="Z132" s="122"/>
      <c r="AA132" s="122"/>
      <c r="AB132" s="122"/>
      <c r="AC132" s="122"/>
      <c r="AD132" s="122"/>
      <c r="AE132" s="122"/>
      <c r="AF132" s="122"/>
      <c r="AG132" s="122"/>
      <c r="AH132" s="122"/>
      <c r="AI132" s="122"/>
      <c r="AJ132" s="122"/>
      <c r="AK132" s="122"/>
    </row>
    <row r="133" spans="26:37" ht="30" customHeight="1">
      <c r="Z133" s="122"/>
      <c r="AA133" s="122"/>
      <c r="AB133" s="122"/>
      <c r="AC133" s="122"/>
      <c r="AD133" s="122"/>
      <c r="AE133" s="122"/>
      <c r="AF133" s="122"/>
      <c r="AG133" s="122"/>
      <c r="AH133" s="122"/>
      <c r="AI133" s="122"/>
      <c r="AJ133" s="122"/>
      <c r="AK133" s="122"/>
    </row>
    <row r="134" spans="26:37" ht="30" customHeight="1">
      <c r="Z134" s="122"/>
      <c r="AA134" s="122"/>
      <c r="AB134" s="122"/>
      <c r="AC134" s="122"/>
      <c r="AD134" s="122"/>
      <c r="AE134" s="122"/>
      <c r="AF134" s="122"/>
      <c r="AG134" s="122"/>
      <c r="AH134" s="122"/>
      <c r="AI134" s="122"/>
      <c r="AJ134" s="122"/>
      <c r="AK134" s="122"/>
    </row>
    <row r="135" spans="26:37" ht="30" customHeight="1">
      <c r="Z135" s="122"/>
      <c r="AA135" s="122"/>
      <c r="AB135" s="122"/>
      <c r="AC135" s="122"/>
      <c r="AD135" s="122"/>
      <c r="AE135" s="122"/>
      <c r="AF135" s="122"/>
      <c r="AG135" s="122"/>
      <c r="AH135" s="122"/>
      <c r="AI135" s="122"/>
      <c r="AJ135" s="122"/>
      <c r="AK135" s="122"/>
    </row>
    <row r="136" spans="26:37" ht="30" customHeight="1">
      <c r="Z136" s="122"/>
      <c r="AA136" s="122"/>
      <c r="AB136" s="122"/>
      <c r="AC136" s="122"/>
      <c r="AD136" s="122"/>
      <c r="AE136" s="122"/>
      <c r="AF136" s="122"/>
      <c r="AG136" s="122"/>
      <c r="AH136" s="122"/>
      <c r="AI136" s="122"/>
      <c r="AJ136" s="122"/>
      <c r="AK136" s="122"/>
    </row>
    <row r="137" spans="26:37" ht="30" customHeight="1">
      <c r="Z137" s="122"/>
      <c r="AA137" s="122"/>
      <c r="AB137" s="122"/>
      <c r="AC137" s="122"/>
      <c r="AD137" s="122"/>
      <c r="AE137" s="122"/>
      <c r="AF137" s="122"/>
      <c r="AG137" s="122"/>
      <c r="AH137" s="122"/>
      <c r="AI137" s="122"/>
      <c r="AJ137" s="122"/>
      <c r="AK137" s="122"/>
    </row>
    <row r="138" spans="26:37" ht="30" customHeight="1">
      <c r="Z138" s="122"/>
      <c r="AA138" s="122"/>
      <c r="AB138" s="122"/>
      <c r="AC138" s="122"/>
      <c r="AD138" s="122"/>
      <c r="AE138" s="122"/>
      <c r="AF138" s="122"/>
      <c r="AG138" s="122"/>
      <c r="AH138" s="122"/>
      <c r="AI138" s="122"/>
      <c r="AJ138" s="122"/>
      <c r="AK138" s="122"/>
    </row>
    <row r="139" spans="26:37" ht="30" customHeight="1">
      <c r="Z139" s="122"/>
      <c r="AA139" s="122"/>
      <c r="AB139" s="122"/>
      <c r="AC139" s="122"/>
      <c r="AD139" s="122"/>
      <c r="AE139" s="122"/>
      <c r="AF139" s="122"/>
      <c r="AG139" s="122"/>
      <c r="AH139" s="122"/>
      <c r="AI139" s="122"/>
      <c r="AJ139" s="122"/>
      <c r="AK139" s="122"/>
    </row>
    <row r="140" spans="26:37" ht="30" customHeight="1">
      <c r="Z140" s="122"/>
      <c r="AA140" s="122"/>
      <c r="AB140" s="122"/>
      <c r="AC140" s="122"/>
      <c r="AD140" s="122"/>
      <c r="AE140" s="122"/>
      <c r="AF140" s="122"/>
      <c r="AG140" s="122"/>
      <c r="AH140" s="122"/>
      <c r="AI140" s="122"/>
      <c r="AJ140" s="122"/>
      <c r="AK140" s="122"/>
    </row>
    <row r="141" spans="26:37" ht="30" customHeight="1">
      <c r="Z141" s="122"/>
      <c r="AA141" s="122"/>
      <c r="AB141" s="122"/>
      <c r="AC141" s="122"/>
      <c r="AD141" s="122"/>
      <c r="AE141" s="122"/>
      <c r="AF141" s="122"/>
      <c r="AG141" s="122"/>
      <c r="AH141" s="122"/>
      <c r="AI141" s="122"/>
      <c r="AJ141" s="122"/>
      <c r="AK141" s="122"/>
    </row>
    <row r="142" spans="26:37" ht="30" customHeight="1">
      <c r="Z142" s="122"/>
      <c r="AA142" s="122"/>
      <c r="AB142" s="122"/>
      <c r="AC142" s="122"/>
      <c r="AD142" s="122"/>
      <c r="AE142" s="122"/>
      <c r="AF142" s="122"/>
      <c r="AG142" s="122"/>
      <c r="AH142" s="122"/>
      <c r="AI142" s="122"/>
      <c r="AJ142" s="122"/>
      <c r="AK142" s="122"/>
    </row>
    <row r="143" spans="26:37" ht="30" customHeight="1">
      <c r="Z143" s="122"/>
      <c r="AA143" s="122"/>
      <c r="AB143" s="122"/>
      <c r="AC143" s="122"/>
      <c r="AD143" s="122"/>
      <c r="AE143" s="122"/>
      <c r="AF143" s="122"/>
      <c r="AG143" s="122"/>
      <c r="AH143" s="122"/>
      <c r="AI143" s="122"/>
      <c r="AJ143" s="122"/>
      <c r="AK143" s="122"/>
    </row>
    <row r="144" spans="26:37" ht="30" customHeight="1">
      <c r="Z144" s="122"/>
      <c r="AA144" s="122"/>
      <c r="AB144" s="122"/>
      <c r="AC144" s="122"/>
      <c r="AD144" s="122"/>
      <c r="AE144" s="122"/>
      <c r="AF144" s="122"/>
      <c r="AG144" s="122"/>
      <c r="AH144" s="122"/>
      <c r="AI144" s="122"/>
      <c r="AJ144" s="122"/>
      <c r="AK144" s="122"/>
    </row>
    <row r="145" spans="26:37" ht="30" customHeight="1">
      <c r="Z145" s="122"/>
      <c r="AA145" s="122"/>
      <c r="AB145" s="122"/>
      <c r="AC145" s="122"/>
      <c r="AD145" s="122"/>
      <c r="AE145" s="122"/>
      <c r="AF145" s="122"/>
      <c r="AG145" s="122"/>
      <c r="AH145" s="122"/>
      <c r="AI145" s="122"/>
      <c r="AJ145" s="122"/>
      <c r="AK145" s="122"/>
    </row>
    <row r="146" spans="26:37" ht="30" customHeight="1">
      <c r="Z146" s="122"/>
      <c r="AA146" s="122"/>
      <c r="AB146" s="122"/>
      <c r="AC146" s="122"/>
      <c r="AD146" s="122"/>
      <c r="AE146" s="122"/>
      <c r="AF146" s="122"/>
      <c r="AG146" s="122"/>
      <c r="AH146" s="122"/>
      <c r="AI146" s="122"/>
      <c r="AJ146" s="122"/>
      <c r="AK146" s="122"/>
    </row>
    <row r="147" spans="26:37" ht="30" customHeight="1">
      <c r="Z147" s="122"/>
      <c r="AA147" s="122"/>
      <c r="AB147" s="122"/>
      <c r="AC147" s="122"/>
      <c r="AD147" s="122"/>
      <c r="AE147" s="122"/>
      <c r="AF147" s="122"/>
      <c r="AG147" s="122"/>
      <c r="AH147" s="122"/>
      <c r="AI147" s="122"/>
      <c r="AJ147" s="122"/>
      <c r="AK147" s="122"/>
    </row>
    <row r="148" spans="26:37" ht="30" customHeight="1">
      <c r="Z148" s="122"/>
      <c r="AA148" s="122"/>
      <c r="AB148" s="122"/>
      <c r="AC148" s="122"/>
      <c r="AD148" s="122"/>
      <c r="AE148" s="122"/>
      <c r="AF148" s="122"/>
      <c r="AG148" s="122"/>
      <c r="AH148" s="122"/>
      <c r="AI148" s="122"/>
      <c r="AJ148" s="122"/>
      <c r="AK148" s="122"/>
    </row>
    <row r="149" spans="26:37" ht="30" customHeight="1">
      <c r="Z149" s="122"/>
      <c r="AA149" s="122"/>
      <c r="AB149" s="122"/>
      <c r="AC149" s="122"/>
      <c r="AD149" s="122"/>
      <c r="AE149" s="122"/>
      <c r="AF149" s="122"/>
      <c r="AG149" s="122"/>
      <c r="AH149" s="122"/>
      <c r="AI149" s="122"/>
      <c r="AJ149" s="122"/>
      <c r="AK149" s="122"/>
    </row>
    <row r="150" spans="26:37" ht="30" customHeight="1">
      <c r="Z150" s="122"/>
      <c r="AA150" s="122"/>
      <c r="AB150" s="122"/>
      <c r="AC150" s="122"/>
      <c r="AD150" s="122"/>
      <c r="AE150" s="122"/>
      <c r="AF150" s="122"/>
      <c r="AG150" s="122"/>
      <c r="AH150" s="122"/>
      <c r="AI150" s="122"/>
      <c r="AJ150" s="122"/>
      <c r="AK150" s="122"/>
    </row>
    <row r="151" spans="26:37" ht="30" customHeight="1">
      <c r="Z151" s="122"/>
      <c r="AA151" s="122"/>
      <c r="AB151" s="122"/>
      <c r="AC151" s="122"/>
      <c r="AD151" s="122"/>
      <c r="AE151" s="122"/>
      <c r="AF151" s="122"/>
      <c r="AG151" s="122"/>
      <c r="AH151" s="122"/>
      <c r="AI151" s="122"/>
      <c r="AJ151" s="122"/>
      <c r="AK151" s="122"/>
    </row>
    <row r="152" spans="26:37" ht="30" customHeight="1">
      <c r="Z152" s="122"/>
      <c r="AA152" s="122"/>
      <c r="AB152" s="122"/>
      <c r="AC152" s="122"/>
      <c r="AD152" s="122"/>
      <c r="AE152" s="122"/>
      <c r="AF152" s="122"/>
      <c r="AG152" s="122"/>
      <c r="AH152" s="122"/>
      <c r="AI152" s="122"/>
      <c r="AJ152" s="122"/>
      <c r="AK152" s="122"/>
    </row>
    <row r="153" spans="26:37" ht="30" customHeight="1">
      <c r="Z153" s="122"/>
      <c r="AA153" s="122"/>
      <c r="AB153" s="122"/>
      <c r="AC153" s="122"/>
      <c r="AD153" s="122"/>
      <c r="AE153" s="122"/>
      <c r="AF153" s="122"/>
      <c r="AG153" s="122"/>
      <c r="AH153" s="122"/>
      <c r="AI153" s="122"/>
      <c r="AJ153" s="122"/>
      <c r="AK153" s="122"/>
    </row>
    <row r="154" spans="26:37" ht="30" customHeight="1">
      <c r="Z154" s="122"/>
      <c r="AA154" s="122"/>
      <c r="AB154" s="122"/>
      <c r="AC154" s="122"/>
      <c r="AD154" s="122"/>
      <c r="AE154" s="122"/>
      <c r="AF154" s="122"/>
      <c r="AG154" s="122"/>
      <c r="AH154" s="122"/>
      <c r="AI154" s="122"/>
      <c r="AJ154" s="122"/>
      <c r="AK154" s="122"/>
    </row>
    <row r="155" spans="26:37" ht="30" customHeight="1">
      <c r="Z155" s="122"/>
      <c r="AA155" s="122"/>
      <c r="AB155" s="122"/>
      <c r="AC155" s="122"/>
      <c r="AD155" s="122"/>
      <c r="AE155" s="122"/>
      <c r="AF155" s="122"/>
      <c r="AG155" s="122"/>
      <c r="AH155" s="122"/>
      <c r="AI155" s="122"/>
      <c r="AJ155" s="122"/>
      <c r="AK155" s="122"/>
    </row>
    <row r="156" spans="26:37" ht="30" customHeight="1">
      <c r="Z156" s="122"/>
      <c r="AA156" s="122"/>
      <c r="AB156" s="122"/>
      <c r="AC156" s="122"/>
      <c r="AD156" s="122"/>
      <c r="AE156" s="122"/>
      <c r="AF156" s="122"/>
      <c r="AG156" s="122"/>
      <c r="AH156" s="122"/>
      <c r="AI156" s="122"/>
      <c r="AJ156" s="122"/>
      <c r="AK156" s="122"/>
    </row>
    <row r="157" spans="26:37" ht="30" customHeight="1">
      <c r="Z157" s="122"/>
      <c r="AA157" s="122"/>
      <c r="AB157" s="122"/>
      <c r="AC157" s="122"/>
      <c r="AD157" s="122"/>
      <c r="AE157" s="122"/>
      <c r="AF157" s="122"/>
      <c r="AG157" s="122"/>
      <c r="AH157" s="122"/>
      <c r="AI157" s="122"/>
      <c r="AJ157" s="122"/>
      <c r="AK157" s="122"/>
    </row>
    <row r="158" spans="26:37" ht="30" customHeight="1">
      <c r="Z158" s="122"/>
      <c r="AA158" s="122"/>
      <c r="AB158" s="122"/>
      <c r="AC158" s="122"/>
      <c r="AD158" s="122"/>
      <c r="AE158" s="122"/>
      <c r="AF158" s="122"/>
      <c r="AG158" s="122"/>
      <c r="AH158" s="122"/>
      <c r="AI158" s="122"/>
      <c r="AJ158" s="122"/>
      <c r="AK158" s="122"/>
    </row>
    <row r="159" spans="26:37" ht="30" customHeight="1">
      <c r="AK159" s="122"/>
    </row>
    <row r="160" spans="26:37" ht="30" customHeight="1">
      <c r="AK160" s="122"/>
    </row>
    <row r="161" spans="37:37" ht="30" customHeight="1">
      <c r="AK161" s="122"/>
    </row>
    <row r="162" spans="37:37" ht="30" customHeight="1">
      <c r="AK162" s="122"/>
    </row>
    <row r="163" spans="37:37" ht="30" customHeight="1">
      <c r="AK163" s="122"/>
    </row>
    <row r="164" spans="37:37" ht="30" customHeight="1">
      <c r="AK164" s="122"/>
    </row>
    <row r="165" spans="37:37" ht="30" customHeight="1">
      <c r="AK165" s="122"/>
    </row>
    <row r="166" spans="37:37" ht="30" customHeight="1">
      <c r="AK166" s="122"/>
    </row>
    <row r="167" spans="37:37" ht="30" customHeight="1">
      <c r="AK167" s="122"/>
    </row>
    <row r="168" spans="37:37" ht="30" customHeight="1">
      <c r="AK168" s="122"/>
    </row>
  </sheetData>
  <mergeCells count="35">
    <mergeCell ref="O16:Q16"/>
    <mergeCell ref="R16:R17"/>
    <mergeCell ref="S16:V16"/>
    <mergeCell ref="W16:W17"/>
    <mergeCell ref="X16:X17"/>
    <mergeCell ref="O38:Q38"/>
    <mergeCell ref="R38:R39"/>
    <mergeCell ref="S38:V38"/>
    <mergeCell ref="W38:W39"/>
    <mergeCell ref="X38:X39"/>
    <mergeCell ref="O28:Q28"/>
    <mergeCell ref="R28:R29"/>
    <mergeCell ref="S28:V28"/>
    <mergeCell ref="W28:W29"/>
    <mergeCell ref="X28:X29"/>
    <mergeCell ref="AA2:AC2"/>
    <mergeCell ref="AD2:AD3"/>
    <mergeCell ref="AE2:AH2"/>
    <mergeCell ref="AI2:AI3"/>
    <mergeCell ref="AJ2:AJ3"/>
    <mergeCell ref="X2:X3"/>
    <mergeCell ref="C2:E2"/>
    <mergeCell ref="F2:F3"/>
    <mergeCell ref="G2:J2"/>
    <mergeCell ref="K2:K3"/>
    <mergeCell ref="L2:L3"/>
    <mergeCell ref="O2:Q2"/>
    <mergeCell ref="R2:R3"/>
    <mergeCell ref="S2:V2"/>
    <mergeCell ref="W2:W3"/>
    <mergeCell ref="AA16:AC16"/>
    <mergeCell ref="AD16:AD17"/>
    <mergeCell ref="AE16:AH16"/>
    <mergeCell ref="AI16:AI17"/>
    <mergeCell ref="AJ16:AJ17"/>
  </mergeCells>
  <phoneticPr fontId="1" type="noConversion"/>
  <conditionalFormatting sqref="Y44:Y45">
    <cfRule type="expression" dxfId="425" priority="63">
      <formula>EXACT("P",#REF!)</formula>
    </cfRule>
    <cfRule type="expression" dxfId="424" priority="70">
      <formula>EXACT("C",#REF!)</formula>
    </cfRule>
  </conditionalFormatting>
  <conditionalFormatting sqref="AJ51 Y52:Y53">
    <cfRule type="expression" dxfId="423" priority="199">
      <formula>EXACT("P",#REF!)</formula>
    </cfRule>
    <cfRule type="expression" dxfId="422" priority="200">
      <formula>EXACT("C",#REF!)</formula>
    </cfRule>
  </conditionalFormatting>
  <conditionalFormatting sqref="L2 L20:L1048538">
    <cfRule type="expression" dxfId="421" priority="211">
      <formula>EXACT("P",$K3)</formula>
    </cfRule>
    <cfRule type="expression" dxfId="420" priority="212">
      <formula>EXACT("C",$K3)</formula>
    </cfRule>
  </conditionalFormatting>
  <conditionalFormatting sqref="X2 X5">
    <cfRule type="expression" dxfId="419" priority="402">
      <formula>EXACT("P",$W3)</formula>
    </cfRule>
    <cfRule type="expression" dxfId="418" priority="403">
      <formula>EXACT("C",$W3)</formula>
    </cfRule>
  </conditionalFormatting>
  <conditionalFormatting sqref="AJ50 AJ48">
    <cfRule type="expression" dxfId="417" priority="404">
      <formula>EXACT("P",$AJ8)</formula>
    </cfRule>
    <cfRule type="expression" dxfId="416" priority="405">
      <formula>EXACT("C",$AJ8)</formula>
    </cfRule>
  </conditionalFormatting>
  <conditionalFormatting sqref="AJ10:AJ12 AJ2 AJ4:AJ5">
    <cfRule type="expression" dxfId="415" priority="416">
      <formula>EXACT("P",$AI3)</formula>
    </cfRule>
    <cfRule type="expression" dxfId="414" priority="417">
      <formula>EXACT("C",$AI3)</formula>
    </cfRule>
  </conditionalFormatting>
  <conditionalFormatting sqref="X42 X21 X19">
    <cfRule type="expression" dxfId="413" priority="613">
      <formula>EXACT("P",#REF!)</formula>
    </cfRule>
    <cfRule type="expression" dxfId="412" priority="614">
      <formula>EXACT("C",#REF!)</formula>
    </cfRule>
  </conditionalFormatting>
  <conditionalFormatting sqref="X3:X9">
    <cfRule type="expression" dxfId="411" priority="619">
      <formula>EXACT("P",#REF!)</formula>
    </cfRule>
    <cfRule type="expression" dxfId="410" priority="620">
      <formula>EXACT("C",#REF!)</formula>
    </cfRule>
  </conditionalFormatting>
  <conditionalFormatting sqref="AJ13">
    <cfRule type="expression" dxfId="409" priority="739">
      <formula>EXACT("P",#REF!)</formula>
    </cfRule>
    <cfRule type="expression" dxfId="408" priority="740">
      <formula>EXACT("C",#REF!)</formula>
    </cfRule>
  </conditionalFormatting>
  <conditionalFormatting sqref="L14">
    <cfRule type="expression" dxfId="407" priority="741">
      <formula>EXACT("P",#REF!)</formula>
    </cfRule>
    <cfRule type="expression" dxfId="406" priority="742">
      <formula>EXACT("C",#REF!)</formula>
    </cfRule>
  </conditionalFormatting>
  <conditionalFormatting sqref="L19">
    <cfRule type="expression" dxfId="405" priority="743">
      <formula>EXACT("P",$K21)</formula>
    </cfRule>
    <cfRule type="expression" dxfId="404" priority="744">
      <formula>EXACT("C",$K21)</formula>
    </cfRule>
  </conditionalFormatting>
  <conditionalFormatting sqref="L18">
    <cfRule type="expression" dxfId="403" priority="749">
      <formula>EXACT("P",$K21)</formula>
    </cfRule>
    <cfRule type="expression" dxfId="402" priority="750">
      <formula>EXACT("C",$K21)</formula>
    </cfRule>
  </conditionalFormatting>
  <conditionalFormatting sqref="L17">
    <cfRule type="expression" dxfId="401" priority="755">
      <formula>EXACT("P",$K21)</formula>
    </cfRule>
    <cfRule type="expression" dxfId="400" priority="756">
      <formula>EXACT("C",$K21)</formula>
    </cfRule>
  </conditionalFormatting>
  <conditionalFormatting sqref="L15:L16">
    <cfRule type="expression" dxfId="399" priority="761">
      <formula>EXACT("P",$K20)</formula>
    </cfRule>
    <cfRule type="expression" dxfId="398" priority="762">
      <formula>EXACT("C",$K20)</formula>
    </cfRule>
  </conditionalFormatting>
  <conditionalFormatting sqref="AJ16:AJ25">
    <cfRule type="expression" dxfId="397" priority="41">
      <formula>EXACT("P",$AI17)</formula>
    </cfRule>
    <cfRule type="expression" dxfId="396" priority="42">
      <formula>EXACT("C",$AI17)</formula>
    </cfRule>
  </conditionalFormatting>
  <conditionalFormatting sqref="AJ26">
    <cfRule type="expression" dxfId="395" priority="43">
      <formula>EXACT("P",#REF!)</formula>
    </cfRule>
    <cfRule type="expression" dxfId="394" priority="44">
      <formula>EXACT("C",#REF!)</formula>
    </cfRule>
  </conditionalFormatting>
  <conditionalFormatting sqref="X20">
    <cfRule type="expression" dxfId="393" priority="922">
      <formula>EXACT("P",#REF!)</formula>
    </cfRule>
    <cfRule type="expression" dxfId="392" priority="923">
      <formula>EXACT("C",#REF!)</formula>
    </cfRule>
  </conditionalFormatting>
  <conditionalFormatting sqref="AJ46:AJ47">
    <cfRule type="expression" dxfId="391" priority="946">
      <formula>EXACT("P",$AJ4)</formula>
    </cfRule>
    <cfRule type="expression" dxfId="390" priority="947">
      <formula>EXACT("C",$AJ4)</formula>
    </cfRule>
  </conditionalFormatting>
  <conditionalFormatting sqref="AJ45">
    <cfRule type="expression" dxfId="389" priority="948">
      <formula>EXACT("P",#REF!)</formula>
    </cfRule>
    <cfRule type="expression" dxfId="388" priority="949">
      <formula>EXACT("C",#REF!)</formula>
    </cfRule>
  </conditionalFormatting>
  <conditionalFormatting sqref="AJ6 AJ8">
    <cfRule type="expression" dxfId="387" priority="952">
      <formula>EXACT("P",$AI8)</formula>
    </cfRule>
    <cfRule type="expression" dxfId="386" priority="953">
      <formula>EXACT("C",$AI8)</formula>
    </cfRule>
  </conditionalFormatting>
  <conditionalFormatting sqref="AJ3">
    <cfRule type="expression" dxfId="385" priority="956">
      <formula>EXACT("P",#REF!)</formula>
    </cfRule>
    <cfRule type="expression" dxfId="384" priority="957">
      <formula>EXACT("C",#REF!)</formula>
    </cfRule>
  </conditionalFormatting>
  <conditionalFormatting sqref="L3:L12">
    <cfRule type="expression" dxfId="383" priority="1092">
      <formula>EXACT("P",#REF!)</formula>
    </cfRule>
    <cfRule type="expression" dxfId="382" priority="1093">
      <formula>EXACT("C",#REF!)</formula>
    </cfRule>
  </conditionalFormatting>
  <conditionalFormatting sqref="X4">
    <cfRule type="expression" dxfId="381" priority="1104">
      <formula>EXACT("P",$W10)</formula>
    </cfRule>
    <cfRule type="expression" dxfId="380" priority="1105">
      <formula>EXACT("C",$W10)</formula>
    </cfRule>
  </conditionalFormatting>
  <conditionalFormatting sqref="X30:X33">
    <cfRule type="expression" dxfId="379" priority="33">
      <formula>EXACT("P",#REF!)</formula>
    </cfRule>
    <cfRule type="expression" dxfId="378" priority="34">
      <formula>EXACT("C",#REF!)</formula>
    </cfRule>
  </conditionalFormatting>
  <conditionalFormatting sqref="X20:X22">
    <cfRule type="expression" dxfId="377" priority="13">
      <formula>EXACT("P",#REF!)</formula>
    </cfRule>
    <cfRule type="expression" dxfId="376" priority="14">
      <formula>EXACT("C",#REF!)</formula>
    </cfRule>
  </conditionalFormatting>
  <conditionalFormatting sqref="X18">
    <cfRule type="expression" dxfId="375" priority="9">
      <formula>EXACT("P",#REF!)</formula>
    </cfRule>
    <cfRule type="expression" dxfId="374" priority="10">
      <formula>EXACT("C",#REF!)</formula>
    </cfRule>
  </conditionalFormatting>
  <conditionalFormatting sqref="X5">
    <cfRule type="expression" dxfId="373" priority="3">
      <formula>EXACT("P",$W7)</formula>
    </cfRule>
    <cfRule type="expression" dxfId="372" priority="4">
      <formula>EXACT("C",$W7)</formula>
    </cfRule>
  </conditionalFormatting>
  <conditionalFormatting sqref="X6">
    <cfRule type="expression" dxfId="371" priority="5">
      <formula>EXACT("P",#REF!)</formula>
    </cfRule>
    <cfRule type="expression" dxfId="370" priority="6">
      <formula>EXACT("C",#REF!)</formula>
    </cfRule>
  </conditionalFormatting>
  <conditionalFormatting sqref="X15">
    <cfRule type="expression" dxfId="369" priority="1128">
      <formula>EXACT("P",#REF!)</formula>
    </cfRule>
    <cfRule type="expression" dxfId="368" priority="1129">
      <formula>EXACT("C",#REF!)</formula>
    </cfRule>
  </conditionalFormatting>
  <conditionalFormatting sqref="AJ53">
    <cfRule type="expression" dxfId="367" priority="1132">
      <formula>EXACT("P",#REF!)</formula>
    </cfRule>
    <cfRule type="expression" dxfId="366" priority="1133">
      <formula>EXACT("C",#REF!)</formula>
    </cfRule>
  </conditionalFormatting>
  <conditionalFormatting sqref="X28:X29">
    <cfRule type="expression" dxfId="365" priority="1134">
      <formula>EXACT("P",#REF!)</formula>
    </cfRule>
    <cfRule type="expression" dxfId="364" priority="1135">
      <formula>EXACT("C",#REF!)</formula>
    </cfRule>
  </conditionalFormatting>
  <conditionalFormatting sqref="X34:X35">
    <cfRule type="expression" dxfId="363" priority="1136">
      <formula>EXACT("P",#REF!)</formula>
    </cfRule>
    <cfRule type="expression" dxfId="362" priority="1137">
      <formula>EXACT("C",#REF!)</formula>
    </cfRule>
  </conditionalFormatting>
  <conditionalFormatting sqref="X36">
    <cfRule type="expression" dxfId="361" priority="1140">
      <formula>EXACT("P",#REF!)</formula>
    </cfRule>
    <cfRule type="expression" dxfId="360" priority="1141">
      <formula>EXACT("C",#REF!)</formula>
    </cfRule>
  </conditionalFormatting>
  <conditionalFormatting sqref="X6">
    <cfRule type="expression" dxfId="359" priority="1142">
      <formula>EXACT("P",$W20)</formula>
    </cfRule>
    <cfRule type="expression" dxfId="358" priority="1143">
      <formula>EXACT("C",$W20)</formula>
    </cfRule>
  </conditionalFormatting>
  <conditionalFormatting sqref="AJ52">
    <cfRule type="expression" dxfId="357" priority="1144">
      <formula>EXACT("P",$X20)</formula>
    </cfRule>
    <cfRule type="expression" dxfId="356" priority="1145">
      <formula>EXACT("C",$X20)</formula>
    </cfRule>
  </conditionalFormatting>
  <conditionalFormatting sqref="X4">
    <cfRule type="expression" dxfId="355" priority="1146">
      <formula>EXACT("P",#REF!)</formula>
    </cfRule>
    <cfRule type="expression" dxfId="354" priority="1147">
      <formula>EXACT("C",#REF!)</formula>
    </cfRule>
  </conditionalFormatting>
  <conditionalFormatting sqref="Y54:Y55">
    <cfRule type="expression" dxfId="353" priority="1218">
      <formula>EXACT("P",$AJ2)</formula>
    </cfRule>
    <cfRule type="expression" dxfId="352" priority="1219">
      <formula>EXACT("C",$AJ2)</formula>
    </cfRule>
  </conditionalFormatting>
  <conditionalFormatting sqref="L1048539:L1048576">
    <cfRule type="expression" dxfId="351" priority="1240">
      <formula>EXACT("P",$K1)</formula>
    </cfRule>
    <cfRule type="expression" dxfId="350" priority="1241">
      <formula>EXACT("C",$K1)</formula>
    </cfRule>
  </conditionalFormatting>
  <conditionalFormatting sqref="X16:X17">
    <cfRule type="expression" dxfId="349" priority="1246">
      <formula>EXACT("P",#REF!)</formula>
    </cfRule>
    <cfRule type="expression" dxfId="348" priority="1247">
      <formula>EXACT("C",#REF!)</formula>
    </cfRule>
  </conditionalFormatting>
  <conditionalFormatting sqref="X38:X40">
    <cfRule type="expression" dxfId="347" priority="1248">
      <formula>EXACT("P",#REF!)</formula>
    </cfRule>
    <cfRule type="expression" dxfId="346" priority="1249">
      <formula>EXACT("C",#REF!)</formula>
    </cfRule>
  </conditionalFormatting>
  <conditionalFormatting sqref="X45">
    <cfRule type="expression" dxfId="345" priority="1250">
      <formula>EXACT("P",#REF!)</formula>
    </cfRule>
    <cfRule type="expression" dxfId="344" priority="1251">
      <formula>EXACT("C",#REF!)</formula>
    </cfRule>
  </conditionalFormatting>
  <conditionalFormatting sqref="X46 X56">
    <cfRule type="expression" dxfId="343" priority="1254">
      <formula>EXACT("P",#REF!)</formula>
    </cfRule>
    <cfRule type="expression" dxfId="342" priority="1255">
      <formula>EXACT("C",#REF!)</formula>
    </cfRule>
  </conditionalFormatting>
  <conditionalFormatting sqref="X23:X24">
    <cfRule type="expression" dxfId="341" priority="1258">
      <formula>EXACT("P",#REF!)</formula>
    </cfRule>
    <cfRule type="expression" dxfId="340" priority="1259">
      <formula>EXACT("C",#REF!)</formula>
    </cfRule>
  </conditionalFormatting>
  <conditionalFormatting sqref="X10:X11">
    <cfRule type="expression" dxfId="339" priority="1262">
      <formula>EXACT("P",$W5)</formula>
    </cfRule>
    <cfRule type="expression" dxfId="338" priority="1263">
      <formula>EXACT("C",$W5)</formula>
    </cfRule>
  </conditionalFormatting>
  <conditionalFormatting sqref="X27">
    <cfRule type="expression" dxfId="337" priority="1264">
      <formula>EXACT("P",$X6)</formula>
    </cfRule>
    <cfRule type="expression" dxfId="336" priority="1265">
      <formula>EXACT("C",$X6)</formula>
    </cfRule>
  </conditionalFormatting>
  <conditionalFormatting sqref="X14">
    <cfRule type="expression" dxfId="335" priority="1268">
      <formula>EXACT("P",$W6)</formula>
    </cfRule>
    <cfRule type="expression" dxfId="334" priority="1269">
      <formula>EXACT("C",$W6)</formula>
    </cfRule>
  </conditionalFormatting>
  <conditionalFormatting sqref="X13">
    <cfRule type="expression" dxfId="333" priority="1270">
      <formula>EXACT("P",$W6)</formula>
    </cfRule>
    <cfRule type="expression" dxfId="332" priority="1271">
      <formula>EXACT("C",$W6)</formula>
    </cfRule>
  </conditionalFormatting>
  <conditionalFormatting sqref="X12">
    <cfRule type="expression" dxfId="331" priority="1272">
      <formula>EXACT("P",$W6)</formula>
    </cfRule>
    <cfRule type="expression" dxfId="330" priority="1273">
      <formula>EXACT("C",$W6)</formula>
    </cfRule>
  </conditionalFormatting>
  <conditionalFormatting sqref="AJ7">
    <cfRule type="expression" dxfId="329" priority="1">
      <formula>EXACT("P",$AI9)</formula>
    </cfRule>
    <cfRule type="expression" dxfId="328" priority="2">
      <formula>EXACT("C",$AI9)</formula>
    </cfRule>
  </conditionalFormatting>
  <pageMargins left="0.25" right="0.25" top="0.75" bottom="0.75" header="0.3" footer="0.3"/>
  <pageSetup paperSize="9" scale="1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77046-A3C0-4DA5-A5E0-A9C1AC8ABD01}">
  <dimension ref="A1:BM156"/>
  <sheetViews>
    <sheetView topLeftCell="I1" zoomScale="70" zoomScaleNormal="70" workbookViewId="0">
      <selection activeCell="I31" sqref="I31"/>
    </sheetView>
  </sheetViews>
  <sheetFormatPr defaultColWidth="9" defaultRowHeight="30" customHeight="1"/>
  <cols>
    <col min="1" max="1" width="9" style="28"/>
    <col min="2" max="2" width="10.625" style="28" customWidth="1"/>
    <col min="3" max="3" width="30.625" style="46" customWidth="1"/>
    <col min="4" max="4" width="100.625" style="29" customWidth="1"/>
    <col min="5" max="5" width="10.625" style="47" customWidth="1"/>
    <col min="6" max="6" width="30.625" style="28" customWidth="1"/>
    <col min="7" max="10" width="5.625" style="28" customWidth="1"/>
    <col min="11" max="11" width="20.625" style="28" customWidth="1"/>
    <col min="12" max="12" width="5.625" style="46" customWidth="1"/>
    <col min="13" max="13" width="9.875" style="46" customWidth="1"/>
    <col min="14" max="14" width="10.625" style="46" customWidth="1"/>
    <col min="15" max="15" width="30.625" style="46" customWidth="1"/>
    <col min="16" max="16" width="100.625" style="46" customWidth="1"/>
    <col min="17" max="17" width="10.625" style="46" customWidth="1"/>
    <col min="18" max="18" width="30.625" style="46" customWidth="1"/>
    <col min="19" max="19" width="5.625" style="46" customWidth="1"/>
    <col min="20" max="22" width="5.625" style="28" customWidth="1"/>
    <col min="23" max="23" width="20.625" style="28" customWidth="1"/>
    <col min="24" max="24" width="5.625" style="28" customWidth="1"/>
    <col min="25" max="25" width="9" style="28"/>
    <col min="26" max="26" width="10.625" style="28" customWidth="1"/>
    <col min="27" max="27" width="30.625" style="28" customWidth="1"/>
    <col min="28" max="28" width="100.625" style="28" customWidth="1"/>
    <col min="29" max="29" width="10.625" style="28" customWidth="1"/>
    <col min="30" max="30" width="30.625" style="28" customWidth="1"/>
    <col min="31" max="34" width="5.625" style="28" customWidth="1"/>
    <col min="35" max="35" width="20.625" style="28" customWidth="1"/>
    <col min="36" max="36" width="5.625" style="28" customWidth="1"/>
    <col min="37" max="16384" width="9" style="28"/>
  </cols>
  <sheetData>
    <row r="1" spans="1:65" s="153" customFormat="1" ht="30" customHeight="1" thickBot="1">
      <c r="B1" s="153" t="s">
        <v>226</v>
      </c>
      <c r="C1" s="154" t="s">
        <v>227</v>
      </c>
      <c r="D1" s="154" t="s">
        <v>228</v>
      </c>
      <c r="E1" s="155" t="s">
        <v>226</v>
      </c>
      <c r="F1" s="153" t="s">
        <v>227</v>
      </c>
      <c r="G1" s="153" t="s">
        <v>229</v>
      </c>
      <c r="H1" s="153" t="s">
        <v>229</v>
      </c>
      <c r="I1" s="153" t="s">
        <v>229</v>
      </c>
      <c r="J1" s="153" t="s">
        <v>229</v>
      </c>
      <c r="K1" s="153" t="s">
        <v>230</v>
      </c>
      <c r="L1" s="153" t="s">
        <v>229</v>
      </c>
      <c r="N1" s="153" t="s">
        <v>226</v>
      </c>
      <c r="O1" s="154" t="s">
        <v>227</v>
      </c>
      <c r="P1" s="154" t="s">
        <v>228</v>
      </c>
      <c r="Q1" s="155" t="s">
        <v>226</v>
      </c>
      <c r="R1" s="153" t="s">
        <v>227</v>
      </c>
      <c r="S1" s="153" t="s">
        <v>229</v>
      </c>
      <c r="T1" s="153" t="s">
        <v>229</v>
      </c>
      <c r="U1" s="153" t="s">
        <v>229</v>
      </c>
      <c r="V1" s="153" t="s">
        <v>229</v>
      </c>
      <c r="W1" s="153" t="s">
        <v>230</v>
      </c>
      <c r="X1" s="153" t="s">
        <v>229</v>
      </c>
      <c r="Z1" s="153" t="s">
        <v>226</v>
      </c>
      <c r="AA1" s="154" t="s">
        <v>227</v>
      </c>
      <c r="AB1" s="154" t="s">
        <v>228</v>
      </c>
      <c r="AC1" s="155" t="s">
        <v>226</v>
      </c>
      <c r="AD1" s="153" t="s">
        <v>227</v>
      </c>
      <c r="AE1" s="153" t="s">
        <v>229</v>
      </c>
      <c r="AF1" s="153" t="s">
        <v>229</v>
      </c>
      <c r="AG1" s="153" t="s">
        <v>229</v>
      </c>
      <c r="AH1" s="153" t="s">
        <v>229</v>
      </c>
      <c r="AI1" s="153" t="s">
        <v>230</v>
      </c>
      <c r="AJ1" s="153" t="s">
        <v>229</v>
      </c>
      <c r="AM1" s="154"/>
      <c r="AN1" s="154"/>
      <c r="AO1" s="155"/>
      <c r="AY1" s="154"/>
      <c r="AZ1" s="154"/>
      <c r="BA1" s="155"/>
      <c r="BK1" s="154"/>
      <c r="BL1" s="154"/>
      <c r="BM1" s="155"/>
    </row>
    <row r="2" spans="1:65" ht="30" customHeight="1">
      <c r="B2" s="206" t="s">
        <v>73</v>
      </c>
      <c r="C2" s="471" t="s">
        <v>782</v>
      </c>
      <c r="D2" s="471"/>
      <c r="E2" s="471"/>
      <c r="F2" s="451" t="s">
        <v>62</v>
      </c>
      <c r="G2" s="453" t="s">
        <v>63</v>
      </c>
      <c r="H2" s="453"/>
      <c r="I2" s="453"/>
      <c r="J2" s="453"/>
      <c r="K2" s="472" t="s">
        <v>85</v>
      </c>
      <c r="L2" s="454" t="s">
        <v>64</v>
      </c>
      <c r="N2" s="210" t="s">
        <v>111</v>
      </c>
      <c r="O2" s="474" t="s">
        <v>617</v>
      </c>
      <c r="P2" s="475"/>
      <c r="Q2" s="476"/>
      <c r="R2" s="462" t="s">
        <v>62</v>
      </c>
      <c r="S2" s="464" t="s">
        <v>63</v>
      </c>
      <c r="T2" s="465"/>
      <c r="U2" s="465"/>
      <c r="V2" s="466"/>
      <c r="W2" s="467" t="s">
        <v>85</v>
      </c>
      <c r="X2" s="469" t="s">
        <v>64</v>
      </c>
    </row>
    <row r="3" spans="1:65" ht="30" customHeight="1">
      <c r="B3" s="300" t="s">
        <v>16</v>
      </c>
      <c r="C3" s="434" t="s">
        <v>65</v>
      </c>
      <c r="D3" s="434" t="s">
        <v>66</v>
      </c>
      <c r="E3" s="301" t="s">
        <v>67</v>
      </c>
      <c r="F3" s="452"/>
      <c r="G3" s="434" t="s">
        <v>68</v>
      </c>
      <c r="H3" s="434" t="s">
        <v>69</v>
      </c>
      <c r="I3" s="434" t="s">
        <v>70</v>
      </c>
      <c r="J3" s="434" t="s">
        <v>71</v>
      </c>
      <c r="K3" s="473"/>
      <c r="L3" s="455"/>
      <c r="N3" s="194" t="s">
        <v>80</v>
      </c>
      <c r="O3" s="421" t="s">
        <v>18</v>
      </c>
      <c r="P3" s="421" t="s">
        <v>66</v>
      </c>
      <c r="Q3" s="421" t="s">
        <v>67</v>
      </c>
      <c r="R3" s="463"/>
      <c r="S3" s="421" t="s">
        <v>68</v>
      </c>
      <c r="T3" s="421" t="s">
        <v>69</v>
      </c>
      <c r="U3" s="421" t="s">
        <v>70</v>
      </c>
      <c r="V3" s="421" t="s">
        <v>71</v>
      </c>
      <c r="W3" s="468"/>
      <c r="X3" s="470"/>
    </row>
    <row r="4" spans="1:65" ht="30" customHeight="1">
      <c r="B4" s="182" t="s">
        <v>789</v>
      </c>
      <c r="C4" s="43" t="s">
        <v>913</v>
      </c>
      <c r="D4" s="29" t="s">
        <v>965</v>
      </c>
      <c r="E4" s="43" t="str">
        <f>Mission!B24</f>
        <v>TSE-008</v>
      </c>
      <c r="F4" s="43"/>
      <c r="G4" s="43"/>
      <c r="H4" s="43"/>
      <c r="I4" s="43"/>
      <c r="J4" s="43"/>
      <c r="K4" s="3"/>
      <c r="L4" s="433"/>
      <c r="N4" s="182" t="s">
        <v>205</v>
      </c>
      <c r="O4" s="30" t="s">
        <v>913</v>
      </c>
      <c r="P4" s="87" t="s">
        <v>967</v>
      </c>
      <c r="Q4" s="30" t="str">
        <f>B4</f>
        <v>PAYC-001</v>
      </c>
      <c r="R4" s="30" t="s">
        <v>324</v>
      </c>
      <c r="S4" s="31"/>
      <c r="T4" s="31" t="s">
        <v>399</v>
      </c>
      <c r="U4" s="31"/>
      <c r="V4" s="31"/>
      <c r="W4" s="31"/>
      <c r="X4" s="211"/>
    </row>
    <row r="5" spans="1:65" ht="30" customHeight="1">
      <c r="B5" s="182" t="s">
        <v>790</v>
      </c>
      <c r="C5" s="43" t="s">
        <v>924</v>
      </c>
      <c r="D5" s="75" t="s">
        <v>966</v>
      </c>
      <c r="E5" s="43" t="str">
        <f>Mission!B24</f>
        <v>TSE-008</v>
      </c>
      <c r="F5" s="43"/>
      <c r="G5" s="43"/>
      <c r="H5" s="43"/>
      <c r="I5" s="43"/>
      <c r="J5" s="43"/>
      <c r="K5" s="3"/>
      <c r="L5" s="433"/>
      <c r="N5" s="182" t="s">
        <v>206</v>
      </c>
      <c r="O5" s="30" t="s">
        <v>926</v>
      </c>
      <c r="P5" s="63" t="s">
        <v>798</v>
      </c>
      <c r="Q5" s="89" t="str">
        <f>B6</f>
        <v>PAYC-003</v>
      </c>
      <c r="R5" s="30" t="s">
        <v>324</v>
      </c>
      <c r="S5" s="31"/>
      <c r="T5" s="31" t="s">
        <v>399</v>
      </c>
      <c r="U5" s="31"/>
      <c r="V5" s="31"/>
      <c r="W5" s="31"/>
      <c r="X5" s="192"/>
    </row>
    <row r="6" spans="1:65" ht="30" customHeight="1">
      <c r="B6" s="182" t="s">
        <v>791</v>
      </c>
      <c r="C6" s="30" t="s">
        <v>926</v>
      </c>
      <c r="D6" s="63" t="s">
        <v>1013</v>
      </c>
      <c r="E6" s="43" t="str">
        <f>Mission!B24</f>
        <v>TSE-008</v>
      </c>
      <c r="F6" s="30" t="s">
        <v>324</v>
      </c>
      <c r="G6" s="31"/>
      <c r="H6" s="31" t="s">
        <v>399</v>
      </c>
      <c r="I6" s="31"/>
      <c r="J6" s="31"/>
      <c r="K6" s="3"/>
      <c r="L6" s="433"/>
      <c r="N6" s="182" t="s">
        <v>928</v>
      </c>
      <c r="O6" s="30" t="s">
        <v>927</v>
      </c>
      <c r="P6" s="63" t="s">
        <v>931</v>
      </c>
      <c r="Q6" s="30" t="str">
        <f>B5</f>
        <v>PAYC-002</v>
      </c>
      <c r="R6" s="394"/>
      <c r="S6" s="31"/>
      <c r="T6" s="31"/>
      <c r="U6" s="31"/>
      <c r="V6" s="31"/>
      <c r="W6" s="31"/>
      <c r="X6" s="192"/>
    </row>
    <row r="7" spans="1:65" ht="30" customHeight="1">
      <c r="B7" s="182" t="s">
        <v>792</v>
      </c>
      <c r="C7" s="43" t="s">
        <v>797</v>
      </c>
      <c r="D7" s="3" t="s">
        <v>787</v>
      </c>
      <c r="E7" s="43" t="str">
        <f>Mission!B17</f>
        <v>TSE-001</v>
      </c>
      <c r="F7" s="381" t="s">
        <v>706</v>
      </c>
      <c r="G7" s="31" t="s">
        <v>154</v>
      </c>
      <c r="H7" s="43"/>
      <c r="I7" s="31" t="s">
        <v>154</v>
      </c>
      <c r="J7" s="43"/>
      <c r="K7" s="3"/>
      <c r="L7" s="433"/>
      <c r="N7" s="182" t="s">
        <v>929</v>
      </c>
      <c r="O7" s="30" t="s">
        <v>930</v>
      </c>
      <c r="P7" s="63" t="s">
        <v>934</v>
      </c>
      <c r="Q7" s="30" t="str">
        <f>B12</f>
        <v>PAYC-009</v>
      </c>
      <c r="R7" s="394"/>
      <c r="S7" s="31"/>
      <c r="T7" s="31"/>
      <c r="U7" s="31"/>
      <c r="V7" s="31"/>
      <c r="W7" s="31"/>
      <c r="X7" s="192"/>
    </row>
    <row r="8" spans="1:65" ht="30" customHeight="1" thickBot="1">
      <c r="B8" s="182" t="s">
        <v>793</v>
      </c>
      <c r="C8" s="43" t="s">
        <v>191</v>
      </c>
      <c r="D8" s="3" t="s">
        <v>788</v>
      </c>
      <c r="E8" s="43" t="str">
        <f>Mission!B17</f>
        <v>TSE-001</v>
      </c>
      <c r="F8" s="30" t="s">
        <v>621</v>
      </c>
      <c r="G8" s="31" t="s">
        <v>154</v>
      </c>
      <c r="H8" s="31" t="s">
        <v>154</v>
      </c>
      <c r="I8" s="43"/>
      <c r="J8" s="43"/>
      <c r="K8" s="3"/>
      <c r="L8" s="433"/>
      <c r="N8" s="184"/>
      <c r="O8" s="237"/>
      <c r="P8" s="215"/>
      <c r="Q8" s="209"/>
      <c r="R8" s="209"/>
      <c r="S8" s="207"/>
      <c r="T8" s="207"/>
      <c r="U8" s="207"/>
      <c r="V8" s="207"/>
      <c r="W8" s="207"/>
      <c r="X8" s="344"/>
      <c r="Z8" s="131"/>
      <c r="AA8" s="32"/>
      <c r="AB8" s="122"/>
      <c r="AC8" s="131"/>
      <c r="AD8" s="122"/>
      <c r="AE8" s="122"/>
      <c r="AF8" s="122"/>
      <c r="AG8" s="122"/>
      <c r="AH8" s="122"/>
      <c r="AI8" s="122"/>
      <c r="AJ8" s="131"/>
    </row>
    <row r="9" spans="1:65" ht="30" customHeight="1" thickBot="1">
      <c r="B9" s="182" t="s">
        <v>794</v>
      </c>
      <c r="C9" s="43" t="s">
        <v>917</v>
      </c>
      <c r="D9" s="3" t="s">
        <v>784</v>
      </c>
      <c r="E9" s="43" t="str">
        <f>Mission!B28</f>
        <v>TSE-012</v>
      </c>
      <c r="F9" s="31" t="s">
        <v>619</v>
      </c>
      <c r="G9" s="31" t="s">
        <v>154</v>
      </c>
      <c r="H9" s="31" t="s">
        <v>154</v>
      </c>
      <c r="I9" s="43"/>
      <c r="J9" s="43"/>
      <c r="K9" s="3"/>
      <c r="L9" s="433"/>
      <c r="N9" s="43"/>
      <c r="O9" s="31"/>
      <c r="P9" s="87"/>
      <c r="Q9" s="30"/>
      <c r="R9" s="381"/>
      <c r="S9" s="31"/>
      <c r="T9" s="31"/>
      <c r="U9" s="31"/>
      <c r="V9" s="31"/>
      <c r="W9" s="31"/>
      <c r="X9" s="31"/>
      <c r="Z9" s="131"/>
      <c r="AA9" s="32"/>
      <c r="AB9" s="122"/>
      <c r="AC9" s="131"/>
      <c r="AD9" s="122"/>
      <c r="AE9" s="122"/>
      <c r="AF9" s="122"/>
      <c r="AG9" s="122"/>
      <c r="AH9" s="122"/>
      <c r="AI9" s="122"/>
      <c r="AJ9" s="131"/>
    </row>
    <row r="10" spans="1:65" ht="30" customHeight="1">
      <c r="B10" s="182" t="s">
        <v>795</v>
      </c>
      <c r="C10" s="43" t="s">
        <v>916</v>
      </c>
      <c r="D10" s="3" t="s">
        <v>785</v>
      </c>
      <c r="E10" s="43" t="str">
        <f>Mission!B31</f>
        <v>TSE-015</v>
      </c>
      <c r="F10" s="30" t="s">
        <v>231</v>
      </c>
      <c r="G10" s="31" t="s">
        <v>154</v>
      </c>
      <c r="H10" s="31" t="s">
        <v>154</v>
      </c>
      <c r="I10" s="43"/>
      <c r="J10" s="43"/>
      <c r="K10" s="3"/>
      <c r="L10" s="433"/>
      <c r="N10" s="210" t="s">
        <v>111</v>
      </c>
      <c r="O10" s="474" t="s">
        <v>799</v>
      </c>
      <c r="P10" s="475"/>
      <c r="Q10" s="476"/>
      <c r="R10" s="462" t="s">
        <v>62</v>
      </c>
      <c r="S10" s="464" t="s">
        <v>63</v>
      </c>
      <c r="T10" s="465"/>
      <c r="U10" s="465"/>
      <c r="V10" s="466"/>
      <c r="W10" s="467" t="s">
        <v>85</v>
      </c>
      <c r="X10" s="469" t="s">
        <v>64</v>
      </c>
      <c r="Z10" s="143"/>
      <c r="AA10" s="143"/>
      <c r="AB10" s="143"/>
      <c r="AC10" s="143"/>
      <c r="AD10" s="144"/>
      <c r="AE10" s="142"/>
      <c r="AF10" s="142"/>
      <c r="AG10" s="142"/>
      <c r="AH10" s="142"/>
      <c r="AI10" s="142"/>
      <c r="AJ10" s="142"/>
    </row>
    <row r="11" spans="1:65" ht="30" customHeight="1">
      <c r="B11" s="182" t="s">
        <v>796</v>
      </c>
      <c r="C11" s="43" t="s">
        <v>925</v>
      </c>
      <c r="D11" s="3" t="s">
        <v>786</v>
      </c>
      <c r="E11" s="43" t="str">
        <f>Mission!B17</f>
        <v>TSE-001</v>
      </c>
      <c r="F11" s="30" t="s">
        <v>651</v>
      </c>
      <c r="G11" s="31" t="s">
        <v>154</v>
      </c>
      <c r="H11" s="43"/>
      <c r="I11" s="31" t="s">
        <v>154</v>
      </c>
      <c r="J11" s="43"/>
      <c r="K11" s="3"/>
      <c r="L11" s="433"/>
      <c r="N11" s="300" t="s">
        <v>80</v>
      </c>
      <c r="O11" s="422" t="s">
        <v>18</v>
      </c>
      <c r="P11" s="422" t="s">
        <v>66</v>
      </c>
      <c r="Q11" s="422" t="s">
        <v>67</v>
      </c>
      <c r="R11" s="463"/>
      <c r="S11" s="422" t="s">
        <v>68</v>
      </c>
      <c r="T11" s="422" t="s">
        <v>69</v>
      </c>
      <c r="U11" s="422" t="s">
        <v>70</v>
      </c>
      <c r="V11" s="422" t="s">
        <v>71</v>
      </c>
      <c r="W11" s="468"/>
      <c r="X11" s="470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</row>
    <row r="12" spans="1:65" ht="30" customHeight="1">
      <c r="A12" s="302" t="s">
        <v>266</v>
      </c>
      <c r="B12" s="182" t="s">
        <v>1012</v>
      </c>
      <c r="C12" s="43" t="s">
        <v>930</v>
      </c>
      <c r="D12" s="3" t="s">
        <v>933</v>
      </c>
      <c r="E12" s="43" t="str">
        <f>Mission!B17</f>
        <v>TSE-001</v>
      </c>
      <c r="F12" s="43"/>
      <c r="G12" s="43"/>
      <c r="H12" s="43"/>
      <c r="I12" s="43"/>
      <c r="J12" s="43"/>
      <c r="K12" s="3"/>
      <c r="L12" s="433"/>
      <c r="N12" s="180" t="s">
        <v>733</v>
      </c>
      <c r="O12" s="59" t="s">
        <v>174</v>
      </c>
      <c r="P12" s="358" t="s">
        <v>800</v>
      </c>
      <c r="Q12" s="59" t="str">
        <f>B10</f>
        <v>PAYC-007</v>
      </c>
      <c r="R12" s="59" t="s">
        <v>626</v>
      </c>
      <c r="S12" s="60"/>
      <c r="T12" s="396" t="s">
        <v>400</v>
      </c>
      <c r="U12" s="60"/>
      <c r="V12" s="60"/>
      <c r="W12" s="60"/>
      <c r="X12" s="211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</row>
    <row r="13" spans="1:65" ht="30" customHeight="1" thickBot="1">
      <c r="B13" s="217"/>
      <c r="C13" s="187"/>
      <c r="D13" s="212"/>
      <c r="E13" s="185"/>
      <c r="F13" s="208"/>
      <c r="G13" s="208"/>
      <c r="H13" s="208"/>
      <c r="I13" s="208"/>
      <c r="J13" s="208"/>
      <c r="K13" s="208"/>
      <c r="L13" s="213"/>
      <c r="N13" s="182" t="s">
        <v>743</v>
      </c>
      <c r="O13" s="30" t="s">
        <v>175</v>
      </c>
      <c r="P13" s="63" t="s">
        <v>801</v>
      </c>
      <c r="Q13" s="89" t="str">
        <f>B9</f>
        <v>PAYC-006</v>
      </c>
      <c r="R13" s="30" t="s">
        <v>630</v>
      </c>
      <c r="S13" s="31" t="s">
        <v>399</v>
      </c>
      <c r="T13" s="31" t="s">
        <v>399</v>
      </c>
      <c r="U13" s="31"/>
      <c r="V13" s="31"/>
      <c r="W13" s="31"/>
      <c r="X13" s="19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</row>
    <row r="14" spans="1:65" ht="30" customHeight="1">
      <c r="N14" s="182" t="s">
        <v>744</v>
      </c>
      <c r="O14" s="30" t="s">
        <v>754</v>
      </c>
      <c r="P14" s="63" t="s">
        <v>802</v>
      </c>
      <c r="Q14" s="30" t="str">
        <f>B8</f>
        <v>PAYC-005</v>
      </c>
      <c r="R14" s="30" t="s">
        <v>755</v>
      </c>
      <c r="S14" s="31" t="s">
        <v>399</v>
      </c>
      <c r="T14" s="31"/>
      <c r="U14" s="31" t="s">
        <v>399</v>
      </c>
      <c r="V14" s="31"/>
      <c r="W14" s="31"/>
      <c r="X14" s="19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</row>
    <row r="15" spans="1:65" ht="30" customHeight="1">
      <c r="B15" s="3"/>
      <c r="C15" s="3"/>
      <c r="D15" s="3"/>
      <c r="E15" s="3"/>
      <c r="F15" s="43"/>
      <c r="G15" s="43"/>
      <c r="H15" s="43"/>
      <c r="I15" s="43"/>
      <c r="J15" s="43"/>
      <c r="K15" s="3"/>
      <c r="L15" s="3"/>
      <c r="N15" s="182"/>
      <c r="O15" s="91"/>
      <c r="P15" s="3"/>
      <c r="Q15" s="30"/>
      <c r="R15" s="30"/>
      <c r="S15" s="31"/>
      <c r="T15" s="31"/>
      <c r="U15" s="31"/>
      <c r="V15" s="31"/>
      <c r="W15" s="31"/>
      <c r="X15" s="19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</row>
    <row r="16" spans="1:65" ht="30" customHeight="1">
      <c r="B16" s="3"/>
      <c r="C16" s="431"/>
      <c r="D16" s="75"/>
      <c r="E16" s="63"/>
      <c r="F16" s="43"/>
      <c r="G16" s="31"/>
      <c r="H16" s="31"/>
      <c r="I16" s="31"/>
      <c r="J16" s="31"/>
      <c r="K16" s="431"/>
      <c r="L16" s="431"/>
      <c r="N16" s="182"/>
      <c r="O16" s="31"/>
      <c r="P16" s="87"/>
      <c r="Q16" s="30"/>
      <c r="R16" s="381"/>
      <c r="S16" s="31"/>
      <c r="T16" s="31"/>
      <c r="U16" s="31"/>
      <c r="V16" s="31"/>
      <c r="W16" s="31"/>
      <c r="X16" s="192"/>
      <c r="Z16" s="143"/>
      <c r="AA16" s="387"/>
      <c r="AB16" s="387"/>
      <c r="AC16" s="387"/>
      <c r="AD16" s="388"/>
      <c r="AE16" s="389"/>
      <c r="AF16" s="389"/>
      <c r="AG16" s="389"/>
      <c r="AH16" s="389"/>
      <c r="AI16" s="390"/>
      <c r="AJ16" s="389"/>
      <c r="AK16" s="122"/>
    </row>
    <row r="17" spans="2:37" ht="30" customHeight="1" thickBot="1">
      <c r="B17" s="3"/>
      <c r="C17" s="63"/>
      <c r="D17" s="63"/>
      <c r="E17" s="3"/>
      <c r="F17" s="43"/>
      <c r="G17" s="31"/>
      <c r="H17" s="31"/>
      <c r="I17" s="31"/>
      <c r="J17" s="31"/>
      <c r="K17" s="431"/>
      <c r="L17" s="431"/>
      <c r="N17" s="184"/>
      <c r="O17" s="209"/>
      <c r="P17" s="411"/>
      <c r="Q17" s="209"/>
      <c r="R17" s="209"/>
      <c r="S17" s="207"/>
      <c r="T17" s="207"/>
      <c r="U17" s="207"/>
      <c r="V17" s="207"/>
      <c r="W17" s="207"/>
      <c r="X17" s="344"/>
      <c r="Z17" s="142"/>
      <c r="AA17" s="142"/>
      <c r="AB17" s="142"/>
      <c r="AC17" s="142"/>
      <c r="AD17" s="389"/>
      <c r="AE17" s="142"/>
      <c r="AF17" s="142"/>
      <c r="AG17" s="142"/>
      <c r="AH17" s="142"/>
      <c r="AI17" s="390"/>
      <c r="AJ17" s="389"/>
      <c r="AK17" s="122"/>
    </row>
    <row r="18" spans="2:37" ht="30" customHeight="1">
      <c r="B18" s="3"/>
      <c r="C18" s="63"/>
      <c r="D18" s="63"/>
      <c r="E18" s="3"/>
      <c r="F18" s="43"/>
      <c r="G18" s="31"/>
      <c r="H18" s="31"/>
      <c r="I18" s="31"/>
      <c r="J18" s="31"/>
      <c r="K18" s="431"/>
      <c r="L18" s="431"/>
      <c r="N18" s="43"/>
      <c r="O18" s="43"/>
      <c r="P18" s="43"/>
      <c r="Q18" s="43"/>
      <c r="R18" s="30"/>
      <c r="S18" s="31"/>
      <c r="T18" s="31"/>
      <c r="U18" s="31"/>
      <c r="V18" s="31"/>
      <c r="W18" s="31"/>
      <c r="X18" s="31"/>
      <c r="Z18" s="131"/>
      <c r="AA18" s="32"/>
      <c r="AB18" s="62"/>
      <c r="AC18" s="32"/>
      <c r="AD18" s="32"/>
      <c r="AE18" s="133"/>
      <c r="AF18" s="133"/>
      <c r="AG18" s="133"/>
      <c r="AH18" s="133"/>
      <c r="AI18" s="133"/>
      <c r="AJ18" s="133"/>
      <c r="AK18" s="122"/>
    </row>
    <row r="19" spans="2:37" ht="30" customHeight="1" thickBot="1">
      <c r="B19" s="3"/>
      <c r="C19" s="63"/>
      <c r="D19" s="63"/>
      <c r="E19" s="3"/>
      <c r="F19" s="43"/>
      <c r="G19" s="31"/>
      <c r="H19" s="31"/>
      <c r="I19" s="31"/>
      <c r="J19" s="31"/>
      <c r="K19" s="431"/>
      <c r="L19" s="431"/>
      <c r="Z19" s="131"/>
      <c r="AA19" s="32"/>
      <c r="AB19" s="384"/>
      <c r="AC19" s="385"/>
      <c r="AD19" s="32"/>
      <c r="AE19" s="133"/>
      <c r="AF19" s="133"/>
      <c r="AG19" s="133"/>
      <c r="AH19" s="133"/>
      <c r="AI19" s="133"/>
      <c r="AJ19" s="133"/>
      <c r="AK19" s="122"/>
    </row>
    <row r="20" spans="2:37" ht="30" customHeight="1">
      <c r="B20" s="3"/>
      <c r="C20" s="63"/>
      <c r="D20" s="63"/>
      <c r="E20" s="3"/>
      <c r="F20" s="43"/>
      <c r="G20" s="31"/>
      <c r="H20" s="31"/>
      <c r="I20" s="31"/>
      <c r="J20" s="31"/>
      <c r="K20" s="431"/>
      <c r="L20" s="431"/>
      <c r="N20" s="210" t="s">
        <v>111</v>
      </c>
      <c r="O20" s="474" t="s">
        <v>805</v>
      </c>
      <c r="P20" s="475"/>
      <c r="Q20" s="476"/>
      <c r="R20" s="462" t="s">
        <v>62</v>
      </c>
      <c r="S20" s="464" t="s">
        <v>63</v>
      </c>
      <c r="T20" s="465"/>
      <c r="U20" s="465"/>
      <c r="V20" s="466"/>
      <c r="W20" s="467" t="s">
        <v>85</v>
      </c>
      <c r="X20" s="469" t="s">
        <v>64</v>
      </c>
      <c r="Z20" s="131"/>
      <c r="AA20" s="32"/>
      <c r="AB20" s="62" t="s">
        <v>649</v>
      </c>
      <c r="AC20" s="32"/>
      <c r="AD20" s="32"/>
      <c r="AE20" s="133"/>
      <c r="AF20" s="133"/>
      <c r="AG20" s="133"/>
      <c r="AH20" s="133"/>
      <c r="AI20" s="133"/>
      <c r="AJ20" s="133"/>
      <c r="AK20" s="122"/>
    </row>
    <row r="21" spans="2:37" ht="30" customHeight="1">
      <c r="B21" s="3"/>
      <c r="C21" s="136"/>
      <c r="D21" s="136"/>
      <c r="E21" s="63"/>
      <c r="F21" s="31"/>
      <c r="G21" s="31"/>
      <c r="H21" s="31"/>
      <c r="I21" s="31"/>
      <c r="J21" s="31"/>
      <c r="K21" s="432"/>
      <c r="L21" s="432"/>
      <c r="N21" s="194" t="s">
        <v>80</v>
      </c>
      <c r="O21" s="422" t="s">
        <v>18</v>
      </c>
      <c r="P21" s="422" t="s">
        <v>66</v>
      </c>
      <c r="Q21" s="422" t="s">
        <v>67</v>
      </c>
      <c r="R21" s="463"/>
      <c r="S21" s="422" t="s">
        <v>68</v>
      </c>
      <c r="T21" s="422" t="s">
        <v>69</v>
      </c>
      <c r="U21" s="422" t="s">
        <v>70</v>
      </c>
      <c r="V21" s="422" t="s">
        <v>71</v>
      </c>
      <c r="W21" s="468"/>
      <c r="X21" s="470"/>
      <c r="Z21" s="122"/>
      <c r="AA21" s="122"/>
      <c r="AB21" s="122"/>
      <c r="AC21" s="122"/>
      <c r="AD21" s="122"/>
      <c r="AE21" s="122"/>
      <c r="AF21" s="122"/>
      <c r="AG21" s="122"/>
      <c r="AH21" s="122"/>
      <c r="AI21" s="122"/>
      <c r="AK21" s="122"/>
    </row>
    <row r="22" spans="2:37" ht="30" customHeight="1">
      <c r="B22" s="3"/>
      <c r="C22" s="431"/>
      <c r="D22" s="431"/>
      <c r="E22" s="38"/>
      <c r="F22" s="30"/>
      <c r="G22" s="31"/>
      <c r="H22" s="31"/>
      <c r="I22" s="31"/>
      <c r="J22" s="31"/>
      <c r="K22" s="431"/>
      <c r="L22" s="431"/>
      <c r="N22" s="182" t="s">
        <v>734</v>
      </c>
      <c r="O22" s="31" t="s">
        <v>685</v>
      </c>
      <c r="P22" s="87" t="s">
        <v>803</v>
      </c>
      <c r="Q22" s="30" t="str">
        <f>B7</f>
        <v>PAYC-004</v>
      </c>
      <c r="R22" s="381" t="s">
        <v>687</v>
      </c>
      <c r="S22" s="31" t="s">
        <v>399</v>
      </c>
      <c r="T22" s="31" t="s">
        <v>399</v>
      </c>
      <c r="U22" s="31" t="s">
        <v>399</v>
      </c>
      <c r="V22" s="31"/>
      <c r="W22" s="31"/>
      <c r="X22" s="192"/>
      <c r="Z22" s="122"/>
      <c r="AA22" s="122"/>
      <c r="AB22" s="122"/>
      <c r="AC22" s="122"/>
      <c r="AD22" s="122"/>
      <c r="AE22" s="122"/>
      <c r="AF22" s="122"/>
      <c r="AG22" s="122"/>
      <c r="AH22" s="122"/>
      <c r="AI22" s="122"/>
      <c r="AK22" s="122"/>
    </row>
    <row r="23" spans="2:37" ht="30" customHeight="1">
      <c r="B23" s="3"/>
      <c r="C23" s="130"/>
      <c r="D23" s="130"/>
      <c r="E23" s="63"/>
      <c r="F23" s="30"/>
      <c r="G23" s="31"/>
      <c r="H23" s="31"/>
      <c r="I23" s="31"/>
      <c r="J23" s="31"/>
      <c r="K23" s="431"/>
      <c r="L23" s="431"/>
      <c r="N23" s="182" t="s">
        <v>735</v>
      </c>
      <c r="O23" s="31" t="s">
        <v>688</v>
      </c>
      <c r="P23" s="63" t="s">
        <v>804</v>
      </c>
      <c r="Q23" s="43" t="str">
        <f>B7</f>
        <v>PAYC-004</v>
      </c>
      <c r="R23" s="43" t="s">
        <v>759</v>
      </c>
      <c r="S23" s="31" t="s">
        <v>399</v>
      </c>
      <c r="T23" s="137"/>
      <c r="U23" s="137"/>
      <c r="V23" s="137"/>
      <c r="W23" s="137"/>
      <c r="X23" s="259"/>
      <c r="Z23" s="122"/>
      <c r="AA23" s="122"/>
      <c r="AB23" s="122"/>
      <c r="AC23" s="122"/>
      <c r="AD23" s="122"/>
      <c r="AE23" s="122"/>
      <c r="AF23" s="122"/>
      <c r="AG23" s="122"/>
      <c r="AH23" s="122"/>
      <c r="AI23" s="122"/>
      <c r="AK23" s="122"/>
    </row>
    <row r="24" spans="2:37" ht="30" customHeight="1" thickBot="1">
      <c r="B24" s="3"/>
      <c r="C24" s="3"/>
      <c r="D24" s="38"/>
      <c r="E24" s="38"/>
      <c r="F24" s="43"/>
      <c r="G24" s="43"/>
      <c r="H24" s="43"/>
      <c r="I24" s="43"/>
      <c r="J24" s="43"/>
      <c r="K24" s="3"/>
      <c r="L24" s="3"/>
      <c r="N24" s="184"/>
      <c r="O24" s="209"/>
      <c r="P24" s="250"/>
      <c r="Q24" s="209"/>
      <c r="R24" s="418"/>
      <c r="S24" s="207"/>
      <c r="T24" s="207"/>
      <c r="U24" s="207"/>
      <c r="V24" s="207"/>
      <c r="W24" s="207"/>
      <c r="X24" s="344"/>
      <c r="Z24" s="122"/>
      <c r="AA24" s="122"/>
      <c r="AB24" s="122"/>
      <c r="AC24" s="122"/>
      <c r="AD24" s="122"/>
      <c r="AE24" s="122"/>
      <c r="AF24" s="122"/>
      <c r="AG24" s="122"/>
      <c r="AH24" s="122"/>
      <c r="AI24" s="122"/>
      <c r="AK24" s="122"/>
    </row>
    <row r="25" spans="2:37" ht="30" customHeight="1">
      <c r="B25" s="3"/>
      <c r="C25" s="3"/>
      <c r="D25" s="38"/>
      <c r="E25" s="38"/>
      <c r="F25" s="43"/>
      <c r="G25" s="43"/>
      <c r="H25" s="43"/>
      <c r="I25" s="43"/>
      <c r="J25" s="43"/>
      <c r="K25" s="431"/>
      <c r="L25" s="431"/>
      <c r="N25" s="28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K25" s="122"/>
    </row>
    <row r="26" spans="2:37" ht="30" customHeight="1">
      <c r="B26" s="3"/>
      <c r="C26" s="3"/>
      <c r="D26" s="38"/>
      <c r="E26" s="38"/>
      <c r="F26" s="43"/>
      <c r="G26" s="43"/>
      <c r="H26" s="43"/>
      <c r="I26" s="43"/>
      <c r="J26" s="43"/>
      <c r="K26" s="3"/>
      <c r="L26" s="3"/>
      <c r="N26" s="28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K26" s="122"/>
    </row>
    <row r="27" spans="2:37" ht="30" customHeight="1">
      <c r="B27" s="3"/>
      <c r="C27" s="3"/>
      <c r="D27" s="38"/>
      <c r="E27" s="38"/>
      <c r="F27" s="43"/>
      <c r="G27" s="43"/>
      <c r="H27" s="43"/>
      <c r="I27" s="43"/>
      <c r="J27" s="43"/>
      <c r="K27" s="3"/>
      <c r="L27" s="3"/>
      <c r="N27" s="28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Z27" s="122"/>
      <c r="AA27" s="122"/>
      <c r="AB27" s="122"/>
      <c r="AC27" s="122"/>
      <c r="AD27" s="122"/>
      <c r="AE27" s="122"/>
      <c r="AF27" s="122"/>
      <c r="AG27" s="122"/>
      <c r="AH27" s="122"/>
      <c r="AI27" s="122"/>
      <c r="AK27" s="122"/>
    </row>
    <row r="28" spans="2:37" ht="30" customHeight="1">
      <c r="C28" s="48"/>
      <c r="D28" s="58"/>
      <c r="E28" s="46"/>
      <c r="K28" s="33"/>
      <c r="N28" s="28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Z28" s="122"/>
      <c r="AK28" s="122"/>
    </row>
    <row r="29" spans="2:37" ht="30" customHeight="1">
      <c r="Z29" s="122"/>
      <c r="AK29" s="122"/>
    </row>
    <row r="30" spans="2:37" ht="30" customHeight="1">
      <c r="Z30" s="122"/>
      <c r="AK30" s="122"/>
    </row>
    <row r="31" spans="2:37" ht="30" customHeight="1">
      <c r="N31" s="43"/>
      <c r="O31" s="30"/>
      <c r="P31" s="87"/>
      <c r="Q31" s="30"/>
      <c r="R31" s="30"/>
      <c r="S31" s="31"/>
      <c r="T31" s="31"/>
      <c r="U31" s="31"/>
      <c r="V31" s="31"/>
      <c r="W31" s="31"/>
      <c r="X31" s="31"/>
      <c r="Z31" s="122"/>
      <c r="AK31" s="122"/>
    </row>
    <row r="32" spans="2:37" ht="30" customHeight="1">
      <c r="N32" s="43"/>
      <c r="O32" s="43"/>
      <c r="P32" s="43"/>
      <c r="Q32" s="43"/>
      <c r="R32" s="30"/>
      <c r="S32" s="31"/>
      <c r="T32" s="31"/>
      <c r="U32" s="31"/>
      <c r="V32" s="31"/>
      <c r="W32" s="31"/>
      <c r="X32" s="31"/>
      <c r="Z32" s="122"/>
      <c r="AK32" s="122"/>
    </row>
    <row r="33" spans="4:46" ht="30" customHeight="1">
      <c r="D33" s="29" t="s">
        <v>781</v>
      </c>
      <c r="Z33" s="122"/>
      <c r="AK33" s="122"/>
    </row>
    <row r="34" spans="4:46" ht="30" customHeight="1">
      <c r="Z34" s="122"/>
      <c r="AK34" s="122"/>
    </row>
    <row r="35" spans="4:46" ht="30" customHeight="1">
      <c r="Z35" s="122"/>
      <c r="AK35" s="122"/>
    </row>
    <row r="36" spans="4:46" ht="30" customHeight="1">
      <c r="Z36" s="122"/>
      <c r="AA36" s="122"/>
      <c r="AB36" s="122"/>
      <c r="AC36" s="122"/>
      <c r="AD36" s="122"/>
      <c r="AE36" s="122"/>
      <c r="AF36" s="122"/>
      <c r="AG36" s="122"/>
      <c r="AH36" s="122"/>
      <c r="AI36" s="122"/>
      <c r="AJ36" s="122"/>
      <c r="AK36" s="122"/>
    </row>
    <row r="37" spans="4:46" ht="30" customHeight="1">
      <c r="Z37" s="122"/>
      <c r="AA37" s="122"/>
      <c r="AB37" s="122"/>
      <c r="AC37" s="122"/>
      <c r="AD37" s="122"/>
      <c r="AE37" s="122"/>
      <c r="AF37" s="122"/>
      <c r="AG37" s="122"/>
      <c r="AH37" s="122"/>
      <c r="AI37" s="122"/>
      <c r="AJ37" s="122"/>
      <c r="AK37" s="122"/>
    </row>
    <row r="38" spans="4:46" ht="30" customHeight="1">
      <c r="Z38" s="122"/>
      <c r="AA38" s="122"/>
      <c r="AB38" s="122"/>
      <c r="AC38" s="122"/>
      <c r="AD38" s="122"/>
      <c r="AE38" s="122"/>
      <c r="AF38" s="122"/>
      <c r="AG38" s="122"/>
      <c r="AH38" s="122"/>
      <c r="AI38" s="122"/>
      <c r="AJ38" s="122"/>
      <c r="AK38" s="122"/>
    </row>
    <row r="39" spans="4:46" ht="30" customHeight="1"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</row>
    <row r="40" spans="4:46" ht="30" customHeight="1"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  <c r="AO40" s="122"/>
      <c r="AP40" s="122"/>
      <c r="AQ40" s="122"/>
      <c r="AR40" s="122"/>
      <c r="AS40" s="122"/>
      <c r="AT40" s="122"/>
    </row>
    <row r="41" spans="4:46" ht="30" customHeight="1">
      <c r="Z41" s="122"/>
      <c r="AA41" s="122"/>
      <c r="AB41" s="122"/>
      <c r="AC41" s="122"/>
      <c r="AD41" s="122"/>
      <c r="AE41" s="122"/>
      <c r="AF41" s="122"/>
      <c r="AG41" s="122"/>
      <c r="AH41" s="122"/>
      <c r="AI41" s="122"/>
      <c r="AJ41" s="122"/>
      <c r="AK41" s="122"/>
      <c r="AL41" s="122"/>
      <c r="AM41" s="122"/>
      <c r="AN41" s="122"/>
      <c r="AO41" s="122"/>
      <c r="AP41" s="122"/>
      <c r="AQ41" s="122"/>
      <c r="AR41" s="122"/>
      <c r="AS41" s="122"/>
      <c r="AT41" s="122"/>
    </row>
    <row r="42" spans="4:46" ht="30" customHeight="1">
      <c r="N42" s="43"/>
      <c r="O42" s="43"/>
      <c r="P42" s="43"/>
      <c r="Q42" s="43"/>
      <c r="R42" s="30"/>
      <c r="S42" s="31"/>
      <c r="T42" s="31"/>
      <c r="U42" s="31"/>
      <c r="V42" s="31"/>
      <c r="W42" s="31"/>
      <c r="X42" s="31"/>
      <c r="Z42" s="122"/>
      <c r="AA42" s="122"/>
      <c r="AB42" s="122"/>
      <c r="AC42" s="122"/>
      <c r="AD42" s="122"/>
      <c r="AE42" s="122"/>
      <c r="AF42" s="122"/>
      <c r="AG42" s="122"/>
      <c r="AH42" s="122"/>
      <c r="AI42" s="122"/>
      <c r="AJ42" s="122"/>
      <c r="AK42" s="122"/>
      <c r="AL42" s="122"/>
      <c r="AM42" s="122"/>
      <c r="AN42" s="122"/>
      <c r="AO42" s="122"/>
      <c r="AP42" s="122"/>
      <c r="AQ42" s="122"/>
      <c r="AR42" s="122"/>
      <c r="AS42" s="122"/>
      <c r="AT42" s="122"/>
    </row>
    <row r="43" spans="4:46" ht="30" customHeight="1">
      <c r="Z43" s="122"/>
      <c r="AA43" s="122"/>
      <c r="AB43" s="122"/>
      <c r="AC43" s="122"/>
      <c r="AD43" s="122"/>
      <c r="AE43" s="122"/>
      <c r="AF43" s="122"/>
      <c r="AG43" s="122"/>
      <c r="AH43" s="122"/>
      <c r="AI43" s="122"/>
      <c r="AJ43" s="122"/>
      <c r="AK43" s="122"/>
      <c r="AL43" s="122"/>
      <c r="AM43" s="122"/>
      <c r="AN43" s="122"/>
      <c r="AO43" s="122"/>
      <c r="AP43" s="122"/>
      <c r="AQ43" s="122"/>
      <c r="AR43" s="122"/>
      <c r="AS43" s="122"/>
      <c r="AT43" s="122"/>
    </row>
    <row r="44" spans="4:46" ht="30" customHeight="1">
      <c r="Z44" s="122"/>
      <c r="AA44" s="122"/>
      <c r="AB44" s="122"/>
      <c r="AC44" s="122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N44" s="122"/>
      <c r="AO44" s="122"/>
      <c r="AP44" s="122"/>
      <c r="AQ44" s="122"/>
      <c r="AR44" s="122"/>
      <c r="AS44" s="122"/>
      <c r="AT44" s="122"/>
    </row>
    <row r="45" spans="4:46" ht="30" customHeight="1">
      <c r="Y45" s="133"/>
      <c r="Z45" s="122"/>
      <c r="AA45" s="122"/>
      <c r="AB45" s="122"/>
      <c r="AC45" s="122"/>
      <c r="AD45" s="122"/>
      <c r="AE45" s="122"/>
      <c r="AF45" s="122"/>
      <c r="AG45" s="122"/>
      <c r="AH45" s="122"/>
      <c r="AI45" s="122"/>
      <c r="AJ45" s="122"/>
    </row>
    <row r="46" spans="4:46" ht="30" customHeight="1">
      <c r="Y46" s="133"/>
      <c r="Z46" s="122"/>
      <c r="AA46" s="122"/>
      <c r="AB46" s="122"/>
      <c r="AC46" s="122"/>
      <c r="AD46" s="122"/>
      <c r="AE46" s="122"/>
      <c r="AF46" s="122"/>
      <c r="AG46" s="122"/>
      <c r="AH46" s="122"/>
      <c r="AI46" s="122"/>
      <c r="AJ46" s="122"/>
    </row>
    <row r="47" spans="4:46" ht="30" customHeight="1">
      <c r="Y47" s="133"/>
      <c r="Z47" s="122"/>
      <c r="AA47" s="122"/>
      <c r="AB47" s="122"/>
      <c r="AC47" s="122"/>
      <c r="AD47" s="122"/>
      <c r="AE47" s="122"/>
      <c r="AF47" s="122"/>
      <c r="AG47" s="122"/>
      <c r="AH47" s="122"/>
      <c r="AI47" s="122"/>
      <c r="AJ47" s="122"/>
    </row>
    <row r="48" spans="4:46" ht="30" customHeight="1">
      <c r="Y48" s="122"/>
      <c r="Z48" s="122"/>
      <c r="AA48" s="122"/>
      <c r="AB48" s="122"/>
      <c r="AC48" s="122"/>
      <c r="AD48" s="122"/>
      <c r="AE48" s="122"/>
      <c r="AF48" s="122"/>
      <c r="AG48" s="122"/>
      <c r="AH48" s="122"/>
      <c r="AI48" s="122"/>
      <c r="AJ48" s="122"/>
    </row>
    <row r="49" spans="13:37" ht="30" customHeight="1">
      <c r="Y49" s="133"/>
      <c r="Z49" s="122"/>
      <c r="AA49" s="122"/>
      <c r="AB49" s="122"/>
      <c r="AC49" s="122"/>
      <c r="AD49" s="122"/>
      <c r="AE49" s="122"/>
      <c r="AF49" s="122"/>
      <c r="AG49" s="122"/>
      <c r="AH49" s="122"/>
      <c r="AI49" s="122"/>
      <c r="AJ49" s="122"/>
    </row>
    <row r="50" spans="13:37" ht="30" customHeight="1">
      <c r="M50" s="302"/>
      <c r="Y50" s="131"/>
      <c r="Z50" s="122"/>
      <c r="AA50" s="122"/>
      <c r="AB50" s="122"/>
      <c r="AC50" s="122"/>
      <c r="AD50" s="122"/>
      <c r="AE50" s="122"/>
      <c r="AF50" s="122"/>
      <c r="AG50" s="122"/>
      <c r="AH50" s="122"/>
      <c r="AI50" s="122"/>
      <c r="AJ50" s="122"/>
    </row>
    <row r="51" spans="13:37" ht="30" customHeight="1">
      <c r="Y51" s="131"/>
      <c r="Z51" s="122"/>
      <c r="AA51" s="122"/>
      <c r="AB51" s="122"/>
      <c r="AC51" s="122"/>
      <c r="AD51" s="122"/>
      <c r="AE51" s="122"/>
      <c r="AF51" s="122"/>
      <c r="AG51" s="122"/>
      <c r="AH51" s="122"/>
      <c r="AI51" s="122"/>
      <c r="AJ51" s="122"/>
    </row>
    <row r="52" spans="13:37" ht="30" customHeight="1">
      <c r="Y52" s="131"/>
      <c r="Z52" s="122"/>
      <c r="AA52" s="122"/>
      <c r="AB52" s="122"/>
      <c r="AC52" s="122"/>
      <c r="AD52" s="122"/>
      <c r="AE52" s="122"/>
      <c r="AF52" s="122"/>
      <c r="AG52" s="122"/>
      <c r="AH52" s="122"/>
      <c r="AI52" s="122"/>
      <c r="AJ52" s="122"/>
    </row>
    <row r="53" spans="13:37" ht="30" customHeight="1">
      <c r="Y53" s="122"/>
      <c r="Z53" s="122"/>
      <c r="AA53" s="122"/>
      <c r="AB53" s="122"/>
      <c r="AC53" s="122"/>
      <c r="AD53" s="122"/>
      <c r="AE53" s="122"/>
      <c r="AF53" s="122"/>
      <c r="AG53" s="122"/>
      <c r="AH53" s="122"/>
      <c r="AI53" s="122"/>
      <c r="AJ53" s="122"/>
    </row>
    <row r="54" spans="13:37" ht="30" customHeight="1">
      <c r="Y54" s="122"/>
      <c r="Z54" s="122"/>
      <c r="AA54" s="122"/>
      <c r="AB54" s="122"/>
      <c r="AC54" s="122"/>
      <c r="AD54" s="122"/>
      <c r="AE54" s="122"/>
      <c r="AF54" s="122"/>
      <c r="AG54" s="122"/>
      <c r="AH54" s="122"/>
      <c r="AI54" s="122"/>
      <c r="AJ54" s="122"/>
    </row>
    <row r="55" spans="13:37" ht="30" customHeight="1">
      <c r="Y55" s="122"/>
      <c r="Z55" s="122"/>
      <c r="AA55" s="122"/>
      <c r="AB55" s="122"/>
      <c r="AC55" s="122"/>
      <c r="AD55" s="122"/>
      <c r="AE55" s="122"/>
      <c r="AF55" s="122"/>
      <c r="AG55" s="122"/>
      <c r="AH55" s="122"/>
      <c r="AI55" s="122"/>
      <c r="AJ55" s="122"/>
    </row>
    <row r="56" spans="13:37" ht="30" customHeight="1">
      <c r="Y56" s="122"/>
      <c r="Z56" s="122"/>
      <c r="AA56" s="122"/>
      <c r="AB56" s="122"/>
      <c r="AC56" s="122"/>
      <c r="AD56" s="122"/>
      <c r="AE56" s="122"/>
      <c r="AF56" s="122"/>
      <c r="AG56" s="122"/>
      <c r="AH56" s="122"/>
      <c r="AI56" s="122"/>
      <c r="AJ56" s="122"/>
    </row>
    <row r="57" spans="13:37" ht="30" customHeight="1">
      <c r="Y57" s="122"/>
      <c r="Z57" s="122"/>
      <c r="AA57" s="122"/>
      <c r="AB57" s="122"/>
      <c r="AC57" s="122"/>
      <c r="AD57" s="122"/>
      <c r="AE57" s="122"/>
      <c r="AF57" s="122"/>
      <c r="AG57" s="122"/>
      <c r="AH57" s="122"/>
      <c r="AI57" s="122"/>
      <c r="AJ57" s="122"/>
    </row>
    <row r="58" spans="13:37" ht="30" customHeight="1">
      <c r="Y58" s="122"/>
      <c r="Z58" s="122"/>
      <c r="AA58" s="122"/>
      <c r="AB58" s="122"/>
      <c r="AC58" s="122"/>
      <c r="AD58" s="122"/>
      <c r="AE58" s="122"/>
      <c r="AF58" s="122"/>
      <c r="AG58" s="122"/>
      <c r="AH58" s="122"/>
      <c r="AI58" s="122"/>
      <c r="AJ58" s="122"/>
    </row>
    <row r="59" spans="13:37" ht="30" customHeight="1">
      <c r="Y59" s="122"/>
      <c r="Z59" s="122"/>
      <c r="AA59" s="122"/>
      <c r="AB59" s="122"/>
      <c r="AC59" s="122"/>
      <c r="AD59" s="122"/>
      <c r="AE59" s="122"/>
      <c r="AF59" s="122"/>
      <c r="AG59" s="122"/>
      <c r="AH59" s="122"/>
      <c r="AI59" s="122"/>
      <c r="AJ59" s="122"/>
    </row>
    <row r="60" spans="13:37" ht="30" customHeight="1">
      <c r="Z60" s="122"/>
      <c r="AA60" s="122"/>
      <c r="AB60" s="122"/>
      <c r="AC60" s="122"/>
      <c r="AD60" s="122"/>
      <c r="AE60" s="122"/>
      <c r="AF60" s="122"/>
      <c r="AG60" s="122"/>
      <c r="AH60" s="122"/>
      <c r="AI60" s="122"/>
      <c r="AJ60" s="122"/>
      <c r="AK60" s="122"/>
    </row>
    <row r="61" spans="13:37" ht="30" customHeight="1">
      <c r="Z61" s="122"/>
      <c r="AA61" s="122"/>
      <c r="AB61" s="122"/>
      <c r="AC61" s="122"/>
      <c r="AD61" s="122"/>
      <c r="AE61" s="122"/>
      <c r="AF61" s="122"/>
      <c r="AG61" s="122"/>
      <c r="AH61" s="122"/>
      <c r="AI61" s="122"/>
      <c r="AJ61" s="122"/>
      <c r="AK61" s="122"/>
    </row>
    <row r="62" spans="13:37" ht="30" customHeight="1">
      <c r="Z62" s="122"/>
      <c r="AA62" s="122"/>
      <c r="AB62" s="122"/>
      <c r="AC62" s="122"/>
      <c r="AD62" s="122"/>
      <c r="AE62" s="122"/>
      <c r="AF62" s="122"/>
      <c r="AG62" s="122"/>
      <c r="AH62" s="122"/>
      <c r="AI62" s="122"/>
      <c r="AJ62" s="122"/>
      <c r="AK62" s="122"/>
    </row>
    <row r="63" spans="13:37" ht="30" customHeight="1">
      <c r="Z63" s="122"/>
      <c r="AA63" s="122"/>
      <c r="AB63" s="122"/>
      <c r="AC63" s="122"/>
      <c r="AD63" s="122"/>
      <c r="AE63" s="122"/>
      <c r="AF63" s="122"/>
      <c r="AG63" s="122"/>
      <c r="AH63" s="122"/>
      <c r="AI63" s="122"/>
      <c r="AJ63" s="122"/>
      <c r="AK63" s="122"/>
    </row>
    <row r="64" spans="13:37" ht="30" customHeight="1">
      <c r="Z64" s="122"/>
      <c r="AA64" s="122"/>
      <c r="AB64" s="122"/>
      <c r="AC64" s="122"/>
      <c r="AD64" s="122"/>
      <c r="AE64" s="122"/>
      <c r="AF64" s="122"/>
      <c r="AG64" s="122"/>
      <c r="AH64" s="122"/>
      <c r="AI64" s="122"/>
      <c r="AJ64" s="122"/>
      <c r="AK64" s="122"/>
    </row>
    <row r="65" spans="26:37" ht="30" customHeight="1">
      <c r="Z65" s="122"/>
      <c r="AA65" s="122"/>
      <c r="AB65" s="122"/>
      <c r="AC65" s="122"/>
      <c r="AD65" s="122"/>
      <c r="AE65" s="122"/>
      <c r="AF65" s="122"/>
      <c r="AG65" s="122"/>
      <c r="AH65" s="122"/>
      <c r="AI65" s="122"/>
      <c r="AJ65" s="122"/>
      <c r="AK65" s="122"/>
    </row>
    <row r="66" spans="26:37" ht="30" customHeight="1">
      <c r="Z66" s="122"/>
      <c r="AA66" s="122"/>
      <c r="AB66" s="122"/>
      <c r="AC66" s="122"/>
      <c r="AD66" s="122"/>
      <c r="AE66" s="122"/>
      <c r="AF66" s="122"/>
      <c r="AG66" s="122"/>
      <c r="AH66" s="122"/>
      <c r="AI66" s="122"/>
      <c r="AJ66" s="122"/>
      <c r="AK66" s="122"/>
    </row>
    <row r="67" spans="26:37" ht="30" customHeight="1">
      <c r="Z67" s="122"/>
      <c r="AA67" s="122"/>
      <c r="AB67" s="122"/>
      <c r="AC67" s="122"/>
      <c r="AD67" s="122"/>
      <c r="AE67" s="122"/>
      <c r="AF67" s="122"/>
      <c r="AG67" s="122"/>
      <c r="AH67" s="122"/>
      <c r="AI67" s="122"/>
      <c r="AJ67" s="122"/>
      <c r="AK67" s="122"/>
    </row>
    <row r="68" spans="26:37" ht="30" customHeight="1">
      <c r="Z68" s="122"/>
      <c r="AA68" s="122"/>
      <c r="AB68" s="122"/>
      <c r="AC68" s="122"/>
      <c r="AD68" s="122"/>
      <c r="AE68" s="122"/>
      <c r="AF68" s="122"/>
      <c r="AG68" s="122"/>
      <c r="AH68" s="122"/>
      <c r="AI68" s="122"/>
      <c r="AJ68" s="122"/>
      <c r="AK68" s="122"/>
    </row>
    <row r="69" spans="26:37" ht="30" customHeight="1">
      <c r="Z69" s="122"/>
      <c r="AA69" s="122"/>
      <c r="AB69" s="122"/>
      <c r="AC69" s="122"/>
      <c r="AD69" s="122"/>
      <c r="AE69" s="122"/>
      <c r="AF69" s="122"/>
      <c r="AG69" s="122"/>
      <c r="AH69" s="122"/>
      <c r="AI69" s="122"/>
      <c r="AJ69" s="122"/>
      <c r="AK69" s="122"/>
    </row>
    <row r="70" spans="26:37" ht="30" customHeight="1">
      <c r="Z70" s="122"/>
      <c r="AA70" s="122"/>
      <c r="AB70" s="122"/>
      <c r="AC70" s="122"/>
      <c r="AD70" s="122"/>
      <c r="AE70" s="122"/>
      <c r="AF70" s="122"/>
      <c r="AG70" s="122"/>
      <c r="AH70" s="122"/>
      <c r="AI70" s="122"/>
      <c r="AJ70" s="122"/>
      <c r="AK70" s="122"/>
    </row>
    <row r="71" spans="26:37" ht="30" customHeight="1">
      <c r="Z71" s="122"/>
      <c r="AA71" s="122"/>
      <c r="AB71" s="122"/>
      <c r="AC71" s="122"/>
      <c r="AD71" s="122"/>
      <c r="AE71" s="122"/>
      <c r="AF71" s="122"/>
      <c r="AG71" s="122"/>
      <c r="AH71" s="122"/>
      <c r="AI71" s="122"/>
      <c r="AJ71" s="122"/>
      <c r="AK71" s="122"/>
    </row>
    <row r="72" spans="26:37" ht="30" customHeight="1">
      <c r="Z72" s="122"/>
      <c r="AA72" s="122"/>
      <c r="AB72" s="122"/>
      <c r="AC72" s="122"/>
      <c r="AD72" s="122"/>
      <c r="AE72" s="122"/>
      <c r="AF72" s="122"/>
      <c r="AG72" s="122"/>
      <c r="AH72" s="122"/>
      <c r="AI72" s="122"/>
      <c r="AJ72" s="122"/>
      <c r="AK72" s="122"/>
    </row>
    <row r="73" spans="26:37" ht="30" customHeight="1">
      <c r="Z73" s="122"/>
      <c r="AA73" s="122"/>
      <c r="AB73" s="122"/>
      <c r="AC73" s="122"/>
      <c r="AD73" s="122"/>
      <c r="AE73" s="122"/>
      <c r="AF73" s="122"/>
      <c r="AG73" s="122"/>
      <c r="AH73" s="122"/>
      <c r="AI73" s="122"/>
      <c r="AJ73" s="122"/>
      <c r="AK73" s="122"/>
    </row>
    <row r="74" spans="26:37" ht="30" customHeight="1">
      <c r="Z74" s="122"/>
      <c r="AA74" s="122"/>
      <c r="AB74" s="122"/>
      <c r="AC74" s="122"/>
      <c r="AD74" s="122"/>
      <c r="AE74" s="122"/>
      <c r="AF74" s="122"/>
      <c r="AG74" s="122"/>
      <c r="AH74" s="122"/>
      <c r="AI74" s="122"/>
      <c r="AJ74" s="122"/>
      <c r="AK74" s="122"/>
    </row>
    <row r="75" spans="26:37" ht="30" customHeight="1">
      <c r="Z75" s="122"/>
      <c r="AA75" s="122"/>
      <c r="AB75" s="122"/>
      <c r="AC75" s="122"/>
      <c r="AD75" s="122"/>
      <c r="AE75" s="122"/>
      <c r="AF75" s="122"/>
      <c r="AG75" s="122"/>
      <c r="AH75" s="122"/>
      <c r="AI75" s="122"/>
      <c r="AJ75" s="122"/>
      <c r="AK75" s="122"/>
    </row>
    <row r="76" spans="26:37" ht="30" customHeight="1">
      <c r="Z76" s="122"/>
      <c r="AA76" s="122"/>
      <c r="AB76" s="122"/>
      <c r="AC76" s="122"/>
      <c r="AD76" s="122"/>
      <c r="AE76" s="122"/>
      <c r="AF76" s="122"/>
      <c r="AG76" s="122"/>
      <c r="AH76" s="122"/>
      <c r="AI76" s="122"/>
      <c r="AJ76" s="122"/>
      <c r="AK76" s="122"/>
    </row>
    <row r="77" spans="26:37" ht="30" customHeight="1">
      <c r="Z77" s="122"/>
      <c r="AA77" s="122"/>
      <c r="AB77" s="122"/>
      <c r="AC77" s="122"/>
      <c r="AD77" s="122"/>
      <c r="AE77" s="122"/>
      <c r="AF77" s="122"/>
      <c r="AG77" s="122"/>
      <c r="AH77" s="122"/>
      <c r="AI77" s="122"/>
      <c r="AJ77" s="122"/>
      <c r="AK77" s="122"/>
    </row>
    <row r="78" spans="26:37" ht="30" customHeight="1">
      <c r="Z78" s="122"/>
      <c r="AA78" s="122"/>
      <c r="AB78" s="122"/>
      <c r="AC78" s="122"/>
      <c r="AD78" s="122"/>
      <c r="AE78" s="122"/>
      <c r="AF78" s="122"/>
      <c r="AG78" s="122"/>
      <c r="AH78" s="122"/>
      <c r="AI78" s="122"/>
      <c r="AJ78" s="122"/>
      <c r="AK78" s="122"/>
    </row>
    <row r="79" spans="26:37" ht="30" customHeight="1">
      <c r="Z79" s="122"/>
      <c r="AA79" s="122"/>
      <c r="AB79" s="122"/>
      <c r="AC79" s="122"/>
      <c r="AD79" s="122"/>
      <c r="AE79" s="122"/>
      <c r="AF79" s="122"/>
      <c r="AG79" s="122"/>
      <c r="AH79" s="122"/>
      <c r="AI79" s="122"/>
      <c r="AJ79" s="122"/>
      <c r="AK79" s="122"/>
    </row>
    <row r="80" spans="26:37" ht="30" customHeight="1">
      <c r="Z80" s="122"/>
      <c r="AA80" s="122"/>
      <c r="AB80" s="122"/>
      <c r="AC80" s="122"/>
      <c r="AD80" s="122"/>
      <c r="AE80" s="122"/>
      <c r="AF80" s="122"/>
      <c r="AG80" s="122"/>
      <c r="AH80" s="122"/>
      <c r="AI80" s="122"/>
      <c r="AJ80" s="122"/>
      <c r="AK80" s="122"/>
    </row>
    <row r="81" spans="26:37" ht="30" customHeight="1">
      <c r="Z81" s="122"/>
      <c r="AA81" s="122"/>
      <c r="AB81" s="122"/>
      <c r="AC81" s="122"/>
      <c r="AD81" s="122"/>
      <c r="AE81" s="122"/>
      <c r="AF81" s="122"/>
      <c r="AG81" s="122"/>
      <c r="AH81" s="122"/>
      <c r="AI81" s="122"/>
      <c r="AJ81" s="122"/>
      <c r="AK81" s="122"/>
    </row>
    <row r="82" spans="26:37" ht="30" customHeight="1">
      <c r="Z82" s="122"/>
      <c r="AA82" s="122"/>
      <c r="AB82" s="122"/>
      <c r="AC82" s="122"/>
      <c r="AD82" s="122"/>
      <c r="AE82" s="122"/>
      <c r="AF82" s="122"/>
      <c r="AG82" s="122"/>
      <c r="AH82" s="122"/>
      <c r="AI82" s="122"/>
      <c r="AJ82" s="122"/>
      <c r="AK82" s="122"/>
    </row>
    <row r="83" spans="26:37" ht="30" customHeight="1">
      <c r="Z83" s="122"/>
      <c r="AA83" s="122"/>
      <c r="AB83" s="122"/>
      <c r="AC83" s="122"/>
      <c r="AD83" s="122"/>
      <c r="AE83" s="122"/>
      <c r="AF83" s="122"/>
      <c r="AG83" s="122"/>
      <c r="AH83" s="122"/>
      <c r="AI83" s="122"/>
      <c r="AJ83" s="122"/>
      <c r="AK83" s="122"/>
    </row>
    <row r="84" spans="26:37" ht="30" customHeight="1">
      <c r="Z84" s="122"/>
      <c r="AA84" s="122"/>
      <c r="AB84" s="122"/>
      <c r="AC84" s="122"/>
      <c r="AD84" s="122"/>
      <c r="AE84" s="122"/>
      <c r="AF84" s="122"/>
      <c r="AG84" s="122"/>
      <c r="AH84" s="122"/>
      <c r="AI84" s="122"/>
      <c r="AJ84" s="122"/>
      <c r="AK84" s="122"/>
    </row>
    <row r="85" spans="26:37" ht="30" customHeight="1">
      <c r="Z85" s="122"/>
      <c r="AA85" s="122"/>
      <c r="AB85" s="122"/>
      <c r="AC85" s="122"/>
      <c r="AD85" s="122"/>
      <c r="AE85" s="122"/>
      <c r="AF85" s="122"/>
      <c r="AG85" s="122"/>
      <c r="AH85" s="122"/>
      <c r="AI85" s="122"/>
      <c r="AJ85" s="122"/>
      <c r="AK85" s="122"/>
    </row>
    <row r="86" spans="26:37" ht="30" customHeight="1">
      <c r="Z86" s="122"/>
      <c r="AA86" s="122"/>
      <c r="AB86" s="122"/>
      <c r="AC86" s="122"/>
      <c r="AD86" s="122"/>
      <c r="AE86" s="122"/>
      <c r="AF86" s="122"/>
      <c r="AG86" s="122"/>
      <c r="AH86" s="122"/>
      <c r="AI86" s="122"/>
      <c r="AJ86" s="122"/>
      <c r="AK86" s="122"/>
    </row>
    <row r="87" spans="26:37" ht="30" customHeight="1">
      <c r="Z87" s="122"/>
      <c r="AA87" s="122"/>
      <c r="AB87" s="122"/>
      <c r="AC87" s="122"/>
      <c r="AD87" s="122"/>
      <c r="AE87" s="122"/>
      <c r="AF87" s="122"/>
      <c r="AG87" s="122"/>
      <c r="AH87" s="122"/>
      <c r="AI87" s="122"/>
      <c r="AJ87" s="122"/>
      <c r="AK87" s="122"/>
    </row>
    <row r="88" spans="26:37" ht="30" customHeight="1">
      <c r="Z88" s="122"/>
      <c r="AA88" s="122"/>
      <c r="AB88" s="122"/>
      <c r="AC88" s="122"/>
      <c r="AD88" s="122"/>
      <c r="AE88" s="122"/>
      <c r="AF88" s="122"/>
      <c r="AG88" s="122"/>
      <c r="AH88" s="122"/>
      <c r="AI88" s="122"/>
      <c r="AJ88" s="122"/>
      <c r="AK88" s="122"/>
    </row>
    <row r="89" spans="26:37" ht="30" customHeight="1">
      <c r="Z89" s="122"/>
      <c r="AA89" s="122"/>
      <c r="AB89" s="122"/>
      <c r="AC89" s="122"/>
      <c r="AD89" s="122"/>
      <c r="AE89" s="122"/>
      <c r="AF89" s="122"/>
      <c r="AG89" s="122"/>
      <c r="AH89" s="122"/>
      <c r="AI89" s="122"/>
      <c r="AJ89" s="122"/>
      <c r="AK89" s="122"/>
    </row>
    <row r="90" spans="26:37" ht="30" customHeight="1">
      <c r="Z90" s="122"/>
      <c r="AA90" s="122"/>
      <c r="AB90" s="122"/>
      <c r="AC90" s="122"/>
      <c r="AD90" s="122"/>
      <c r="AE90" s="122"/>
      <c r="AF90" s="122"/>
      <c r="AG90" s="122"/>
      <c r="AH90" s="122"/>
      <c r="AI90" s="122"/>
      <c r="AJ90" s="122"/>
      <c r="AK90" s="122"/>
    </row>
    <row r="91" spans="26:37" ht="30" customHeight="1">
      <c r="Z91" s="122"/>
      <c r="AA91" s="122"/>
      <c r="AB91" s="122"/>
      <c r="AC91" s="122"/>
      <c r="AD91" s="122"/>
      <c r="AE91" s="122"/>
      <c r="AF91" s="122"/>
      <c r="AG91" s="122"/>
      <c r="AH91" s="122"/>
      <c r="AI91" s="122"/>
      <c r="AJ91" s="122"/>
      <c r="AK91" s="122"/>
    </row>
    <row r="92" spans="26:37" ht="30" customHeight="1">
      <c r="Z92" s="122"/>
      <c r="AA92" s="122"/>
      <c r="AB92" s="122"/>
      <c r="AC92" s="122"/>
      <c r="AD92" s="122"/>
      <c r="AE92" s="122"/>
      <c r="AF92" s="122"/>
      <c r="AG92" s="122"/>
      <c r="AH92" s="122"/>
      <c r="AI92" s="122"/>
      <c r="AJ92" s="122"/>
      <c r="AK92" s="122"/>
    </row>
    <row r="93" spans="26:37" ht="30" customHeight="1">
      <c r="Z93" s="122"/>
      <c r="AA93" s="122"/>
      <c r="AB93" s="122"/>
      <c r="AC93" s="122"/>
      <c r="AD93" s="122"/>
      <c r="AE93" s="122"/>
      <c r="AF93" s="122"/>
      <c r="AG93" s="122"/>
      <c r="AH93" s="122"/>
      <c r="AI93" s="122"/>
      <c r="AJ93" s="122"/>
      <c r="AK93" s="122"/>
    </row>
    <row r="94" spans="26:37" ht="30" customHeight="1">
      <c r="Z94" s="122"/>
      <c r="AA94" s="122"/>
      <c r="AB94" s="122"/>
      <c r="AC94" s="122"/>
      <c r="AD94" s="122"/>
      <c r="AE94" s="122"/>
      <c r="AF94" s="122"/>
      <c r="AG94" s="122"/>
      <c r="AH94" s="122"/>
      <c r="AI94" s="122"/>
      <c r="AJ94" s="122"/>
      <c r="AK94" s="122"/>
    </row>
    <row r="95" spans="26:37" ht="30" customHeight="1">
      <c r="Z95" s="122"/>
      <c r="AA95" s="122"/>
      <c r="AB95" s="122"/>
      <c r="AC95" s="122"/>
      <c r="AD95" s="122"/>
      <c r="AE95" s="122"/>
      <c r="AF95" s="122"/>
      <c r="AG95" s="122"/>
      <c r="AH95" s="122"/>
      <c r="AI95" s="122"/>
      <c r="AJ95" s="122"/>
      <c r="AK95" s="122"/>
    </row>
    <row r="96" spans="26:37" ht="30" customHeight="1">
      <c r="Z96" s="122"/>
      <c r="AA96" s="122"/>
      <c r="AB96" s="122"/>
      <c r="AC96" s="122"/>
      <c r="AD96" s="122"/>
      <c r="AE96" s="122"/>
      <c r="AF96" s="122"/>
      <c r="AG96" s="122"/>
      <c r="AH96" s="122"/>
      <c r="AI96" s="122"/>
      <c r="AJ96" s="122"/>
      <c r="AK96" s="122"/>
    </row>
    <row r="97" spans="26:37" ht="30" customHeight="1">
      <c r="Z97" s="122"/>
      <c r="AA97" s="122"/>
      <c r="AB97" s="122"/>
      <c r="AC97" s="122"/>
      <c r="AD97" s="122"/>
      <c r="AE97" s="122"/>
      <c r="AF97" s="122"/>
      <c r="AG97" s="122"/>
      <c r="AH97" s="122"/>
      <c r="AI97" s="122"/>
      <c r="AJ97" s="122"/>
      <c r="AK97" s="122"/>
    </row>
    <row r="98" spans="26:37" ht="30" customHeight="1">
      <c r="Z98" s="122"/>
      <c r="AA98" s="122"/>
      <c r="AB98" s="122"/>
      <c r="AC98" s="122"/>
      <c r="AD98" s="122"/>
      <c r="AE98" s="122"/>
      <c r="AF98" s="122"/>
      <c r="AG98" s="122"/>
      <c r="AH98" s="122"/>
      <c r="AI98" s="122"/>
      <c r="AJ98" s="122"/>
      <c r="AK98" s="122"/>
    </row>
    <row r="99" spans="26:37" ht="30" customHeight="1">
      <c r="Z99" s="122"/>
      <c r="AA99" s="122"/>
      <c r="AB99" s="122"/>
      <c r="AC99" s="122"/>
      <c r="AD99" s="122"/>
      <c r="AE99" s="122"/>
      <c r="AF99" s="122"/>
      <c r="AG99" s="122"/>
      <c r="AH99" s="122"/>
      <c r="AI99" s="122"/>
      <c r="AJ99" s="122"/>
      <c r="AK99" s="122"/>
    </row>
    <row r="100" spans="26:37" ht="30" customHeight="1">
      <c r="Z100" s="122"/>
      <c r="AA100" s="122"/>
      <c r="AB100" s="122"/>
      <c r="AC100" s="122"/>
      <c r="AD100" s="122"/>
      <c r="AE100" s="122"/>
      <c r="AF100" s="122"/>
      <c r="AG100" s="122"/>
      <c r="AH100" s="122"/>
      <c r="AI100" s="122"/>
      <c r="AJ100" s="122"/>
      <c r="AK100" s="122"/>
    </row>
    <row r="101" spans="26:37" ht="30" customHeight="1">
      <c r="Z101" s="122"/>
      <c r="AA101" s="122"/>
      <c r="AB101" s="122"/>
      <c r="AC101" s="122"/>
      <c r="AD101" s="122"/>
      <c r="AE101" s="122"/>
      <c r="AF101" s="122"/>
      <c r="AG101" s="122"/>
      <c r="AH101" s="122"/>
      <c r="AI101" s="122"/>
      <c r="AJ101" s="122"/>
      <c r="AK101" s="122"/>
    </row>
    <row r="102" spans="26:37" ht="30" customHeight="1">
      <c r="Z102" s="122"/>
      <c r="AA102" s="122"/>
      <c r="AB102" s="122"/>
      <c r="AC102" s="122"/>
      <c r="AD102" s="122"/>
      <c r="AE102" s="122"/>
      <c r="AF102" s="122"/>
      <c r="AG102" s="122"/>
      <c r="AH102" s="122"/>
      <c r="AI102" s="122"/>
      <c r="AJ102" s="122"/>
      <c r="AK102" s="122"/>
    </row>
    <row r="103" spans="26:37" ht="30" customHeight="1">
      <c r="Z103" s="122"/>
      <c r="AA103" s="122"/>
      <c r="AB103" s="122"/>
      <c r="AC103" s="122"/>
      <c r="AD103" s="122"/>
      <c r="AE103" s="122"/>
      <c r="AF103" s="122"/>
      <c r="AG103" s="122"/>
      <c r="AH103" s="122"/>
      <c r="AI103" s="122"/>
      <c r="AJ103" s="122"/>
      <c r="AK103" s="122"/>
    </row>
    <row r="104" spans="26:37" ht="30" customHeight="1">
      <c r="Z104" s="122"/>
      <c r="AA104" s="122"/>
      <c r="AB104" s="122"/>
      <c r="AC104" s="122"/>
      <c r="AD104" s="122"/>
      <c r="AE104" s="122"/>
      <c r="AF104" s="122"/>
      <c r="AG104" s="122"/>
      <c r="AH104" s="122"/>
      <c r="AI104" s="122"/>
      <c r="AJ104" s="122"/>
      <c r="AK104" s="122"/>
    </row>
    <row r="105" spans="26:37" ht="30" customHeight="1">
      <c r="Z105" s="122"/>
      <c r="AA105" s="122"/>
      <c r="AB105" s="122"/>
      <c r="AC105" s="122"/>
      <c r="AD105" s="122"/>
      <c r="AE105" s="122"/>
      <c r="AF105" s="122"/>
      <c r="AG105" s="122"/>
      <c r="AH105" s="122"/>
      <c r="AI105" s="122"/>
      <c r="AJ105" s="122"/>
      <c r="AK105" s="122"/>
    </row>
    <row r="106" spans="26:37" ht="30" customHeight="1">
      <c r="Z106" s="122"/>
      <c r="AA106" s="122"/>
      <c r="AB106" s="122"/>
      <c r="AC106" s="122"/>
      <c r="AD106" s="122"/>
      <c r="AE106" s="122"/>
      <c r="AF106" s="122"/>
      <c r="AG106" s="122"/>
      <c r="AH106" s="122"/>
      <c r="AI106" s="122"/>
      <c r="AJ106" s="122"/>
      <c r="AK106" s="122"/>
    </row>
    <row r="107" spans="26:37" ht="30" customHeight="1">
      <c r="Z107" s="122"/>
      <c r="AA107" s="122"/>
      <c r="AB107" s="122"/>
      <c r="AC107" s="122"/>
      <c r="AD107" s="122"/>
      <c r="AE107" s="122"/>
      <c r="AF107" s="122"/>
      <c r="AG107" s="122"/>
      <c r="AH107" s="122"/>
      <c r="AI107" s="122"/>
      <c r="AJ107" s="122"/>
      <c r="AK107" s="122"/>
    </row>
    <row r="108" spans="26:37" ht="30" customHeight="1">
      <c r="Z108" s="122"/>
      <c r="AA108" s="122"/>
      <c r="AB108" s="122"/>
      <c r="AC108" s="122"/>
      <c r="AD108" s="122"/>
      <c r="AE108" s="122"/>
      <c r="AF108" s="122"/>
      <c r="AG108" s="122"/>
      <c r="AH108" s="122"/>
      <c r="AI108" s="122"/>
      <c r="AJ108" s="122"/>
      <c r="AK108" s="122"/>
    </row>
    <row r="109" spans="26:37" ht="30" customHeight="1">
      <c r="Z109" s="122"/>
      <c r="AA109" s="122"/>
      <c r="AB109" s="122"/>
      <c r="AC109" s="122"/>
      <c r="AD109" s="122"/>
      <c r="AE109" s="122"/>
      <c r="AF109" s="122"/>
      <c r="AG109" s="122"/>
      <c r="AH109" s="122"/>
      <c r="AI109" s="122"/>
      <c r="AJ109" s="122"/>
      <c r="AK109" s="122"/>
    </row>
    <row r="110" spans="26:37" ht="30" customHeight="1">
      <c r="Z110" s="122"/>
      <c r="AA110" s="122"/>
      <c r="AB110" s="122"/>
      <c r="AC110" s="122"/>
      <c r="AD110" s="122"/>
      <c r="AE110" s="122"/>
      <c r="AF110" s="122"/>
      <c r="AG110" s="122"/>
      <c r="AH110" s="122"/>
      <c r="AI110" s="122"/>
      <c r="AJ110" s="122"/>
      <c r="AK110" s="122"/>
    </row>
    <row r="111" spans="26:37" ht="30" customHeight="1">
      <c r="Z111" s="122"/>
      <c r="AA111" s="122"/>
      <c r="AB111" s="122"/>
      <c r="AC111" s="122"/>
      <c r="AD111" s="122"/>
      <c r="AE111" s="122"/>
      <c r="AF111" s="122"/>
      <c r="AG111" s="122"/>
      <c r="AH111" s="122"/>
      <c r="AI111" s="122"/>
      <c r="AJ111" s="122"/>
      <c r="AK111" s="122"/>
    </row>
    <row r="112" spans="26:37" ht="30" customHeight="1">
      <c r="Z112" s="122"/>
      <c r="AA112" s="122"/>
      <c r="AB112" s="122"/>
      <c r="AC112" s="122"/>
      <c r="AD112" s="122"/>
      <c r="AE112" s="122"/>
      <c r="AF112" s="122"/>
      <c r="AG112" s="122"/>
      <c r="AH112" s="122"/>
      <c r="AI112" s="122"/>
      <c r="AJ112" s="122"/>
      <c r="AK112" s="122"/>
    </row>
    <row r="113" spans="26:37" ht="30" customHeight="1">
      <c r="Z113" s="122"/>
      <c r="AA113" s="122"/>
      <c r="AB113" s="122"/>
      <c r="AC113" s="122"/>
      <c r="AD113" s="122"/>
      <c r="AE113" s="122"/>
      <c r="AF113" s="122"/>
      <c r="AG113" s="122"/>
      <c r="AH113" s="122"/>
      <c r="AI113" s="122"/>
      <c r="AJ113" s="122"/>
      <c r="AK113" s="122"/>
    </row>
    <row r="114" spans="26:37" ht="30" customHeight="1">
      <c r="Z114" s="122"/>
      <c r="AA114" s="122"/>
      <c r="AB114" s="122"/>
      <c r="AC114" s="122"/>
      <c r="AD114" s="122"/>
      <c r="AE114" s="122"/>
      <c r="AF114" s="122"/>
      <c r="AG114" s="122"/>
      <c r="AH114" s="122"/>
      <c r="AI114" s="122"/>
      <c r="AJ114" s="122"/>
      <c r="AK114" s="122"/>
    </row>
    <row r="115" spans="26:37" ht="30" customHeight="1">
      <c r="Z115" s="122"/>
      <c r="AA115" s="122"/>
      <c r="AB115" s="122"/>
      <c r="AC115" s="122"/>
      <c r="AD115" s="122"/>
      <c r="AE115" s="122"/>
      <c r="AF115" s="122"/>
      <c r="AG115" s="122"/>
      <c r="AH115" s="122"/>
      <c r="AI115" s="122"/>
      <c r="AJ115" s="122"/>
      <c r="AK115" s="122"/>
    </row>
    <row r="116" spans="26:37" ht="30" customHeight="1">
      <c r="Z116" s="122"/>
      <c r="AA116" s="122"/>
      <c r="AB116" s="122"/>
      <c r="AC116" s="122"/>
      <c r="AD116" s="122"/>
      <c r="AE116" s="122"/>
      <c r="AF116" s="122"/>
      <c r="AG116" s="122"/>
      <c r="AH116" s="122"/>
      <c r="AI116" s="122"/>
      <c r="AJ116" s="122"/>
      <c r="AK116" s="122"/>
    </row>
    <row r="117" spans="26:37" ht="30" customHeight="1">
      <c r="Z117" s="122"/>
      <c r="AA117" s="122"/>
      <c r="AB117" s="122"/>
      <c r="AC117" s="122"/>
      <c r="AD117" s="122"/>
      <c r="AE117" s="122"/>
      <c r="AF117" s="122"/>
      <c r="AG117" s="122"/>
      <c r="AH117" s="122"/>
      <c r="AI117" s="122"/>
      <c r="AJ117" s="122"/>
      <c r="AK117" s="122"/>
    </row>
    <row r="118" spans="26:37" ht="30" customHeight="1">
      <c r="Z118" s="122"/>
      <c r="AA118" s="122"/>
      <c r="AB118" s="122"/>
      <c r="AC118" s="122"/>
      <c r="AD118" s="122"/>
      <c r="AE118" s="122"/>
      <c r="AF118" s="122"/>
      <c r="AG118" s="122"/>
      <c r="AH118" s="122"/>
      <c r="AI118" s="122"/>
      <c r="AJ118" s="122"/>
      <c r="AK118" s="122"/>
    </row>
    <row r="119" spans="26:37" ht="30" customHeight="1">
      <c r="Z119" s="122"/>
      <c r="AA119" s="122"/>
      <c r="AB119" s="122"/>
      <c r="AC119" s="122"/>
      <c r="AD119" s="122"/>
      <c r="AE119" s="122"/>
      <c r="AF119" s="122"/>
      <c r="AG119" s="122"/>
      <c r="AH119" s="122"/>
      <c r="AI119" s="122"/>
      <c r="AJ119" s="122"/>
      <c r="AK119" s="122"/>
    </row>
    <row r="120" spans="26:37" ht="30" customHeight="1">
      <c r="Z120" s="122"/>
      <c r="AA120" s="122"/>
      <c r="AB120" s="122"/>
      <c r="AC120" s="122"/>
      <c r="AD120" s="122"/>
      <c r="AE120" s="122"/>
      <c r="AF120" s="122"/>
      <c r="AG120" s="122"/>
      <c r="AH120" s="122"/>
      <c r="AI120" s="122"/>
      <c r="AJ120" s="122"/>
      <c r="AK120" s="122"/>
    </row>
    <row r="121" spans="26:37" ht="30" customHeight="1">
      <c r="Z121" s="122"/>
      <c r="AA121" s="122"/>
      <c r="AB121" s="122"/>
      <c r="AC121" s="122"/>
      <c r="AD121" s="122"/>
      <c r="AE121" s="122"/>
      <c r="AF121" s="122"/>
      <c r="AG121" s="122"/>
      <c r="AH121" s="122"/>
      <c r="AI121" s="122"/>
      <c r="AJ121" s="122"/>
      <c r="AK121" s="122"/>
    </row>
    <row r="122" spans="26:37" ht="30" customHeight="1">
      <c r="Z122" s="122"/>
      <c r="AA122" s="122"/>
      <c r="AB122" s="122"/>
      <c r="AC122" s="122"/>
      <c r="AD122" s="122"/>
      <c r="AE122" s="122"/>
      <c r="AF122" s="122"/>
      <c r="AG122" s="122"/>
      <c r="AH122" s="122"/>
      <c r="AI122" s="122"/>
      <c r="AJ122" s="122"/>
      <c r="AK122" s="122"/>
    </row>
    <row r="123" spans="26:37" ht="30" customHeight="1">
      <c r="Z123" s="122"/>
      <c r="AA123" s="122"/>
      <c r="AB123" s="122"/>
      <c r="AC123" s="122"/>
      <c r="AD123" s="122"/>
      <c r="AE123" s="122"/>
      <c r="AF123" s="122"/>
      <c r="AG123" s="122"/>
      <c r="AH123" s="122"/>
      <c r="AI123" s="122"/>
      <c r="AJ123" s="122"/>
      <c r="AK123" s="122"/>
    </row>
    <row r="124" spans="26:37" ht="30" customHeight="1">
      <c r="Z124" s="122"/>
      <c r="AA124" s="122"/>
      <c r="AB124" s="122"/>
      <c r="AC124" s="122"/>
      <c r="AD124" s="122"/>
      <c r="AE124" s="122"/>
      <c r="AF124" s="122"/>
      <c r="AG124" s="122"/>
      <c r="AH124" s="122"/>
      <c r="AI124" s="122"/>
      <c r="AJ124" s="122"/>
      <c r="AK124" s="122"/>
    </row>
    <row r="125" spans="26:37" ht="30" customHeight="1">
      <c r="Z125" s="122"/>
      <c r="AA125" s="122"/>
      <c r="AB125" s="122"/>
      <c r="AC125" s="122"/>
      <c r="AD125" s="122"/>
      <c r="AE125" s="122"/>
      <c r="AF125" s="122"/>
      <c r="AG125" s="122"/>
      <c r="AH125" s="122"/>
      <c r="AI125" s="122"/>
      <c r="AJ125" s="122"/>
      <c r="AK125" s="122"/>
    </row>
    <row r="126" spans="26:37" ht="30" customHeight="1">
      <c r="Z126" s="122"/>
      <c r="AA126" s="122"/>
      <c r="AB126" s="122"/>
      <c r="AC126" s="122"/>
      <c r="AD126" s="122"/>
      <c r="AE126" s="122"/>
      <c r="AF126" s="122"/>
      <c r="AG126" s="122"/>
      <c r="AH126" s="122"/>
      <c r="AI126" s="122"/>
      <c r="AJ126" s="122"/>
      <c r="AK126" s="122"/>
    </row>
    <row r="127" spans="26:37" ht="30" customHeight="1">
      <c r="Z127" s="122"/>
      <c r="AA127" s="122"/>
      <c r="AB127" s="122"/>
      <c r="AC127" s="122"/>
      <c r="AD127" s="122"/>
      <c r="AE127" s="122"/>
      <c r="AF127" s="122"/>
      <c r="AG127" s="122"/>
      <c r="AH127" s="122"/>
      <c r="AI127" s="122"/>
      <c r="AJ127" s="122"/>
      <c r="AK127" s="122"/>
    </row>
    <row r="128" spans="26:37" ht="30" customHeight="1">
      <c r="Z128" s="122"/>
      <c r="AA128" s="122"/>
      <c r="AB128" s="122"/>
      <c r="AC128" s="122"/>
      <c r="AD128" s="122"/>
      <c r="AE128" s="122"/>
      <c r="AF128" s="122"/>
      <c r="AG128" s="122"/>
      <c r="AH128" s="122"/>
      <c r="AI128" s="122"/>
      <c r="AJ128" s="122"/>
      <c r="AK128" s="122"/>
    </row>
    <row r="129" spans="26:37" ht="30" customHeight="1">
      <c r="Z129" s="122"/>
      <c r="AA129" s="122"/>
      <c r="AB129" s="122"/>
      <c r="AC129" s="122"/>
      <c r="AD129" s="122"/>
      <c r="AE129" s="122"/>
      <c r="AF129" s="122"/>
      <c r="AG129" s="122"/>
      <c r="AH129" s="122"/>
      <c r="AI129" s="122"/>
      <c r="AJ129" s="122"/>
      <c r="AK129" s="122"/>
    </row>
    <row r="130" spans="26:37" ht="30" customHeight="1">
      <c r="Z130" s="122"/>
      <c r="AA130" s="122"/>
      <c r="AB130" s="122"/>
      <c r="AC130" s="122"/>
      <c r="AD130" s="122"/>
      <c r="AE130" s="122"/>
      <c r="AF130" s="122"/>
      <c r="AG130" s="122"/>
      <c r="AH130" s="122"/>
      <c r="AI130" s="122"/>
      <c r="AJ130" s="122"/>
      <c r="AK130" s="122"/>
    </row>
    <row r="131" spans="26:37" ht="30" customHeight="1">
      <c r="Z131" s="122"/>
      <c r="AA131" s="122"/>
      <c r="AB131" s="122"/>
      <c r="AC131" s="122"/>
      <c r="AD131" s="122"/>
      <c r="AE131" s="122"/>
      <c r="AF131" s="122"/>
      <c r="AG131" s="122"/>
      <c r="AH131" s="122"/>
      <c r="AI131" s="122"/>
      <c r="AJ131" s="122"/>
      <c r="AK131" s="122"/>
    </row>
    <row r="132" spans="26:37" ht="30" customHeight="1">
      <c r="Z132" s="122"/>
      <c r="AA132" s="122"/>
      <c r="AB132" s="122"/>
      <c r="AC132" s="122"/>
      <c r="AD132" s="122"/>
      <c r="AE132" s="122"/>
      <c r="AF132" s="122"/>
      <c r="AG132" s="122"/>
      <c r="AH132" s="122"/>
      <c r="AI132" s="122"/>
      <c r="AJ132" s="122"/>
      <c r="AK132" s="122"/>
    </row>
    <row r="133" spans="26:37" ht="30" customHeight="1">
      <c r="Z133" s="122"/>
      <c r="AA133" s="122"/>
      <c r="AB133" s="122"/>
      <c r="AC133" s="122"/>
      <c r="AD133" s="122"/>
      <c r="AE133" s="122"/>
      <c r="AF133" s="122"/>
      <c r="AG133" s="122"/>
      <c r="AH133" s="122"/>
      <c r="AI133" s="122"/>
      <c r="AJ133" s="122"/>
      <c r="AK133" s="122"/>
    </row>
    <row r="134" spans="26:37" ht="30" customHeight="1">
      <c r="AK134" s="122"/>
    </row>
    <row r="135" spans="26:37" ht="30" customHeight="1">
      <c r="AK135" s="122"/>
    </row>
    <row r="136" spans="26:37" ht="30" customHeight="1">
      <c r="AK136" s="122"/>
    </row>
    <row r="137" spans="26:37" ht="30" customHeight="1">
      <c r="AK137" s="122"/>
    </row>
    <row r="138" spans="26:37" ht="30" customHeight="1">
      <c r="AK138" s="122"/>
    </row>
    <row r="139" spans="26:37" ht="30" customHeight="1">
      <c r="AK139" s="122"/>
    </row>
    <row r="140" spans="26:37" ht="30" customHeight="1">
      <c r="AK140" s="122"/>
    </row>
    <row r="141" spans="26:37" ht="30" customHeight="1">
      <c r="AK141" s="122"/>
    </row>
    <row r="142" spans="26:37" ht="30" customHeight="1">
      <c r="AK142" s="122"/>
    </row>
    <row r="143" spans="26:37" ht="30" customHeight="1">
      <c r="AK143" s="122"/>
    </row>
    <row r="144" spans="26:37" ht="30" customHeight="1">
      <c r="AK144" s="122"/>
    </row>
    <row r="145" spans="37:37" ht="30" customHeight="1">
      <c r="AK145" s="122"/>
    </row>
    <row r="146" spans="37:37" ht="30" customHeight="1">
      <c r="AK146" s="122"/>
    </row>
    <row r="147" spans="37:37" ht="30" customHeight="1">
      <c r="AK147" s="122"/>
    </row>
    <row r="148" spans="37:37" ht="30" customHeight="1">
      <c r="AK148" s="122"/>
    </row>
    <row r="149" spans="37:37" ht="30" customHeight="1">
      <c r="AK149" s="122"/>
    </row>
    <row r="150" spans="37:37" ht="30" customHeight="1">
      <c r="AK150" s="122"/>
    </row>
    <row r="151" spans="37:37" ht="30" customHeight="1">
      <c r="AK151" s="122"/>
    </row>
    <row r="152" spans="37:37" ht="30" customHeight="1">
      <c r="AK152" s="122"/>
    </row>
    <row r="153" spans="37:37" ht="30" customHeight="1">
      <c r="AK153" s="122"/>
    </row>
    <row r="154" spans="37:37" ht="30" customHeight="1">
      <c r="AK154" s="122"/>
    </row>
    <row r="155" spans="37:37" ht="30" customHeight="1">
      <c r="AK155" s="122"/>
    </row>
    <row r="156" spans="37:37" ht="30" customHeight="1">
      <c r="AK156" s="122"/>
    </row>
  </sheetData>
  <mergeCells count="20">
    <mergeCell ref="O2:Q2"/>
    <mergeCell ref="R2:R3"/>
    <mergeCell ref="S2:V2"/>
    <mergeCell ref="W2:W3"/>
    <mergeCell ref="X2:X3"/>
    <mergeCell ref="C2:E2"/>
    <mergeCell ref="F2:F3"/>
    <mergeCell ref="G2:J2"/>
    <mergeCell ref="K2:K3"/>
    <mergeCell ref="L2:L3"/>
    <mergeCell ref="X10:X11"/>
    <mergeCell ref="O20:Q20"/>
    <mergeCell ref="R20:R21"/>
    <mergeCell ref="S20:V20"/>
    <mergeCell ref="W20:W21"/>
    <mergeCell ref="X20:X21"/>
    <mergeCell ref="O10:Q10"/>
    <mergeCell ref="R10:R11"/>
    <mergeCell ref="S10:V10"/>
    <mergeCell ref="W10:W11"/>
  </mergeCells>
  <phoneticPr fontId="1" type="noConversion"/>
  <conditionalFormatting sqref="AJ8:AJ9">
    <cfRule type="expression" dxfId="327" priority="43">
      <formula>EXACT("P",#REF!)</formula>
    </cfRule>
    <cfRule type="expression" dxfId="326" priority="44">
      <formula>EXACT("C",#REF!)</formula>
    </cfRule>
  </conditionalFormatting>
  <conditionalFormatting sqref="Y50 AJ16:AJ17">
    <cfRule type="expression" dxfId="325" priority="45">
      <formula>EXACT("P",#REF!)</formula>
    </cfRule>
    <cfRule type="expression" dxfId="324" priority="46">
      <formula>EXACT("C",#REF!)</formula>
    </cfRule>
  </conditionalFormatting>
  <conditionalFormatting sqref="L2 L16:L20 L34:L1048552">
    <cfRule type="expression" dxfId="323" priority="47">
      <formula>EXACT("P",$K3)</formula>
    </cfRule>
    <cfRule type="expression" dxfId="322" priority="48">
      <formula>EXACT("C",$K3)</formula>
    </cfRule>
  </conditionalFormatting>
  <conditionalFormatting sqref="AJ18:AJ19 Y49 Y47">
    <cfRule type="expression" dxfId="321" priority="51">
      <formula>EXACT("P",#REF!)</formula>
    </cfRule>
    <cfRule type="expression" dxfId="320" priority="52">
      <formula>EXACT("C",#REF!)</formula>
    </cfRule>
  </conditionalFormatting>
  <conditionalFormatting sqref="AJ10">
    <cfRule type="expression" dxfId="319" priority="55">
      <formula>EXACT("P",#REF!)</formula>
    </cfRule>
    <cfRule type="expression" dxfId="318" priority="56">
      <formula>EXACT("C",#REF!)</formula>
    </cfRule>
  </conditionalFormatting>
  <conditionalFormatting sqref="L25 L21:L23">
    <cfRule type="expression" dxfId="317" priority="57">
      <formula>EXACT("P",#REF!)</formula>
    </cfRule>
    <cfRule type="expression" dxfId="316" priority="58">
      <formula>EXACT("C",#REF!)</formula>
    </cfRule>
  </conditionalFormatting>
  <conditionalFormatting sqref="X2:X3">
    <cfRule type="expression" dxfId="315" priority="59">
      <formula>EXACT("P",#REF!)</formula>
    </cfRule>
    <cfRule type="expression" dxfId="314" priority="60">
      <formula>EXACT("C",#REF!)</formula>
    </cfRule>
  </conditionalFormatting>
  <conditionalFormatting sqref="X4:X8">
    <cfRule type="expression" dxfId="313" priority="61">
      <formula>EXACT("P",#REF!)</formula>
    </cfRule>
    <cfRule type="expression" dxfId="312" priority="62">
      <formula>EXACT("C",#REF!)</formula>
    </cfRule>
  </conditionalFormatting>
  <conditionalFormatting sqref="L28">
    <cfRule type="expression" dxfId="311" priority="67">
      <formula>EXACT("P",#REF!)</formula>
    </cfRule>
    <cfRule type="expression" dxfId="310" priority="68">
      <formula>EXACT("C",#REF!)</formula>
    </cfRule>
  </conditionalFormatting>
  <conditionalFormatting sqref="L33">
    <cfRule type="expression" dxfId="309" priority="69">
      <formula>EXACT("P",$K35)</formula>
    </cfRule>
    <cfRule type="expression" dxfId="308" priority="70">
      <formula>EXACT("C",$K35)</formula>
    </cfRule>
  </conditionalFormatting>
  <conditionalFormatting sqref="L32">
    <cfRule type="expression" dxfId="307" priority="71">
      <formula>EXACT("P",$K35)</formula>
    </cfRule>
    <cfRule type="expression" dxfId="306" priority="72">
      <formula>EXACT("C",$K35)</formula>
    </cfRule>
  </conditionalFormatting>
  <conditionalFormatting sqref="L31">
    <cfRule type="expression" dxfId="305" priority="73">
      <formula>EXACT("P",$K35)</formula>
    </cfRule>
    <cfRule type="expression" dxfId="304" priority="74">
      <formula>EXACT("C",$K35)</formula>
    </cfRule>
  </conditionalFormatting>
  <conditionalFormatting sqref="L29:L30">
    <cfRule type="expression" dxfId="303" priority="75">
      <formula>EXACT("P",$K34)</formula>
    </cfRule>
    <cfRule type="expression" dxfId="302" priority="76">
      <formula>EXACT("C",$K34)</formula>
    </cfRule>
  </conditionalFormatting>
  <conditionalFormatting sqref="X9">
    <cfRule type="expression" dxfId="301" priority="85">
      <formula>EXACT("P",#REF!)</formula>
    </cfRule>
    <cfRule type="expression" dxfId="300" priority="86">
      <formula>EXACT("C",#REF!)</formula>
    </cfRule>
  </conditionalFormatting>
  <conditionalFormatting sqref="AJ20">
    <cfRule type="expression" dxfId="299" priority="91">
      <formula>EXACT("P",#REF!)</formula>
    </cfRule>
    <cfRule type="expression" dxfId="298" priority="92">
      <formula>EXACT("C",#REF!)</formula>
    </cfRule>
  </conditionalFormatting>
  <conditionalFormatting sqref="L15 L3:L12">
    <cfRule type="expression" dxfId="297" priority="99">
      <formula>EXACT("P",#REF!)</formula>
    </cfRule>
    <cfRule type="expression" dxfId="296" priority="100">
      <formula>EXACT("C",#REF!)</formula>
    </cfRule>
  </conditionalFormatting>
  <conditionalFormatting sqref="X31">
    <cfRule type="expression" dxfId="295" priority="31">
      <formula>EXACT("P",#REF!)</formula>
    </cfRule>
    <cfRule type="expression" dxfId="294" priority="32">
      <formula>EXACT("C",#REF!)</formula>
    </cfRule>
  </conditionalFormatting>
  <conditionalFormatting sqref="X32 Y51">
    <cfRule type="expression" dxfId="293" priority="35">
      <formula>EXACT("P",#REF!)</formula>
    </cfRule>
    <cfRule type="expression" dxfId="292" priority="36">
      <formula>EXACT("C",#REF!)</formula>
    </cfRule>
  </conditionalFormatting>
  <conditionalFormatting sqref="X42">
    <cfRule type="expression" dxfId="291" priority="27">
      <formula>EXACT("P",$X11)</formula>
    </cfRule>
    <cfRule type="expression" dxfId="290" priority="28">
      <formula>EXACT("C",$X11)</formula>
    </cfRule>
  </conditionalFormatting>
  <conditionalFormatting sqref="Y52">
    <cfRule type="expression" dxfId="289" priority="105">
      <formula>EXACT("P",#REF!)</formula>
    </cfRule>
    <cfRule type="expression" dxfId="288" priority="106">
      <formula>EXACT("C",#REF!)</formula>
    </cfRule>
  </conditionalFormatting>
  <conditionalFormatting sqref="X24">
    <cfRule type="expression" dxfId="287" priority="3">
      <formula>EXACT("P",#REF!)</formula>
    </cfRule>
    <cfRule type="expression" dxfId="286" priority="4">
      <formula>EXACT("C",#REF!)</formula>
    </cfRule>
  </conditionalFormatting>
  <conditionalFormatting sqref="X12:X15">
    <cfRule type="expression" dxfId="285" priority="1">
      <formula>EXACT("P",#REF!)</formula>
    </cfRule>
    <cfRule type="expression" dxfId="284" priority="2">
      <formula>EXACT("C",#REF!)</formula>
    </cfRule>
  </conditionalFormatting>
  <conditionalFormatting sqref="X10:X11">
    <cfRule type="expression" dxfId="283" priority="5">
      <formula>EXACT("P",#REF!)</formula>
    </cfRule>
    <cfRule type="expression" dxfId="282" priority="6">
      <formula>EXACT("C",#REF!)</formula>
    </cfRule>
  </conditionalFormatting>
  <conditionalFormatting sqref="X16:X17">
    <cfRule type="expression" dxfId="281" priority="7">
      <formula>EXACT("P",#REF!)</formula>
    </cfRule>
    <cfRule type="expression" dxfId="280" priority="8">
      <formula>EXACT("C",#REF!)</formula>
    </cfRule>
  </conditionalFormatting>
  <conditionalFormatting sqref="X18">
    <cfRule type="expression" dxfId="279" priority="9">
      <formula>EXACT("P",#REF!)</formula>
    </cfRule>
    <cfRule type="expression" dxfId="278" priority="10">
      <formula>EXACT("C",#REF!)</formula>
    </cfRule>
  </conditionalFormatting>
  <conditionalFormatting sqref="X20:X22">
    <cfRule type="expression" dxfId="277" priority="11">
      <formula>EXACT("P",#REF!)</formula>
    </cfRule>
    <cfRule type="expression" dxfId="276" priority="12">
      <formula>EXACT("C",#REF!)</formula>
    </cfRule>
  </conditionalFormatting>
  <conditionalFormatting sqref="L1048553:L1048576">
    <cfRule type="expression" dxfId="275" priority="1330">
      <formula>EXACT("P",$K1)</formula>
    </cfRule>
    <cfRule type="expression" dxfId="274" priority="1331">
      <formula>EXACT("C",$K1)</formula>
    </cfRule>
  </conditionalFormatting>
  <conditionalFormatting sqref="Y45:Y46">
    <cfRule type="expression" dxfId="273" priority="1336">
      <formula>EXACT("P",#REF!)</formula>
    </cfRule>
    <cfRule type="expression" dxfId="272" priority="1337">
      <formula>EXACT("C",#REF!)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M45"/>
  <sheetViews>
    <sheetView tabSelected="1" topLeftCell="T1" zoomScale="85" zoomScaleNormal="85" workbookViewId="0">
      <selection activeCell="AC47" sqref="AC47"/>
    </sheetView>
  </sheetViews>
  <sheetFormatPr defaultColWidth="9" defaultRowHeight="30" customHeight="1"/>
  <cols>
    <col min="1" max="1" width="9" style="157"/>
    <col min="2" max="2" width="10.625" style="157" customWidth="1"/>
    <col min="3" max="3" width="30.625" style="156" customWidth="1"/>
    <col min="4" max="4" width="100.625" style="171" customWidth="1"/>
    <col min="5" max="5" width="10.625" style="159" customWidth="1"/>
    <col min="6" max="6" width="30.625" style="157" customWidth="1"/>
    <col min="7" max="10" width="5.625" style="157" customWidth="1"/>
    <col min="11" max="11" width="20.625" style="157" customWidth="1"/>
    <col min="12" max="12" width="5.625" style="156" customWidth="1"/>
    <col min="13" max="13" width="9.875" style="156" customWidth="1"/>
    <col min="14" max="14" width="10.625" style="156" customWidth="1"/>
    <col min="15" max="15" width="30.625" style="156" customWidth="1"/>
    <col min="16" max="16" width="100.625" style="156" customWidth="1"/>
    <col min="17" max="17" width="10.625" style="156" customWidth="1"/>
    <col min="18" max="18" width="30.625" style="156" customWidth="1"/>
    <col min="19" max="19" width="5.625" style="156" customWidth="1"/>
    <col min="20" max="22" width="5.625" style="157" customWidth="1"/>
    <col min="23" max="23" width="20.625" style="157" customWidth="1"/>
    <col min="24" max="24" width="5.625" style="157" customWidth="1"/>
    <col min="25" max="25" width="9" style="157"/>
    <col min="26" max="26" width="10.625" style="157" customWidth="1"/>
    <col min="27" max="27" width="30.625" style="157" customWidth="1"/>
    <col min="28" max="28" width="100.625" style="157" customWidth="1"/>
    <col min="29" max="29" width="10.625" style="157" customWidth="1"/>
    <col min="30" max="30" width="30.625" style="157" customWidth="1"/>
    <col min="31" max="34" width="5.625" style="157" customWidth="1"/>
    <col min="35" max="35" width="20.625" style="157" customWidth="1"/>
    <col min="36" max="36" width="5.625" style="157" customWidth="1"/>
    <col min="37" max="16384" width="9" style="157"/>
  </cols>
  <sheetData>
    <row r="1" spans="1:65" s="153" customFormat="1" ht="30" customHeight="1" thickBot="1">
      <c r="B1" s="153" t="s">
        <v>226</v>
      </c>
      <c r="C1" s="154" t="s">
        <v>227</v>
      </c>
      <c r="D1" s="154" t="s">
        <v>228</v>
      </c>
      <c r="E1" s="155" t="s">
        <v>226</v>
      </c>
      <c r="F1" s="153" t="s">
        <v>227</v>
      </c>
      <c r="G1" s="153" t="s">
        <v>229</v>
      </c>
      <c r="H1" s="153" t="s">
        <v>229</v>
      </c>
      <c r="I1" s="153" t="s">
        <v>229</v>
      </c>
      <c r="J1" s="153" t="s">
        <v>229</v>
      </c>
      <c r="K1" s="153" t="s">
        <v>230</v>
      </c>
      <c r="L1" s="153" t="s">
        <v>229</v>
      </c>
      <c r="N1" s="153" t="s">
        <v>226</v>
      </c>
      <c r="O1" s="154" t="s">
        <v>227</v>
      </c>
      <c r="P1" s="154" t="s">
        <v>228</v>
      </c>
      <c r="Q1" s="155" t="s">
        <v>226</v>
      </c>
      <c r="R1" s="153" t="s">
        <v>227</v>
      </c>
      <c r="S1" s="153" t="s">
        <v>229</v>
      </c>
      <c r="T1" s="153" t="s">
        <v>229</v>
      </c>
      <c r="U1" s="153" t="s">
        <v>229</v>
      </c>
      <c r="V1" s="153" t="s">
        <v>229</v>
      </c>
      <c r="W1" s="153" t="s">
        <v>230</v>
      </c>
      <c r="X1" s="153" t="s">
        <v>229</v>
      </c>
      <c r="Z1" s="153" t="s">
        <v>226</v>
      </c>
      <c r="AA1" s="154" t="s">
        <v>227</v>
      </c>
      <c r="AB1" s="154" t="s">
        <v>228</v>
      </c>
      <c r="AC1" s="155" t="s">
        <v>226</v>
      </c>
      <c r="AD1" s="153" t="s">
        <v>227</v>
      </c>
      <c r="AE1" s="153" t="s">
        <v>229</v>
      </c>
      <c r="AF1" s="153" t="s">
        <v>229</v>
      </c>
      <c r="AG1" s="153" t="s">
        <v>229</v>
      </c>
      <c r="AH1" s="153" t="s">
        <v>229</v>
      </c>
      <c r="AI1" s="153" t="s">
        <v>230</v>
      </c>
      <c r="AJ1" s="153" t="s">
        <v>229</v>
      </c>
      <c r="AM1" s="154"/>
      <c r="AN1" s="154"/>
      <c r="AO1" s="155"/>
      <c r="AY1" s="154"/>
      <c r="AZ1" s="154"/>
      <c r="BA1" s="155"/>
      <c r="BK1" s="154"/>
      <c r="BL1" s="154"/>
      <c r="BM1" s="155"/>
    </row>
    <row r="2" spans="1:65" ht="30" customHeight="1">
      <c r="B2" s="206" t="s">
        <v>73</v>
      </c>
      <c r="C2" s="471" t="s">
        <v>592</v>
      </c>
      <c r="D2" s="471"/>
      <c r="E2" s="471"/>
      <c r="F2" s="451" t="s">
        <v>62</v>
      </c>
      <c r="G2" s="453" t="s">
        <v>63</v>
      </c>
      <c r="H2" s="453"/>
      <c r="I2" s="453"/>
      <c r="J2" s="453"/>
      <c r="K2" s="472" t="s">
        <v>85</v>
      </c>
      <c r="L2" s="454" t="s">
        <v>64</v>
      </c>
      <c r="N2" s="210" t="s">
        <v>171</v>
      </c>
      <c r="O2" s="483" t="s">
        <v>690</v>
      </c>
      <c r="P2" s="483"/>
      <c r="Q2" s="483"/>
      <c r="R2" s="451" t="s">
        <v>62</v>
      </c>
      <c r="S2" s="453" t="s">
        <v>63</v>
      </c>
      <c r="T2" s="453"/>
      <c r="U2" s="453"/>
      <c r="V2" s="453"/>
      <c r="W2" s="479" t="s">
        <v>85</v>
      </c>
      <c r="X2" s="454" t="s">
        <v>64</v>
      </c>
      <c r="Z2" s="214" t="s">
        <v>81</v>
      </c>
      <c r="AA2" s="477" t="s">
        <v>1060</v>
      </c>
      <c r="AB2" s="477"/>
      <c r="AC2" s="477"/>
      <c r="AD2" s="451" t="s">
        <v>62</v>
      </c>
      <c r="AE2" s="453" t="s">
        <v>63</v>
      </c>
      <c r="AF2" s="453"/>
      <c r="AG2" s="453"/>
      <c r="AH2" s="453"/>
      <c r="AI2" s="479" t="s">
        <v>85</v>
      </c>
      <c r="AJ2" s="454" t="s">
        <v>64</v>
      </c>
    </row>
    <row r="3" spans="1:65" ht="30" customHeight="1">
      <c r="B3" s="194" t="s">
        <v>80</v>
      </c>
      <c r="C3" s="141" t="s">
        <v>65</v>
      </c>
      <c r="D3" s="141" t="s">
        <v>66</v>
      </c>
      <c r="E3" s="146" t="s">
        <v>67</v>
      </c>
      <c r="F3" s="478"/>
      <c r="G3" s="141" t="s">
        <v>68</v>
      </c>
      <c r="H3" s="141" t="s">
        <v>69</v>
      </c>
      <c r="I3" s="141" t="s">
        <v>70</v>
      </c>
      <c r="J3" s="141" t="s">
        <v>71</v>
      </c>
      <c r="K3" s="482"/>
      <c r="L3" s="481"/>
      <c r="N3" s="194" t="s">
        <v>80</v>
      </c>
      <c r="O3" s="400" t="s">
        <v>65</v>
      </c>
      <c r="P3" s="400" t="s">
        <v>66</v>
      </c>
      <c r="Q3" s="400" t="s">
        <v>67</v>
      </c>
      <c r="R3" s="478"/>
      <c r="S3" s="400" t="s">
        <v>68</v>
      </c>
      <c r="T3" s="400" t="s">
        <v>69</v>
      </c>
      <c r="U3" s="400" t="s">
        <v>70</v>
      </c>
      <c r="V3" s="400" t="s">
        <v>71</v>
      </c>
      <c r="W3" s="480"/>
      <c r="X3" s="481"/>
      <c r="Z3" s="194" t="s">
        <v>80</v>
      </c>
      <c r="AA3" s="447" t="s">
        <v>65</v>
      </c>
      <c r="AB3" s="447" t="s">
        <v>66</v>
      </c>
      <c r="AC3" s="447" t="s">
        <v>67</v>
      </c>
      <c r="AD3" s="478"/>
      <c r="AE3" s="447" t="s">
        <v>68</v>
      </c>
      <c r="AF3" s="447" t="s">
        <v>69</v>
      </c>
      <c r="AG3" s="447" t="s">
        <v>70</v>
      </c>
      <c r="AH3" s="447" t="s">
        <v>71</v>
      </c>
      <c r="AI3" s="480"/>
      <c r="AJ3" s="481"/>
    </row>
    <row r="4" spans="1:65" s="28" customFormat="1" ht="30" customHeight="1">
      <c r="B4" s="182" t="s">
        <v>606</v>
      </c>
      <c r="C4" s="31" t="s">
        <v>938</v>
      </c>
      <c r="D4" s="62" t="s">
        <v>941</v>
      </c>
      <c r="E4" s="162" t="str">
        <f>Mission!B21</f>
        <v>TSE-005</v>
      </c>
      <c r="F4" s="59" t="s">
        <v>625</v>
      </c>
      <c r="G4" s="31" t="s">
        <v>154</v>
      </c>
      <c r="H4" s="31"/>
      <c r="I4" s="31" t="s">
        <v>154</v>
      </c>
      <c r="J4" s="31" t="s">
        <v>154</v>
      </c>
      <c r="K4" s="31"/>
      <c r="L4" s="192"/>
      <c r="M4" s="46"/>
      <c r="N4" s="182" t="s">
        <v>691</v>
      </c>
      <c r="O4" s="30" t="s">
        <v>629</v>
      </c>
      <c r="P4" s="63" t="s">
        <v>838</v>
      </c>
      <c r="Q4" s="30" t="str">
        <f>B4</f>
        <v>PAYR-001</v>
      </c>
      <c r="R4" s="30" t="s">
        <v>640</v>
      </c>
      <c r="S4" s="31" t="s">
        <v>154</v>
      </c>
      <c r="T4" s="31"/>
      <c r="U4" s="31"/>
      <c r="V4" s="31"/>
      <c r="W4" s="31"/>
      <c r="X4" s="192"/>
      <c r="Z4" s="182" t="s">
        <v>1061</v>
      </c>
      <c r="AA4" s="30" t="s">
        <v>1023</v>
      </c>
      <c r="AB4" s="88" t="s">
        <v>1054</v>
      </c>
      <c r="AC4" s="89" t="s">
        <v>1088</v>
      </c>
      <c r="AD4" s="30" t="s">
        <v>1106</v>
      </c>
      <c r="AE4" s="31"/>
      <c r="AF4" s="31"/>
      <c r="AG4" s="31"/>
      <c r="AH4" s="31"/>
      <c r="AI4" s="31"/>
      <c r="AJ4" s="192"/>
    </row>
    <row r="5" spans="1:65" s="28" customFormat="1" ht="30" customHeight="1">
      <c r="B5" s="182" t="s">
        <v>608</v>
      </c>
      <c r="C5" s="31" t="s">
        <v>939</v>
      </c>
      <c r="D5" s="62" t="s">
        <v>942</v>
      </c>
      <c r="E5" s="162" t="str">
        <f>Mission!B25</f>
        <v>TSE-009</v>
      </c>
      <c r="F5" s="30"/>
      <c r="G5" s="31"/>
      <c r="H5" s="31"/>
      <c r="I5" s="31"/>
      <c r="J5" s="31"/>
      <c r="K5" s="31"/>
      <c r="L5" s="192"/>
      <c r="M5" s="46"/>
      <c r="N5" s="182" t="s">
        <v>692</v>
      </c>
      <c r="O5" s="30" t="s">
        <v>939</v>
      </c>
      <c r="P5" s="88" t="s">
        <v>846</v>
      </c>
      <c r="Q5" s="89" t="str">
        <f>B4</f>
        <v>PAYR-001</v>
      </c>
      <c r="R5" s="30" t="s">
        <v>638</v>
      </c>
      <c r="S5" s="31"/>
      <c r="T5" s="31" t="s">
        <v>154</v>
      </c>
      <c r="U5" s="31"/>
      <c r="V5" s="31"/>
      <c r="W5" s="31"/>
      <c r="X5" s="192"/>
      <c r="Z5" s="182" t="s">
        <v>1062</v>
      </c>
      <c r="AA5" s="30" t="s">
        <v>1024</v>
      </c>
      <c r="AB5" s="87" t="s">
        <v>1055</v>
      </c>
      <c r="AC5" s="30" t="s">
        <v>1089</v>
      </c>
      <c r="AD5" s="30" t="s">
        <v>708</v>
      </c>
      <c r="AE5" s="31"/>
      <c r="AF5" s="31"/>
      <c r="AG5" s="31"/>
      <c r="AH5" s="31"/>
      <c r="AI5" s="31"/>
      <c r="AJ5" s="192"/>
    </row>
    <row r="6" spans="1:65" s="28" customFormat="1" ht="30" customHeight="1">
      <c r="B6" s="182" t="s">
        <v>607</v>
      </c>
      <c r="C6" s="30" t="s">
        <v>936</v>
      </c>
      <c r="D6" s="410" t="s">
        <v>937</v>
      </c>
      <c r="E6" s="30" t="str">
        <f>Mission!B21</f>
        <v>TSE-005</v>
      </c>
      <c r="F6" s="30" t="s">
        <v>707</v>
      </c>
      <c r="G6" s="31" t="s">
        <v>154</v>
      </c>
      <c r="H6" s="31"/>
      <c r="I6" s="31" t="s">
        <v>154</v>
      </c>
      <c r="J6" s="395"/>
      <c r="K6" s="31"/>
      <c r="L6" s="218"/>
      <c r="M6" s="46"/>
      <c r="N6" s="182" t="s">
        <v>693</v>
      </c>
      <c r="O6" s="30" t="s">
        <v>642</v>
      </c>
      <c r="P6" s="404" t="s">
        <v>943</v>
      </c>
      <c r="Q6" s="30" t="str">
        <f>B6</f>
        <v>PAYR-003</v>
      </c>
      <c r="R6" s="30" t="s">
        <v>708</v>
      </c>
      <c r="S6" s="31" t="s">
        <v>154</v>
      </c>
      <c r="T6" s="31"/>
      <c r="U6" s="31" t="s">
        <v>154</v>
      </c>
      <c r="V6" s="31"/>
      <c r="W6" s="31"/>
      <c r="X6" s="192"/>
      <c r="Z6" s="182" t="s">
        <v>1063</v>
      </c>
      <c r="AA6" s="30" t="s">
        <v>1025</v>
      </c>
      <c r="AB6" s="63" t="s">
        <v>1056</v>
      </c>
      <c r="AC6" s="30" t="s">
        <v>1090</v>
      </c>
      <c r="AD6" s="30" t="s">
        <v>1106</v>
      </c>
      <c r="AE6" s="31"/>
      <c r="AF6" s="31"/>
      <c r="AG6" s="31"/>
      <c r="AH6" s="31"/>
      <c r="AI6" s="31"/>
      <c r="AJ6" s="192"/>
    </row>
    <row r="7" spans="1:65" s="28" customFormat="1" ht="30" customHeight="1">
      <c r="B7" s="182" t="s">
        <v>609</v>
      </c>
      <c r="C7" s="156" t="s">
        <v>610</v>
      </c>
      <c r="D7" s="369" t="s">
        <v>837</v>
      </c>
      <c r="E7" s="159" t="str">
        <f>Mission!B21</f>
        <v>TSE-005</v>
      </c>
      <c r="F7" s="30" t="s">
        <v>625</v>
      </c>
      <c r="G7" s="31" t="s">
        <v>154</v>
      </c>
      <c r="H7" s="31"/>
      <c r="I7" s="31" t="s">
        <v>154</v>
      </c>
      <c r="J7" s="31"/>
      <c r="K7" s="124"/>
      <c r="L7" s="326"/>
      <c r="M7" s="46"/>
      <c r="N7" s="182" t="s">
        <v>694</v>
      </c>
      <c r="O7" s="162" t="s">
        <v>174</v>
      </c>
      <c r="P7" s="63" t="s">
        <v>1042</v>
      </c>
      <c r="Q7" s="30" t="str">
        <f>B10</f>
        <v>PAYR-007</v>
      </c>
      <c r="R7" s="30" t="s">
        <v>639</v>
      </c>
      <c r="S7" s="31" t="s">
        <v>154</v>
      </c>
      <c r="T7" s="31" t="s">
        <v>154</v>
      </c>
      <c r="U7" s="31"/>
      <c r="V7" s="31"/>
      <c r="W7" s="31"/>
      <c r="X7" s="192"/>
      <c r="Z7" s="182" t="s">
        <v>1064</v>
      </c>
      <c r="AA7" s="30" t="s">
        <v>1026</v>
      </c>
      <c r="AB7" s="63" t="s">
        <v>1057</v>
      </c>
      <c r="AC7" s="30" t="s">
        <v>1089</v>
      </c>
      <c r="AD7" s="30" t="s">
        <v>1106</v>
      </c>
      <c r="AE7" s="31"/>
      <c r="AF7" s="31"/>
      <c r="AG7" s="31"/>
      <c r="AH7" s="31"/>
      <c r="AI7" s="31"/>
      <c r="AJ7" s="192"/>
    </row>
    <row r="8" spans="1:65" ht="30" customHeight="1">
      <c r="B8" s="182" t="s">
        <v>847</v>
      </c>
      <c r="C8" s="31" t="s">
        <v>594</v>
      </c>
      <c r="D8" s="87" t="s">
        <v>835</v>
      </c>
      <c r="E8" s="30" t="str">
        <f>Mission!B17</f>
        <v>TSE-001</v>
      </c>
      <c r="F8" s="381" t="s">
        <v>622</v>
      </c>
      <c r="G8" s="129" t="s">
        <v>623</v>
      </c>
      <c r="H8" s="31"/>
      <c r="I8" s="31" t="s">
        <v>154</v>
      </c>
      <c r="J8" s="31"/>
      <c r="K8" s="124"/>
      <c r="L8" s="326"/>
      <c r="N8" s="182" t="s">
        <v>695</v>
      </c>
      <c r="O8" s="30" t="s">
        <v>175</v>
      </c>
      <c r="P8" s="63" t="s">
        <v>1043</v>
      </c>
      <c r="Q8" s="30" t="str">
        <f>B11</f>
        <v>PAYR-008</v>
      </c>
      <c r="R8" s="31" t="s">
        <v>231</v>
      </c>
      <c r="S8" s="31" t="s">
        <v>154</v>
      </c>
      <c r="T8" s="31" t="s">
        <v>154</v>
      </c>
      <c r="U8" s="31"/>
      <c r="V8" s="31"/>
      <c r="W8" s="31"/>
      <c r="X8" s="192"/>
      <c r="Z8" s="182" t="s">
        <v>1065</v>
      </c>
      <c r="AA8" s="32" t="s">
        <v>1027</v>
      </c>
      <c r="AB8" s="369" t="s">
        <v>1053</v>
      </c>
      <c r="AC8" s="32" t="s">
        <v>1091</v>
      </c>
      <c r="AD8" s="30" t="s">
        <v>708</v>
      </c>
      <c r="AE8" s="137"/>
      <c r="AF8" s="137"/>
      <c r="AG8" s="137"/>
      <c r="AH8" s="137"/>
      <c r="AI8" s="137"/>
      <c r="AJ8" s="259"/>
    </row>
    <row r="9" spans="1:65" ht="30" customHeight="1">
      <c r="B9" s="182" t="s">
        <v>848</v>
      </c>
      <c r="C9" s="30" t="s">
        <v>191</v>
      </c>
      <c r="D9" s="87" t="s">
        <v>836</v>
      </c>
      <c r="E9" s="30" t="str">
        <f>Mission!B17</f>
        <v>TSE-001</v>
      </c>
      <c r="F9" s="31" t="s">
        <v>650</v>
      </c>
      <c r="G9" s="31" t="s">
        <v>154</v>
      </c>
      <c r="H9" s="31" t="s">
        <v>154</v>
      </c>
      <c r="I9" s="31" t="s">
        <v>154</v>
      </c>
      <c r="J9" s="31"/>
      <c r="K9" s="124"/>
      <c r="L9" s="326"/>
      <c r="N9" s="182" t="s">
        <v>696</v>
      </c>
      <c r="O9" s="30" t="s">
        <v>754</v>
      </c>
      <c r="P9" s="63" t="s">
        <v>839</v>
      </c>
      <c r="Q9" s="162" t="str">
        <f>B9</f>
        <v>PAYR-006</v>
      </c>
      <c r="R9" s="419" t="s">
        <v>756</v>
      </c>
      <c r="S9" s="31" t="s">
        <v>154</v>
      </c>
      <c r="T9" s="163"/>
      <c r="U9" s="31" t="s">
        <v>154</v>
      </c>
      <c r="V9" s="163"/>
      <c r="W9" s="163"/>
      <c r="X9" s="391"/>
      <c r="Z9" s="182" t="s">
        <v>1066</v>
      </c>
      <c r="AA9" s="30" t="s">
        <v>1028</v>
      </c>
      <c r="AB9" s="63" t="s">
        <v>1052</v>
      </c>
      <c r="AC9" s="48" t="s">
        <v>1022</v>
      </c>
      <c r="AD9" s="381" t="s">
        <v>687</v>
      </c>
      <c r="AE9" s="31"/>
      <c r="AF9" s="31"/>
      <c r="AG9" s="31"/>
      <c r="AH9" s="31"/>
      <c r="AI9" s="31"/>
      <c r="AJ9" s="192"/>
    </row>
    <row r="10" spans="1:65" ht="30" customHeight="1">
      <c r="B10" s="182" t="s">
        <v>611</v>
      </c>
      <c r="C10" s="162" t="s">
        <v>916</v>
      </c>
      <c r="D10" s="172" t="s">
        <v>1044</v>
      </c>
      <c r="E10" s="30" t="str">
        <f>Mission!B31</f>
        <v>TSE-015</v>
      </c>
      <c r="F10" s="31" t="s">
        <v>618</v>
      </c>
      <c r="G10" s="31" t="s">
        <v>154</v>
      </c>
      <c r="H10" s="31" t="s">
        <v>154</v>
      </c>
      <c r="I10" s="31"/>
      <c r="J10" s="31"/>
      <c r="K10" s="124"/>
      <c r="L10" s="326"/>
      <c r="N10" s="216"/>
      <c r="O10" s="30"/>
      <c r="P10" s="404"/>
      <c r="Q10" s="30"/>
      <c r="R10" s="30"/>
      <c r="S10" s="31"/>
      <c r="T10" s="31"/>
      <c r="U10" s="31"/>
      <c r="V10" s="31"/>
      <c r="W10" s="31"/>
      <c r="X10" s="192"/>
      <c r="Z10" s="182" t="s">
        <v>1067</v>
      </c>
      <c r="AA10" s="32" t="s">
        <v>1029</v>
      </c>
      <c r="AB10" s="137" t="s">
        <v>1051</v>
      </c>
      <c r="AC10" s="30" t="s">
        <v>1095</v>
      </c>
      <c r="AD10" s="30" t="s">
        <v>1108</v>
      </c>
      <c r="AE10" s="137"/>
      <c r="AF10" s="31"/>
      <c r="AG10" s="31"/>
      <c r="AH10" s="31"/>
      <c r="AI10" s="31"/>
      <c r="AJ10" s="192"/>
    </row>
    <row r="11" spans="1:65" ht="30" customHeight="1" thickBot="1">
      <c r="B11" s="182" t="s">
        <v>633</v>
      </c>
      <c r="C11" s="30" t="s">
        <v>917</v>
      </c>
      <c r="D11" s="87" t="s">
        <v>1045</v>
      </c>
      <c r="E11" s="30" t="str">
        <f>Mission!B28</f>
        <v>TSE-012</v>
      </c>
      <c r="F11" s="30" t="s">
        <v>624</v>
      </c>
      <c r="G11" s="31" t="s">
        <v>154</v>
      </c>
      <c r="H11" s="31" t="s">
        <v>154</v>
      </c>
      <c r="I11" s="31"/>
      <c r="J11" s="31"/>
      <c r="K11" s="124"/>
      <c r="L11" s="326"/>
      <c r="N11" s="225"/>
      <c r="O11" s="207"/>
      <c r="P11" s="220"/>
      <c r="Q11" s="221"/>
      <c r="R11" s="208"/>
      <c r="S11" s="208"/>
      <c r="T11" s="208"/>
      <c r="U11" s="222"/>
      <c r="V11" s="222"/>
      <c r="W11" s="222"/>
      <c r="X11" s="224"/>
      <c r="Z11" s="182" t="s">
        <v>1068</v>
      </c>
      <c r="AA11" s="31" t="s">
        <v>1030</v>
      </c>
      <c r="AB11" s="3" t="s">
        <v>1050</v>
      </c>
      <c r="AC11" s="30" t="s">
        <v>1095</v>
      </c>
      <c r="AD11" s="30" t="s">
        <v>1106</v>
      </c>
      <c r="AE11" s="137"/>
      <c r="AF11" s="137"/>
      <c r="AG11" s="137"/>
      <c r="AH11" s="137"/>
      <c r="AI11" s="137"/>
      <c r="AJ11" s="183"/>
    </row>
    <row r="12" spans="1:65" ht="30" customHeight="1">
      <c r="B12" s="182" t="s">
        <v>637</v>
      </c>
      <c r="C12" s="30" t="s">
        <v>918</v>
      </c>
      <c r="D12" s="63" t="s">
        <v>845</v>
      </c>
      <c r="E12" s="30" t="str">
        <f>Mission!B17</f>
        <v>TSE-001</v>
      </c>
      <c r="F12" s="30" t="s">
        <v>651</v>
      </c>
      <c r="G12" s="31" t="s">
        <v>154</v>
      </c>
      <c r="H12" s="31"/>
      <c r="I12" s="31" t="s">
        <v>154</v>
      </c>
      <c r="J12" s="31"/>
      <c r="K12" s="124"/>
      <c r="L12" s="326"/>
      <c r="P12" s="372"/>
      <c r="Z12" s="182" t="s">
        <v>1069</v>
      </c>
      <c r="AA12" s="43" t="s">
        <v>1031</v>
      </c>
      <c r="AB12" s="75" t="s">
        <v>1049</v>
      </c>
      <c r="AC12" s="37" t="s">
        <v>1097</v>
      </c>
      <c r="AD12" s="30" t="s">
        <v>1106</v>
      </c>
      <c r="AE12" s="137"/>
      <c r="AF12" s="137"/>
      <c r="AG12" s="137"/>
      <c r="AH12" s="137"/>
      <c r="AI12" s="137"/>
      <c r="AJ12" s="183"/>
    </row>
    <row r="13" spans="1:65" ht="30" customHeight="1">
      <c r="A13" s="302" t="s">
        <v>266</v>
      </c>
      <c r="B13" s="182" t="s">
        <v>940</v>
      </c>
      <c r="C13" s="32" t="s">
        <v>944</v>
      </c>
      <c r="D13" s="130" t="s">
        <v>935</v>
      </c>
      <c r="E13" s="48" t="str">
        <f>Mission!B17</f>
        <v>TSE-001</v>
      </c>
      <c r="F13" s="30" t="s">
        <v>632</v>
      </c>
      <c r="G13" s="31"/>
      <c r="H13" s="31" t="s">
        <v>154</v>
      </c>
      <c r="I13" s="31" t="s">
        <v>154</v>
      </c>
      <c r="J13" s="31"/>
      <c r="K13" s="124"/>
      <c r="L13" s="326"/>
      <c r="M13" s="302" t="s">
        <v>266</v>
      </c>
      <c r="P13" s="372"/>
      <c r="Z13" s="182" t="s">
        <v>1070</v>
      </c>
      <c r="AA13" s="32" t="s">
        <v>1037</v>
      </c>
      <c r="AB13" s="163" t="s">
        <v>1039</v>
      </c>
      <c r="AC13" s="32" t="s">
        <v>1095</v>
      </c>
      <c r="AD13" s="30" t="s">
        <v>1106</v>
      </c>
      <c r="AE13" s="163"/>
      <c r="AF13" s="163"/>
      <c r="AG13" s="163"/>
      <c r="AH13" s="163"/>
      <c r="AI13" s="163"/>
      <c r="AJ13" s="391"/>
    </row>
    <row r="14" spans="1:65" ht="30" customHeight="1" thickBot="1">
      <c r="B14" s="184"/>
      <c r="C14" s="219"/>
      <c r="D14" s="220"/>
      <c r="E14" s="221"/>
      <c r="F14" s="222"/>
      <c r="G14" s="222"/>
      <c r="H14" s="222"/>
      <c r="I14" s="222"/>
      <c r="J14" s="222"/>
      <c r="K14" s="223"/>
      <c r="L14" s="224"/>
      <c r="P14" s="372"/>
      <c r="Z14" s="182" t="s">
        <v>1071</v>
      </c>
      <c r="AA14" s="32" t="s">
        <v>1058</v>
      </c>
      <c r="AB14" s="61" t="s">
        <v>1102</v>
      </c>
      <c r="AC14" s="48" t="s">
        <v>1022</v>
      </c>
      <c r="AD14" s="419" t="s">
        <v>756</v>
      </c>
      <c r="AE14" s="163"/>
      <c r="AF14" s="163"/>
      <c r="AG14" s="163"/>
      <c r="AH14" s="163"/>
      <c r="AI14" s="163"/>
      <c r="AJ14" s="391"/>
    </row>
    <row r="15" spans="1:65" ht="30" customHeight="1" thickBot="1">
      <c r="D15" s="157"/>
      <c r="E15" s="156"/>
      <c r="K15" s="33"/>
      <c r="P15" s="372"/>
      <c r="Z15" s="225"/>
      <c r="AA15" s="222"/>
      <c r="AB15" s="222"/>
      <c r="AC15" s="222"/>
      <c r="AD15" s="222"/>
      <c r="AE15" s="222"/>
      <c r="AF15" s="222"/>
      <c r="AG15" s="222"/>
      <c r="AH15" s="222"/>
      <c r="AI15" s="222"/>
      <c r="AJ15" s="409"/>
    </row>
    <row r="16" spans="1:65" ht="30" customHeight="1" thickBot="1">
      <c r="D16" s="157"/>
      <c r="E16" s="156"/>
      <c r="K16" s="33"/>
      <c r="P16" s="372"/>
    </row>
    <row r="17" spans="3:36" ht="30" customHeight="1">
      <c r="P17" s="372"/>
      <c r="Z17" s="214" t="s">
        <v>81</v>
      </c>
      <c r="AA17" s="477" t="s">
        <v>1072</v>
      </c>
      <c r="AB17" s="477"/>
      <c r="AC17" s="477"/>
      <c r="AD17" s="451" t="s">
        <v>62</v>
      </c>
      <c r="AE17" s="453" t="s">
        <v>63</v>
      </c>
      <c r="AF17" s="453"/>
      <c r="AG17" s="453"/>
      <c r="AH17" s="453"/>
      <c r="AI17" s="479" t="s">
        <v>85</v>
      </c>
      <c r="AJ17" s="454" t="s">
        <v>64</v>
      </c>
    </row>
    <row r="18" spans="3:36" ht="30" customHeight="1">
      <c r="P18" s="372"/>
      <c r="Z18" s="194" t="s">
        <v>80</v>
      </c>
      <c r="AA18" s="447" t="s">
        <v>65</v>
      </c>
      <c r="AB18" s="447">
        <v>1</v>
      </c>
      <c r="AC18" s="447" t="s">
        <v>67</v>
      </c>
      <c r="AD18" s="478"/>
      <c r="AE18" s="447" t="s">
        <v>68</v>
      </c>
      <c r="AF18" s="447" t="s">
        <v>69</v>
      </c>
      <c r="AG18" s="447" t="s">
        <v>70</v>
      </c>
      <c r="AH18" s="447" t="s">
        <v>71</v>
      </c>
      <c r="AI18" s="480"/>
      <c r="AJ18" s="481"/>
    </row>
    <row r="19" spans="3:36" ht="30" customHeight="1">
      <c r="P19" s="372"/>
      <c r="Z19" s="182" t="s">
        <v>1073</v>
      </c>
      <c r="AA19" s="48" t="s">
        <v>629</v>
      </c>
      <c r="AB19" s="536" t="s">
        <v>1014</v>
      </c>
      <c r="AC19" s="46" t="s">
        <v>691</v>
      </c>
      <c r="AD19" s="30" t="s">
        <v>1106</v>
      </c>
      <c r="AE19" s="31"/>
      <c r="AF19" s="31"/>
      <c r="AG19" s="31"/>
      <c r="AH19" s="31"/>
      <c r="AI19" s="31"/>
      <c r="AJ19" s="192"/>
    </row>
    <row r="20" spans="3:36" ht="30" customHeight="1">
      <c r="P20" s="372"/>
      <c r="Z20" s="182" t="s">
        <v>1074</v>
      </c>
      <c r="AA20" s="45" t="s">
        <v>1015</v>
      </c>
      <c r="AB20" s="58" t="s">
        <v>1040</v>
      </c>
      <c r="AC20" s="46" t="s">
        <v>695</v>
      </c>
      <c r="AD20" s="30" t="s">
        <v>1106</v>
      </c>
      <c r="AE20" s="31"/>
      <c r="AF20" s="31"/>
      <c r="AG20" s="31"/>
      <c r="AH20" s="31"/>
      <c r="AI20" s="31"/>
      <c r="AJ20" s="192"/>
    </row>
    <row r="21" spans="3:36" ht="30" customHeight="1">
      <c r="F21" s="157" t="s">
        <v>649</v>
      </c>
      <c r="P21" s="372"/>
      <c r="Z21" s="182" t="s">
        <v>1075</v>
      </c>
      <c r="AA21" s="48" t="s">
        <v>1016</v>
      </c>
      <c r="AB21" s="536" t="s">
        <v>1105</v>
      </c>
      <c r="AC21" s="46" t="s">
        <v>1074</v>
      </c>
      <c r="AD21" s="30" t="s">
        <v>1106</v>
      </c>
      <c r="AE21" s="31"/>
      <c r="AF21" s="31"/>
      <c r="AG21" s="31"/>
      <c r="AH21" s="31"/>
      <c r="AI21" s="31"/>
      <c r="AJ21" s="192"/>
    </row>
    <row r="22" spans="3:36" ht="30" customHeight="1">
      <c r="P22" s="372"/>
      <c r="Z22" s="182" t="s">
        <v>1076</v>
      </c>
      <c r="AA22" s="48" t="s">
        <v>1017</v>
      </c>
      <c r="AB22" s="28" t="s">
        <v>1046</v>
      </c>
      <c r="AC22" s="46" t="s">
        <v>607</v>
      </c>
      <c r="AD22" s="30" t="s">
        <v>708</v>
      </c>
      <c r="AE22" s="31"/>
      <c r="AF22" s="31"/>
      <c r="AG22" s="31"/>
      <c r="AH22" s="31"/>
      <c r="AI22" s="31"/>
      <c r="AJ22" s="192"/>
    </row>
    <row r="23" spans="3:36" ht="30" customHeight="1">
      <c r="P23" s="372"/>
      <c r="Z23" s="182" t="s">
        <v>1077</v>
      </c>
      <c r="AA23" s="48" t="s">
        <v>1018</v>
      </c>
      <c r="AB23" s="40" t="s">
        <v>1019</v>
      </c>
      <c r="AC23" s="46" t="s">
        <v>699</v>
      </c>
      <c r="AD23" s="381" t="s">
        <v>687</v>
      </c>
      <c r="AE23" s="137"/>
      <c r="AF23" s="137"/>
      <c r="AG23" s="137"/>
      <c r="AH23" s="137"/>
      <c r="AI23" s="137"/>
      <c r="AJ23" s="259"/>
    </row>
    <row r="24" spans="3:36" ht="30" customHeight="1">
      <c r="P24" s="372"/>
      <c r="Z24" s="182" t="s">
        <v>1078</v>
      </c>
      <c r="AA24" s="48" t="s">
        <v>1020</v>
      </c>
      <c r="AB24" s="58" t="s">
        <v>1021</v>
      </c>
      <c r="AC24" s="48" t="s">
        <v>1022</v>
      </c>
      <c r="AD24" s="30" t="s">
        <v>1110</v>
      </c>
      <c r="AE24" s="31"/>
      <c r="AF24" s="31"/>
      <c r="AG24" s="31"/>
      <c r="AH24" s="31"/>
      <c r="AI24" s="31"/>
      <c r="AJ24" s="192"/>
    </row>
    <row r="25" spans="3:36" ht="30" customHeight="1">
      <c r="Z25" s="182" t="s">
        <v>1079</v>
      </c>
      <c r="AA25" s="30" t="s">
        <v>1032</v>
      </c>
      <c r="AB25" s="137" t="s">
        <v>1047</v>
      </c>
      <c r="AC25" s="30" t="s">
        <v>1095</v>
      </c>
      <c r="AD25" s="30" t="s">
        <v>1108</v>
      </c>
      <c r="AE25" s="137"/>
      <c r="AF25" s="31"/>
      <c r="AG25" s="31"/>
      <c r="AH25" s="31"/>
      <c r="AI25" s="31"/>
      <c r="AJ25" s="192"/>
    </row>
    <row r="26" spans="3:36" ht="30" customHeight="1" thickBot="1">
      <c r="Z26" s="182" t="s">
        <v>1080</v>
      </c>
      <c r="AA26" s="31" t="s">
        <v>1033</v>
      </c>
      <c r="AB26" s="3" t="s">
        <v>1048</v>
      </c>
      <c r="AC26" s="43" t="s">
        <v>1096</v>
      </c>
      <c r="AD26" s="43" t="s">
        <v>1107</v>
      </c>
      <c r="AE26" s="137"/>
      <c r="AF26" s="137"/>
      <c r="AG26" s="137"/>
      <c r="AH26" s="137"/>
      <c r="AI26" s="137"/>
      <c r="AJ26" s="183"/>
    </row>
    <row r="27" spans="3:36" ht="30" customHeight="1">
      <c r="N27" s="210" t="s">
        <v>111</v>
      </c>
      <c r="O27" s="483" t="s">
        <v>698</v>
      </c>
      <c r="P27" s="483"/>
      <c r="Q27" s="483"/>
      <c r="R27" s="451" t="s">
        <v>62</v>
      </c>
      <c r="S27" s="453" t="s">
        <v>63</v>
      </c>
      <c r="T27" s="453"/>
      <c r="U27" s="453"/>
      <c r="V27" s="453"/>
      <c r="W27" s="479" t="s">
        <v>85</v>
      </c>
      <c r="X27" s="454" t="s">
        <v>64</v>
      </c>
      <c r="Z27" s="182" t="s">
        <v>1081</v>
      </c>
      <c r="AA27" s="32" t="s">
        <v>1059</v>
      </c>
      <c r="AB27" s="75" t="s">
        <v>1104</v>
      </c>
      <c r="AC27" s="46" t="s">
        <v>1074</v>
      </c>
      <c r="AD27" s="30" t="s">
        <v>1109</v>
      </c>
      <c r="AE27" s="137"/>
      <c r="AF27" s="137"/>
      <c r="AG27" s="137"/>
      <c r="AH27" s="137"/>
      <c r="AI27" s="137"/>
      <c r="AJ27" s="183"/>
    </row>
    <row r="28" spans="3:36" ht="30" customHeight="1">
      <c r="N28" s="194" t="s">
        <v>80</v>
      </c>
      <c r="O28" s="400" t="s">
        <v>18</v>
      </c>
      <c r="P28" s="400" t="s">
        <v>66</v>
      </c>
      <c r="Q28" s="400" t="s">
        <v>67</v>
      </c>
      <c r="R28" s="478"/>
      <c r="S28" s="400" t="s">
        <v>68</v>
      </c>
      <c r="T28" s="400" t="s">
        <v>69</v>
      </c>
      <c r="U28" s="400" t="s">
        <v>70</v>
      </c>
      <c r="V28" s="400" t="s">
        <v>71</v>
      </c>
      <c r="W28" s="480"/>
      <c r="X28" s="481"/>
      <c r="Z28" s="182" t="s">
        <v>1082</v>
      </c>
      <c r="AA28" s="32" t="s">
        <v>1058</v>
      </c>
      <c r="AB28" s="61" t="s">
        <v>1103</v>
      </c>
      <c r="AC28" s="48" t="s">
        <v>1022</v>
      </c>
      <c r="AD28" s="419" t="s">
        <v>756</v>
      </c>
      <c r="AE28" s="163"/>
      <c r="AF28" s="163"/>
      <c r="AG28" s="163"/>
      <c r="AH28" s="163"/>
      <c r="AI28" s="163"/>
      <c r="AJ28" s="391"/>
    </row>
    <row r="29" spans="3:36" ht="30" customHeight="1">
      <c r="N29" s="182" t="s">
        <v>699</v>
      </c>
      <c r="O29" s="31" t="s">
        <v>688</v>
      </c>
      <c r="P29" s="63" t="s">
        <v>840</v>
      </c>
      <c r="Q29" s="30" t="str">
        <f>B8</f>
        <v>PAYR-005</v>
      </c>
      <c r="R29" s="43" t="s">
        <v>759</v>
      </c>
      <c r="S29" s="31" t="s">
        <v>154</v>
      </c>
      <c r="T29" s="31"/>
      <c r="U29" s="31"/>
      <c r="V29" s="31"/>
      <c r="W29" s="31"/>
      <c r="X29" s="192"/>
      <c r="Z29" s="393"/>
      <c r="AA29" s="163"/>
      <c r="AB29" s="163"/>
      <c r="AC29" s="163"/>
      <c r="AD29" s="163"/>
      <c r="AE29" s="163"/>
      <c r="AF29" s="163"/>
      <c r="AG29" s="163"/>
      <c r="AH29" s="163"/>
      <c r="AI29" s="163"/>
      <c r="AJ29" s="391"/>
    </row>
    <row r="30" spans="3:36" ht="30" customHeight="1">
      <c r="N30" s="182" t="s">
        <v>700</v>
      </c>
      <c r="O30" s="30" t="s">
        <v>685</v>
      </c>
      <c r="P30" s="63" t="s">
        <v>841</v>
      </c>
      <c r="Q30" s="30" t="str">
        <f>B8</f>
        <v>PAYR-005</v>
      </c>
      <c r="R30" s="381" t="s">
        <v>687</v>
      </c>
      <c r="S30" s="31" t="s">
        <v>154</v>
      </c>
      <c r="T30" s="31" t="s">
        <v>154</v>
      </c>
      <c r="U30" s="31" t="s">
        <v>154</v>
      </c>
      <c r="V30" s="31"/>
      <c r="W30" s="31"/>
      <c r="X30" s="192"/>
      <c r="Z30" s="393"/>
      <c r="AA30" s="163"/>
      <c r="AB30" s="163"/>
      <c r="AC30" s="163"/>
      <c r="AD30" s="163"/>
      <c r="AE30" s="163"/>
      <c r="AF30" s="163"/>
      <c r="AG30" s="163"/>
      <c r="AH30" s="163"/>
      <c r="AI30" s="163"/>
      <c r="AJ30" s="391"/>
    </row>
    <row r="31" spans="3:36" ht="30" customHeight="1">
      <c r="N31" s="182"/>
      <c r="O31" s="30"/>
      <c r="P31" s="404"/>
      <c r="Q31" s="30"/>
      <c r="R31" s="30"/>
      <c r="S31" s="31"/>
      <c r="T31" s="31"/>
      <c r="U31" s="31"/>
      <c r="V31" s="31"/>
      <c r="W31" s="31"/>
      <c r="X31" s="192"/>
      <c r="Z31" s="393"/>
      <c r="AA31" s="163"/>
      <c r="AB31" s="163"/>
      <c r="AC31" s="163"/>
      <c r="AD31" s="163"/>
      <c r="AE31" s="163"/>
      <c r="AF31" s="163"/>
      <c r="AG31" s="163"/>
      <c r="AH31" s="163"/>
      <c r="AI31" s="163"/>
      <c r="AJ31" s="391"/>
    </row>
    <row r="32" spans="3:36" ht="30" customHeight="1" thickBot="1">
      <c r="C32" s="69"/>
      <c r="N32" s="184"/>
      <c r="O32" s="209"/>
      <c r="P32" s="250"/>
      <c r="Q32" s="209"/>
      <c r="R32" s="209"/>
      <c r="S32" s="207"/>
      <c r="T32" s="207"/>
      <c r="U32" s="207"/>
      <c r="V32" s="207"/>
      <c r="W32" s="207"/>
      <c r="X32" s="344"/>
      <c r="Z32" s="393"/>
      <c r="AA32" s="163"/>
      <c r="AB32" s="163"/>
      <c r="AC32" s="163"/>
      <c r="AD32" s="163"/>
      <c r="AE32" s="163"/>
      <c r="AF32" s="163"/>
      <c r="AG32" s="163"/>
      <c r="AH32" s="163"/>
      <c r="AI32" s="163"/>
      <c r="AJ32" s="391"/>
    </row>
    <row r="33" spans="3:36" ht="30" customHeight="1" thickBot="1">
      <c r="C33" s="68"/>
      <c r="Z33" s="225"/>
      <c r="AA33" s="222"/>
      <c r="AB33" s="222"/>
      <c r="AC33" s="222"/>
      <c r="AD33" s="222"/>
      <c r="AE33" s="222"/>
      <c r="AF33" s="222"/>
      <c r="AG33" s="222"/>
      <c r="AH33" s="222"/>
      <c r="AI33" s="222"/>
      <c r="AJ33" s="409"/>
    </row>
    <row r="34" spans="3:36" ht="30" customHeight="1" thickBot="1">
      <c r="C34" s="68"/>
      <c r="N34" s="406" t="s">
        <v>111</v>
      </c>
      <c r="O34" s="484" t="s">
        <v>701</v>
      </c>
      <c r="P34" s="484"/>
      <c r="Q34" s="484"/>
      <c r="R34" s="462" t="s">
        <v>62</v>
      </c>
      <c r="S34" s="472" t="s">
        <v>63</v>
      </c>
      <c r="T34" s="472"/>
      <c r="U34" s="472"/>
      <c r="V34" s="472"/>
      <c r="W34" s="467" t="s">
        <v>85</v>
      </c>
      <c r="X34" s="469" t="s">
        <v>64</v>
      </c>
    </row>
    <row r="35" spans="3:36" ht="30" customHeight="1">
      <c r="N35" s="407" t="s">
        <v>80</v>
      </c>
      <c r="O35" s="402" t="s">
        <v>18</v>
      </c>
      <c r="P35" s="402" t="s">
        <v>66</v>
      </c>
      <c r="Q35" s="402" t="s">
        <v>67</v>
      </c>
      <c r="R35" s="473"/>
      <c r="S35" s="402" t="s">
        <v>68</v>
      </c>
      <c r="T35" s="402" t="s">
        <v>69</v>
      </c>
      <c r="U35" s="402" t="s">
        <v>70</v>
      </c>
      <c r="V35" s="402" t="s">
        <v>71</v>
      </c>
      <c r="W35" s="485"/>
      <c r="X35" s="486"/>
      <c r="Z35" s="214" t="s">
        <v>81</v>
      </c>
      <c r="AA35" s="477" t="s">
        <v>1083</v>
      </c>
      <c r="AB35" s="477"/>
      <c r="AC35" s="477"/>
      <c r="AD35" s="451" t="s">
        <v>62</v>
      </c>
      <c r="AE35" s="453" t="s">
        <v>63</v>
      </c>
      <c r="AF35" s="453"/>
      <c r="AG35" s="453"/>
      <c r="AH35" s="453"/>
      <c r="AI35" s="479" t="s">
        <v>85</v>
      </c>
      <c r="AJ35" s="454" t="s">
        <v>64</v>
      </c>
    </row>
    <row r="36" spans="3:36" ht="30" customHeight="1">
      <c r="N36" s="182" t="s">
        <v>702</v>
      </c>
      <c r="O36" s="30" t="s">
        <v>636</v>
      </c>
      <c r="P36" s="63" t="s">
        <v>842</v>
      </c>
      <c r="Q36" s="30" t="str">
        <f>B12</f>
        <v>PAYR-009</v>
      </c>
      <c r="R36" s="381" t="s">
        <v>770</v>
      </c>
      <c r="S36" s="31" t="s">
        <v>154</v>
      </c>
      <c r="T36" s="31"/>
      <c r="U36" s="31" t="s">
        <v>154</v>
      </c>
      <c r="V36" s="31"/>
      <c r="W36" s="31"/>
      <c r="X36" s="192"/>
      <c r="Z36" s="194" t="s">
        <v>80</v>
      </c>
      <c r="AA36" s="447" t="s">
        <v>65</v>
      </c>
      <c r="AB36" s="447" t="s">
        <v>66</v>
      </c>
      <c r="AC36" s="447" t="s">
        <v>67</v>
      </c>
      <c r="AD36" s="478"/>
      <c r="AE36" s="447" t="s">
        <v>68</v>
      </c>
      <c r="AF36" s="447" t="s">
        <v>69</v>
      </c>
      <c r="AG36" s="447" t="s">
        <v>70</v>
      </c>
      <c r="AH36" s="447" t="s">
        <v>71</v>
      </c>
      <c r="AI36" s="480"/>
      <c r="AJ36" s="481"/>
    </row>
    <row r="37" spans="3:36" ht="30" customHeight="1">
      <c r="N37" s="182" t="s">
        <v>703</v>
      </c>
      <c r="O37" s="30" t="s">
        <v>641</v>
      </c>
      <c r="P37" s="63" t="s">
        <v>843</v>
      </c>
      <c r="Q37" s="30" t="str">
        <f>B7</f>
        <v>PAYR-004</v>
      </c>
      <c r="R37" s="30" t="s">
        <v>768</v>
      </c>
      <c r="S37" s="31"/>
      <c r="T37" s="31" t="s">
        <v>154</v>
      </c>
      <c r="U37" s="31" t="s">
        <v>154</v>
      </c>
      <c r="V37" s="31"/>
      <c r="W37" s="31"/>
      <c r="X37" s="192"/>
      <c r="Z37" s="182" t="s">
        <v>1084</v>
      </c>
      <c r="AA37" s="30" t="s">
        <v>1034</v>
      </c>
      <c r="AB37" s="88" t="s">
        <v>1098</v>
      </c>
      <c r="AC37" s="89" t="s">
        <v>1093</v>
      </c>
      <c r="AD37" s="381" t="s">
        <v>770</v>
      </c>
      <c r="AE37" s="31"/>
      <c r="AF37" s="31"/>
      <c r="AG37" s="31"/>
      <c r="AH37" s="31"/>
      <c r="AI37" s="31"/>
      <c r="AJ37" s="192"/>
    </row>
    <row r="38" spans="3:36" ht="30" customHeight="1">
      <c r="N38" s="182" t="s">
        <v>704</v>
      </c>
      <c r="O38" s="30" t="s">
        <v>930</v>
      </c>
      <c r="P38" s="130" t="s">
        <v>844</v>
      </c>
      <c r="Q38" s="30" t="str">
        <f>B13</f>
        <v>PAYR-010</v>
      </c>
      <c r="R38" s="30" t="s">
        <v>768</v>
      </c>
      <c r="S38" s="31"/>
      <c r="T38" s="31" t="s">
        <v>154</v>
      </c>
      <c r="U38" s="31" t="s">
        <v>154</v>
      </c>
      <c r="V38" s="31"/>
      <c r="W38" s="31"/>
      <c r="X38" s="192"/>
      <c r="Z38" s="182" t="s">
        <v>1085</v>
      </c>
      <c r="AA38" s="30" t="s">
        <v>1035</v>
      </c>
      <c r="AB38" s="87" t="s">
        <v>1099</v>
      </c>
      <c r="AC38" s="30" t="s">
        <v>1092</v>
      </c>
      <c r="AD38" s="30" t="s">
        <v>651</v>
      </c>
      <c r="AE38" s="31"/>
      <c r="AF38" s="31"/>
      <c r="AG38" s="31"/>
      <c r="AH38" s="31"/>
      <c r="AI38" s="31"/>
      <c r="AJ38" s="192"/>
    </row>
    <row r="39" spans="3:36" ht="30" customHeight="1">
      <c r="N39" s="182" t="s">
        <v>705</v>
      </c>
      <c r="O39" s="30" t="s">
        <v>662</v>
      </c>
      <c r="P39" s="63" t="s">
        <v>1041</v>
      </c>
      <c r="Q39" s="30" t="str">
        <f>B9</f>
        <v>PAYR-006</v>
      </c>
      <c r="R39" s="381" t="s">
        <v>770</v>
      </c>
      <c r="S39" s="31" t="s">
        <v>154</v>
      </c>
      <c r="T39" s="31"/>
      <c r="U39" s="31" t="s">
        <v>154</v>
      </c>
      <c r="V39" s="31"/>
      <c r="W39" s="31"/>
      <c r="X39" s="192"/>
      <c r="Z39" s="182" t="s">
        <v>1086</v>
      </c>
      <c r="AA39" s="30" t="s">
        <v>1036</v>
      </c>
      <c r="AB39" s="40" t="s">
        <v>1100</v>
      </c>
      <c r="AC39" s="48" t="s">
        <v>1022</v>
      </c>
      <c r="AD39" s="381" t="s">
        <v>687</v>
      </c>
      <c r="AE39" s="31"/>
      <c r="AF39" s="31"/>
      <c r="AG39" s="31"/>
      <c r="AH39" s="31"/>
      <c r="AI39" s="31"/>
      <c r="AJ39" s="192"/>
    </row>
    <row r="40" spans="3:36" ht="30" customHeight="1">
      <c r="N40" s="405"/>
      <c r="O40" s="162"/>
      <c r="P40" s="404"/>
      <c r="Q40" s="162"/>
      <c r="R40" s="162"/>
      <c r="S40" s="162"/>
      <c r="T40" s="163"/>
      <c r="U40" s="163"/>
      <c r="V40" s="163"/>
      <c r="W40" s="163"/>
      <c r="X40" s="391"/>
      <c r="Z40" s="182" t="s">
        <v>1087</v>
      </c>
      <c r="AA40" s="30" t="s">
        <v>1038</v>
      </c>
      <c r="AB40" s="130" t="s">
        <v>1101</v>
      </c>
      <c r="AC40" s="30" t="s">
        <v>1094</v>
      </c>
      <c r="AD40" s="30" t="s">
        <v>768</v>
      </c>
      <c r="AE40" s="31"/>
      <c r="AF40" s="31"/>
      <c r="AG40" s="31"/>
      <c r="AH40" s="31"/>
      <c r="AI40" s="31"/>
      <c r="AJ40" s="192"/>
    </row>
    <row r="41" spans="3:36" ht="30" customHeight="1" thickBot="1">
      <c r="N41" s="408"/>
      <c r="O41" s="221"/>
      <c r="P41" s="221"/>
      <c r="Q41" s="221"/>
      <c r="R41" s="221"/>
      <c r="S41" s="221"/>
      <c r="T41" s="222"/>
      <c r="U41" s="222"/>
      <c r="V41" s="222"/>
      <c r="W41" s="222"/>
      <c r="X41" s="409"/>
      <c r="Z41" s="184"/>
      <c r="AA41" s="187"/>
      <c r="AB41" s="208"/>
      <c r="AC41" s="208"/>
      <c r="AD41" s="208"/>
      <c r="AE41" s="208"/>
      <c r="AF41" s="208"/>
      <c r="AG41" s="208"/>
      <c r="AH41" s="208"/>
      <c r="AI41" s="208"/>
      <c r="AJ41" s="260"/>
    </row>
    <row r="42" spans="3:36" ht="30" customHeight="1">
      <c r="Z42" s="43"/>
      <c r="AA42" s="30"/>
      <c r="AB42" s="63"/>
      <c r="AC42" s="30"/>
      <c r="AD42" s="30"/>
      <c r="AE42" s="31"/>
      <c r="AF42" s="31"/>
      <c r="AG42" s="31"/>
      <c r="AH42" s="31"/>
      <c r="AI42" s="31"/>
      <c r="AJ42" s="31"/>
    </row>
    <row r="43" spans="3:36" ht="30" customHeight="1">
      <c r="Z43" s="43"/>
      <c r="AA43" s="137"/>
      <c r="AB43" s="137"/>
      <c r="AC43" s="137"/>
      <c r="AD43" s="137"/>
      <c r="AE43" s="137"/>
      <c r="AF43" s="31"/>
      <c r="AG43" s="31"/>
      <c r="AH43" s="31"/>
      <c r="AI43" s="31"/>
      <c r="AJ43" s="31"/>
    </row>
    <row r="44" spans="3:36" ht="30" customHeight="1">
      <c r="Z44" s="43"/>
      <c r="AA44" s="31"/>
      <c r="AB44" s="3"/>
      <c r="AC44" s="43"/>
      <c r="AD44" s="137"/>
      <c r="AE44" s="137"/>
      <c r="AF44" s="137"/>
      <c r="AG44" s="137"/>
      <c r="AH44" s="137"/>
      <c r="AI44" s="137"/>
      <c r="AJ44" s="43"/>
    </row>
    <row r="45" spans="3:36" ht="30" customHeight="1">
      <c r="Z45" s="137"/>
      <c r="AA45" s="43"/>
      <c r="AB45" s="75"/>
      <c r="AC45" s="37"/>
      <c r="AD45" s="137"/>
      <c r="AE45" s="137"/>
      <c r="AF45" s="137"/>
      <c r="AG45" s="137"/>
      <c r="AH45" s="137"/>
      <c r="AI45" s="137"/>
      <c r="AJ45" s="43"/>
    </row>
  </sheetData>
  <mergeCells count="35">
    <mergeCell ref="AA35:AC35"/>
    <mergeCell ref="AD35:AD36"/>
    <mergeCell ref="AE35:AH35"/>
    <mergeCell ref="AI35:AI36"/>
    <mergeCell ref="AJ35:AJ36"/>
    <mergeCell ref="O34:Q34"/>
    <mergeCell ref="R34:R35"/>
    <mergeCell ref="S34:V34"/>
    <mergeCell ref="W34:W35"/>
    <mergeCell ref="X34:X35"/>
    <mergeCell ref="O27:Q27"/>
    <mergeCell ref="R27:R28"/>
    <mergeCell ref="S27:V27"/>
    <mergeCell ref="W27:W28"/>
    <mergeCell ref="X27:X28"/>
    <mergeCell ref="X2:X3"/>
    <mergeCell ref="C2:E2"/>
    <mergeCell ref="F2:F3"/>
    <mergeCell ref="G2:J2"/>
    <mergeCell ref="K2:K3"/>
    <mergeCell ref="L2:L3"/>
    <mergeCell ref="O2:Q2"/>
    <mergeCell ref="R2:R3"/>
    <mergeCell ref="S2:V2"/>
    <mergeCell ref="W2:W3"/>
    <mergeCell ref="AA2:AC2"/>
    <mergeCell ref="AD2:AD3"/>
    <mergeCell ref="AE2:AH2"/>
    <mergeCell ref="AI2:AI3"/>
    <mergeCell ref="AJ2:AJ3"/>
    <mergeCell ref="AA17:AC17"/>
    <mergeCell ref="AD17:AD18"/>
    <mergeCell ref="AE17:AH17"/>
    <mergeCell ref="AI17:AI18"/>
    <mergeCell ref="AJ17:AJ18"/>
  </mergeCells>
  <phoneticPr fontId="1" type="noConversion"/>
  <conditionalFormatting sqref="L28:L1048576 L2:L3 L14:L15">
    <cfRule type="expression" dxfId="271" priority="231">
      <formula>EXACT("P",$K3)</formula>
    </cfRule>
    <cfRule type="expression" dxfId="270" priority="232">
      <formula>EXACT("C",$K3)</formula>
    </cfRule>
  </conditionalFormatting>
  <conditionalFormatting sqref="X11">
    <cfRule type="expression" dxfId="269" priority="402">
      <formula>EXACT("P",$K28)</formula>
    </cfRule>
    <cfRule type="expression" dxfId="268" priority="403">
      <formula>EXACT("C",$K28)</formula>
    </cfRule>
  </conditionalFormatting>
  <conditionalFormatting sqref="L16">
    <cfRule type="expression" dxfId="267" priority="404">
      <formula>EXACT("P",$W2)</formula>
    </cfRule>
    <cfRule type="expression" dxfId="266" priority="405">
      <formula>EXACT("C",$W2)</formula>
    </cfRule>
  </conditionalFormatting>
  <conditionalFormatting sqref="X2:X4 X27 X31 X34 X38 X7">
    <cfRule type="expression" dxfId="265" priority="406">
      <formula>EXACT("P",$W3)</formula>
    </cfRule>
    <cfRule type="expression" dxfId="264" priority="407">
      <formula>EXACT("C",$W3)</formula>
    </cfRule>
  </conditionalFormatting>
  <conditionalFormatting sqref="L4:L5">
    <cfRule type="expression" dxfId="263" priority="651">
      <formula>EXACT("P",#REF!)</formula>
    </cfRule>
    <cfRule type="expression" dxfId="262" priority="652">
      <formula>EXACT("C",#REF!)</formula>
    </cfRule>
  </conditionalFormatting>
  <conditionalFormatting sqref="AJ9:AJ11 AJ2 AJ4:AJ6">
    <cfRule type="expression" dxfId="261" priority="59">
      <formula>EXACT("P",$AI3)</formula>
    </cfRule>
    <cfRule type="expression" dxfId="260" priority="60">
      <formula>EXACT("C",$AI3)</formula>
    </cfRule>
  </conditionalFormatting>
  <conditionalFormatting sqref="AJ12">
    <cfRule type="expression" dxfId="259" priority="61">
      <formula>EXACT("P",#REF!)</formula>
    </cfRule>
    <cfRule type="expression" dxfId="258" priority="62">
      <formula>EXACT("C",#REF!)</formula>
    </cfRule>
  </conditionalFormatting>
  <conditionalFormatting sqref="AJ7">
    <cfRule type="expression" dxfId="257" priority="63">
      <formula>EXACT("P",$AI9)</formula>
    </cfRule>
    <cfRule type="expression" dxfId="256" priority="64">
      <formula>EXACT("C",$AI9)</formula>
    </cfRule>
  </conditionalFormatting>
  <conditionalFormatting sqref="AJ3">
    <cfRule type="expression" dxfId="255" priority="65">
      <formula>EXACT("P",#REF!)</formula>
    </cfRule>
    <cfRule type="expression" dxfId="254" priority="66">
      <formula>EXACT("C",#REF!)</formula>
    </cfRule>
  </conditionalFormatting>
  <conditionalFormatting sqref="AJ24:AJ26 AJ17 AJ19:AJ21">
    <cfRule type="expression" dxfId="253" priority="51">
      <formula>EXACT("P",$AI18)</formula>
    </cfRule>
    <cfRule type="expression" dxfId="252" priority="52">
      <formula>EXACT("C",$AI18)</formula>
    </cfRule>
  </conditionalFormatting>
  <conditionalFormatting sqref="AJ27">
    <cfRule type="expression" dxfId="251" priority="53">
      <formula>EXACT("P",#REF!)</formula>
    </cfRule>
    <cfRule type="expression" dxfId="250" priority="54">
      <formula>EXACT("C",#REF!)</formula>
    </cfRule>
  </conditionalFormatting>
  <conditionalFormatting sqref="AJ22">
    <cfRule type="expression" dxfId="249" priority="55">
      <formula>EXACT("P",$AI24)</formula>
    </cfRule>
    <cfRule type="expression" dxfId="248" priority="56">
      <formula>EXACT("C",$AI24)</formula>
    </cfRule>
  </conditionalFormatting>
  <conditionalFormatting sqref="AJ18">
    <cfRule type="expression" dxfId="247" priority="57">
      <formula>EXACT("P",#REF!)</formula>
    </cfRule>
    <cfRule type="expression" dxfId="246" priority="58">
      <formula>EXACT("C",#REF!)</formula>
    </cfRule>
  </conditionalFormatting>
  <conditionalFormatting sqref="X32">
    <cfRule type="expression" dxfId="245" priority="25">
      <formula>EXACT("P",#REF!)</formula>
    </cfRule>
    <cfRule type="expression" dxfId="244" priority="26">
      <formula>EXACT("C",#REF!)</formula>
    </cfRule>
  </conditionalFormatting>
  <conditionalFormatting sqref="X28">
    <cfRule type="expression" dxfId="243" priority="29">
      <formula>EXACT("P",#REF!)</formula>
    </cfRule>
    <cfRule type="expression" dxfId="242" priority="30">
      <formula>EXACT("C",#REF!)</formula>
    </cfRule>
  </conditionalFormatting>
  <conditionalFormatting sqref="X30">
    <cfRule type="expression" dxfId="241" priority="31">
      <formula>EXACT("P",#REF!)</formula>
    </cfRule>
    <cfRule type="expression" dxfId="240" priority="32">
      <formula>EXACT("C",#REF!)</formula>
    </cfRule>
  </conditionalFormatting>
  <conditionalFormatting sqref="X39">
    <cfRule type="expression" dxfId="239" priority="15">
      <formula>EXACT("P",$W40)</formula>
    </cfRule>
    <cfRule type="expression" dxfId="238" priority="16">
      <formula>EXACT("C",$W40)</formula>
    </cfRule>
  </conditionalFormatting>
  <conditionalFormatting sqref="X35">
    <cfRule type="expression" dxfId="237" priority="19">
      <formula>EXACT("P",#REF!)</formula>
    </cfRule>
    <cfRule type="expression" dxfId="236" priority="20">
      <formula>EXACT("C",#REF!)</formula>
    </cfRule>
  </conditionalFormatting>
  <conditionalFormatting sqref="X36">
    <cfRule type="expression" dxfId="235" priority="11">
      <formula>EXACT("P",#REF!)</formula>
    </cfRule>
    <cfRule type="expression" dxfId="234" priority="12">
      <formula>EXACT("C",#REF!)</formula>
    </cfRule>
  </conditionalFormatting>
  <conditionalFormatting sqref="X10">
    <cfRule type="expression" dxfId="233" priority="1028">
      <formula>EXACT("P",#REF!)</formula>
    </cfRule>
    <cfRule type="expression" dxfId="232" priority="1029">
      <formula>EXACT("C",#REF!)</formula>
    </cfRule>
  </conditionalFormatting>
  <conditionalFormatting sqref="X8">
    <cfRule type="expression" dxfId="231" priority="1030">
      <formula>EXACT("P",#REF!)</formula>
    </cfRule>
    <cfRule type="expression" dxfId="230" priority="1031">
      <formula>EXACT("C",#REF!)</formula>
    </cfRule>
  </conditionalFormatting>
  <conditionalFormatting sqref="X37">
    <cfRule type="expression" dxfId="229" priority="1034">
      <formula>EXACT("P",$W12)</formula>
    </cfRule>
    <cfRule type="expression" dxfId="228" priority="1035">
      <formula>EXACT("C",$W12)</formula>
    </cfRule>
  </conditionalFormatting>
  <conditionalFormatting sqref="AJ42:AJ44 AJ35 AJ37:AJ39">
    <cfRule type="expression" dxfId="227" priority="3">
      <formula>EXACT("P",$AI36)</formula>
    </cfRule>
    <cfRule type="expression" dxfId="226" priority="4">
      <formula>EXACT("C",$AI36)</formula>
    </cfRule>
  </conditionalFormatting>
  <conditionalFormatting sqref="AJ45">
    <cfRule type="expression" dxfId="225" priority="5">
      <formula>EXACT("P",#REF!)</formula>
    </cfRule>
    <cfRule type="expression" dxfId="224" priority="6">
      <formula>EXACT("C",#REF!)</formula>
    </cfRule>
  </conditionalFormatting>
  <conditionalFormatting sqref="AJ40">
    <cfRule type="expression" dxfId="223" priority="7">
      <formula>EXACT("P",$AI42)</formula>
    </cfRule>
    <cfRule type="expression" dxfId="222" priority="8">
      <formula>EXACT("C",$AI42)</formula>
    </cfRule>
  </conditionalFormatting>
  <conditionalFormatting sqref="AJ36">
    <cfRule type="expression" dxfId="221" priority="9">
      <formula>EXACT("P",#REF!)</formula>
    </cfRule>
    <cfRule type="expression" dxfId="220" priority="10">
      <formula>EXACT("C",#REF!)</formula>
    </cfRule>
  </conditionalFormatting>
  <conditionalFormatting sqref="X5">
    <cfRule type="expression" dxfId="219" priority="1040">
      <formula>EXACT("P",#REF!)</formula>
    </cfRule>
    <cfRule type="expression" dxfId="218" priority="1041">
      <formula>EXACT("C",#REF!)</formula>
    </cfRule>
  </conditionalFormatting>
  <conditionalFormatting sqref="X29">
    <cfRule type="expression" dxfId="217" priority="1044">
      <formula>EXACT("P",$W7)</formula>
    </cfRule>
    <cfRule type="expression" dxfId="216" priority="1045">
      <formula>EXACT("C",$W7)</formula>
    </cfRule>
  </conditionalFormatting>
  <conditionalFormatting sqref="L9">
    <cfRule type="expression" dxfId="215" priority="1286">
      <formula>EXACT("P",$K6)</formula>
    </cfRule>
    <cfRule type="expression" dxfId="214" priority="1287">
      <formula>EXACT("C",$K6)</formula>
    </cfRule>
  </conditionalFormatting>
  <conditionalFormatting sqref="L7:L13">
    <cfRule type="expression" dxfId="213" priority="1290">
      <formula>EXACT("P",#REF!)</formula>
    </cfRule>
    <cfRule type="expression" dxfId="212" priority="1291">
      <formula>EXACT("C",#REF!)</formula>
    </cfRule>
  </conditionalFormatting>
  <conditionalFormatting sqref="L6">
    <cfRule type="expression" dxfId="211" priority="1294">
      <formula>EXACT("P",#REF!)</formula>
    </cfRule>
    <cfRule type="expression" dxfId="210" priority="1295">
      <formula>EXACT("C",#REF!)</formula>
    </cfRule>
  </conditionalFormatting>
  <conditionalFormatting sqref="X6">
    <cfRule type="expression" dxfId="209" priority="1324">
      <formula>EXACT("P",#REF!)</formula>
    </cfRule>
    <cfRule type="expression" dxfId="208" priority="1325">
      <formula>EXACT("C",#REF!)</formula>
    </cfRule>
  </conditionalFormatting>
  <pageMargins left="0.25" right="0.25" top="0.75" bottom="0.75" header="0.3" footer="0.3"/>
  <pageSetup paperSize="9" scale="17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>
    <outlinePr applyStyles="1"/>
    <pageSetUpPr fitToPage="1"/>
  </sheetPr>
  <dimension ref="A1:BM271"/>
  <sheetViews>
    <sheetView topLeftCell="G136" zoomScale="70" zoomScaleNormal="70" workbookViewId="0">
      <selection activeCell="P151" sqref="P151"/>
    </sheetView>
  </sheetViews>
  <sheetFormatPr defaultColWidth="10.625" defaultRowHeight="30" customHeight="1"/>
  <cols>
    <col min="1" max="1" width="10.625" style="153"/>
    <col min="2" max="2" width="10.625" style="157" customWidth="1"/>
    <col min="3" max="3" width="30.625" style="159" customWidth="1"/>
    <col min="4" max="4" width="100.625" style="171" customWidth="1"/>
    <col min="5" max="5" width="10.625" style="177" customWidth="1"/>
    <col min="6" max="6" width="30.625" style="157" customWidth="1"/>
    <col min="7" max="10" width="5.625" style="157" customWidth="1"/>
    <col min="11" max="11" width="20.625" style="157" customWidth="1"/>
    <col min="12" max="12" width="5.625" style="156" customWidth="1"/>
    <col min="13" max="13" width="10.625" style="156" customWidth="1"/>
    <col min="14" max="14" width="10.625" style="157" customWidth="1"/>
    <col min="15" max="15" width="30.625" style="157" customWidth="1"/>
    <col min="16" max="16" width="100.625" style="159" customWidth="1"/>
    <col min="17" max="17" width="10.625" style="159" customWidth="1"/>
    <col min="18" max="18" width="30.625" style="159" customWidth="1"/>
    <col min="19" max="22" width="5.625" style="159" customWidth="1"/>
    <col min="23" max="23" width="20.625" style="159" customWidth="1"/>
    <col min="24" max="24" width="5.625" style="157" customWidth="1"/>
    <col min="25" max="25" width="10.625" style="157"/>
    <col min="26" max="26" width="13" style="157" bestFit="1" customWidth="1"/>
    <col min="27" max="27" width="30.625" style="157" customWidth="1"/>
    <col min="28" max="28" width="100.625" style="157" customWidth="1"/>
    <col min="29" max="29" width="10.625" style="157" customWidth="1"/>
    <col min="30" max="30" width="30.625" style="157" customWidth="1"/>
    <col min="31" max="34" width="5.625" style="157" customWidth="1"/>
    <col min="35" max="35" width="20.625" style="157" customWidth="1"/>
    <col min="36" max="36" width="5.625" style="157" customWidth="1"/>
    <col min="37" max="37" width="10.625" style="315"/>
    <col min="38" max="38" width="10.625" style="157"/>
    <col min="39" max="39" width="30.625" style="157" customWidth="1"/>
    <col min="40" max="40" width="100.625" style="157" customWidth="1"/>
    <col min="41" max="41" width="10.625" style="157"/>
    <col min="42" max="42" width="30.625" style="157" customWidth="1"/>
    <col min="43" max="46" width="5.625" style="157" customWidth="1"/>
    <col min="47" max="47" width="20.625" style="157" customWidth="1"/>
    <col min="48" max="48" width="5.625" style="157" customWidth="1"/>
    <col min="49" max="49" width="9" style="157" customWidth="1"/>
    <col min="50" max="50" width="10.625" style="157" customWidth="1"/>
    <col min="51" max="51" width="30.625" style="157" customWidth="1"/>
    <col min="52" max="52" width="100.625" style="157" customWidth="1"/>
    <col min="53" max="53" width="10.625" style="157" customWidth="1"/>
    <col min="54" max="54" width="30.625" style="157" customWidth="1"/>
    <col min="55" max="58" width="5.625" style="157" customWidth="1"/>
    <col min="59" max="59" width="20.625" style="157" customWidth="1"/>
    <col min="60" max="60" width="5.625" style="157" customWidth="1"/>
    <col min="61" max="61" width="9.625" style="157" customWidth="1"/>
    <col min="62" max="62" width="10.625" style="157" customWidth="1"/>
    <col min="63" max="63" width="30.625" style="157" customWidth="1"/>
    <col min="64" max="64" width="100.625" style="157" customWidth="1"/>
    <col min="65" max="65" width="10.625" style="157" customWidth="1"/>
    <col min="66" max="66" width="30.625" style="157" customWidth="1"/>
    <col min="67" max="70" width="5.625" style="157" customWidth="1"/>
    <col min="71" max="71" width="20.625" style="157" customWidth="1"/>
    <col min="72" max="72" width="5.625" style="157" customWidth="1"/>
    <col min="73" max="16384" width="10.625" style="157"/>
  </cols>
  <sheetData>
    <row r="1" spans="1:65" s="153" customFormat="1" ht="30" customHeight="1" thickBot="1">
      <c r="B1" s="153" t="s">
        <v>226</v>
      </c>
      <c r="C1" s="154" t="s">
        <v>227</v>
      </c>
      <c r="D1" s="154" t="s">
        <v>228</v>
      </c>
      <c r="E1" s="155" t="s">
        <v>226</v>
      </c>
      <c r="F1" s="153" t="s">
        <v>227</v>
      </c>
      <c r="G1" s="153" t="s">
        <v>229</v>
      </c>
      <c r="H1" s="153" t="s">
        <v>229</v>
      </c>
      <c r="I1" s="153" t="s">
        <v>229</v>
      </c>
      <c r="J1" s="153" t="s">
        <v>229</v>
      </c>
      <c r="K1" s="153" t="s">
        <v>230</v>
      </c>
      <c r="L1" s="153" t="s">
        <v>229</v>
      </c>
      <c r="N1" s="153" t="s">
        <v>226</v>
      </c>
      <c r="O1" s="154" t="s">
        <v>227</v>
      </c>
      <c r="P1" s="154" t="s">
        <v>228</v>
      </c>
      <c r="Q1" s="155" t="s">
        <v>226</v>
      </c>
      <c r="R1" s="153" t="s">
        <v>227</v>
      </c>
      <c r="S1" s="153" t="s">
        <v>229</v>
      </c>
      <c r="T1" s="153" t="s">
        <v>229</v>
      </c>
      <c r="U1" s="153" t="s">
        <v>229</v>
      </c>
      <c r="V1" s="153" t="s">
        <v>229</v>
      </c>
      <c r="W1" s="153" t="s">
        <v>230</v>
      </c>
      <c r="X1" s="153" t="s">
        <v>229</v>
      </c>
      <c r="Z1" s="153" t="s">
        <v>226</v>
      </c>
      <c r="AA1" s="154" t="s">
        <v>227</v>
      </c>
      <c r="AB1" s="154" t="s">
        <v>228</v>
      </c>
      <c r="AC1" s="155" t="s">
        <v>226</v>
      </c>
      <c r="AD1" s="153" t="s">
        <v>227</v>
      </c>
      <c r="AE1" s="153" t="s">
        <v>229</v>
      </c>
      <c r="AF1" s="153" t="s">
        <v>229</v>
      </c>
      <c r="AG1" s="153" t="s">
        <v>229</v>
      </c>
      <c r="AH1" s="153" t="s">
        <v>229</v>
      </c>
      <c r="AI1" s="153" t="s">
        <v>230</v>
      </c>
      <c r="AJ1" s="153" t="s">
        <v>229</v>
      </c>
      <c r="AK1" s="314"/>
      <c r="AM1" s="154"/>
      <c r="AN1" s="154"/>
      <c r="AO1" s="155"/>
      <c r="AY1" s="154"/>
      <c r="AZ1" s="154"/>
      <c r="BA1" s="155"/>
      <c r="BK1" s="154"/>
      <c r="BL1" s="154"/>
      <c r="BM1" s="155"/>
    </row>
    <row r="2" spans="1:65" ht="30" customHeight="1">
      <c r="A2" s="153" t="s">
        <v>710</v>
      </c>
      <c r="B2" s="206" t="s">
        <v>73</v>
      </c>
      <c r="C2" s="487" t="s">
        <v>172</v>
      </c>
      <c r="D2" s="488"/>
      <c r="E2" s="488"/>
      <c r="F2" s="451" t="s">
        <v>39</v>
      </c>
      <c r="G2" s="453" t="s">
        <v>40</v>
      </c>
      <c r="H2" s="453"/>
      <c r="I2" s="453"/>
      <c r="J2" s="453"/>
      <c r="K2" s="472" t="s">
        <v>82</v>
      </c>
      <c r="L2" s="454" t="s">
        <v>29</v>
      </c>
      <c r="N2" s="231" t="s">
        <v>78</v>
      </c>
      <c r="O2" s="496" t="s">
        <v>126</v>
      </c>
      <c r="P2" s="497"/>
      <c r="Q2" s="498"/>
      <c r="R2" s="494" t="s">
        <v>62</v>
      </c>
      <c r="S2" s="494" t="s">
        <v>63</v>
      </c>
      <c r="T2" s="494"/>
      <c r="U2" s="494"/>
      <c r="V2" s="494"/>
      <c r="W2" s="494" t="s">
        <v>85</v>
      </c>
      <c r="X2" s="489" t="s">
        <v>64</v>
      </c>
      <c r="Z2" s="279" t="s">
        <v>81</v>
      </c>
      <c r="AA2" s="491" t="s">
        <v>94</v>
      </c>
      <c r="AB2" s="492"/>
      <c r="AC2" s="493"/>
      <c r="AD2" s="494" t="s">
        <v>62</v>
      </c>
      <c r="AE2" s="494" t="s">
        <v>63</v>
      </c>
      <c r="AF2" s="494"/>
      <c r="AG2" s="494"/>
      <c r="AH2" s="494"/>
      <c r="AI2" s="494" t="s">
        <v>85</v>
      </c>
      <c r="AJ2" s="489" t="s">
        <v>64</v>
      </c>
    </row>
    <row r="3" spans="1:65" ht="30" customHeight="1">
      <c r="B3" s="194" t="s">
        <v>16</v>
      </c>
      <c r="C3" s="145" t="s">
        <v>18</v>
      </c>
      <c r="D3" s="145" t="s">
        <v>38</v>
      </c>
      <c r="E3" s="158" t="s">
        <v>20</v>
      </c>
      <c r="F3" s="452"/>
      <c r="G3" s="140" t="s">
        <v>41</v>
      </c>
      <c r="H3" s="140" t="s">
        <v>0</v>
      </c>
      <c r="I3" s="140" t="s">
        <v>42</v>
      </c>
      <c r="J3" s="140" t="s">
        <v>43</v>
      </c>
      <c r="K3" s="482"/>
      <c r="L3" s="455"/>
      <c r="M3" s="142"/>
      <c r="N3" s="232" t="s">
        <v>80</v>
      </c>
      <c r="O3" s="380" t="s">
        <v>65</v>
      </c>
      <c r="P3" s="380" t="s">
        <v>66</v>
      </c>
      <c r="Q3" s="380" t="s">
        <v>67</v>
      </c>
      <c r="R3" s="495"/>
      <c r="S3" s="380" t="s">
        <v>68</v>
      </c>
      <c r="T3" s="380" t="s">
        <v>69</v>
      </c>
      <c r="U3" s="380" t="s">
        <v>70</v>
      </c>
      <c r="V3" s="380" t="s">
        <v>71</v>
      </c>
      <c r="W3" s="495"/>
      <c r="X3" s="490"/>
      <c r="Z3" s="232" t="s">
        <v>80</v>
      </c>
      <c r="AA3" s="151" t="s">
        <v>65</v>
      </c>
      <c r="AB3" s="151" t="s">
        <v>66</v>
      </c>
      <c r="AC3" s="151" t="s">
        <v>67</v>
      </c>
      <c r="AD3" s="495"/>
      <c r="AE3" s="151" t="s">
        <v>68</v>
      </c>
      <c r="AF3" s="151" t="s">
        <v>69</v>
      </c>
      <c r="AG3" s="151" t="s">
        <v>70</v>
      </c>
      <c r="AH3" s="151" t="s">
        <v>71</v>
      </c>
      <c r="AI3" s="495"/>
      <c r="AJ3" s="490"/>
    </row>
    <row r="4" spans="1:65" ht="30" customHeight="1">
      <c r="B4" s="182" t="s">
        <v>268</v>
      </c>
      <c r="C4" s="37" t="s">
        <v>427</v>
      </c>
      <c r="D4" s="38" t="s">
        <v>849</v>
      </c>
      <c r="E4" s="327" t="str">
        <f>Mission!B19</f>
        <v>TSE-003</v>
      </c>
      <c r="F4" s="31" t="s">
        <v>428</v>
      </c>
      <c r="G4" s="133" t="s">
        <v>154</v>
      </c>
      <c r="H4" s="133" t="s">
        <v>154</v>
      </c>
      <c r="I4" s="31"/>
      <c r="J4" s="31"/>
      <c r="K4" s="43"/>
      <c r="L4" s="326"/>
      <c r="N4" s="182" t="s">
        <v>424</v>
      </c>
      <c r="O4" s="30" t="s">
        <v>223</v>
      </c>
      <c r="P4" s="63" t="s">
        <v>224</v>
      </c>
      <c r="Q4" s="30" t="str">
        <f>B15</f>
        <v>SYS-012</v>
      </c>
      <c r="R4" s="37" t="s">
        <v>426</v>
      </c>
      <c r="S4" s="43"/>
      <c r="T4" s="43"/>
      <c r="U4" s="43"/>
      <c r="V4" s="324" t="s">
        <v>400</v>
      </c>
      <c r="W4" s="95"/>
      <c r="X4" s="183"/>
      <c r="Z4" s="233" t="s">
        <v>470</v>
      </c>
      <c r="AA4" s="37"/>
      <c r="AB4" s="38"/>
      <c r="AC4" s="37"/>
      <c r="AD4" s="90"/>
      <c r="AE4" s="90"/>
      <c r="AF4" s="90"/>
      <c r="AG4" s="90"/>
      <c r="AH4" s="90"/>
      <c r="AI4" s="95"/>
      <c r="AJ4" s="183"/>
    </row>
    <row r="5" spans="1:65" ht="30" customHeight="1">
      <c r="B5" s="182" t="s">
        <v>130</v>
      </c>
      <c r="C5" s="32" t="s">
        <v>595</v>
      </c>
      <c r="D5" s="130" t="s">
        <v>864</v>
      </c>
      <c r="E5" s="127" t="str">
        <f>Mission!B17</f>
        <v>TSE-001</v>
      </c>
      <c r="F5" s="32" t="s">
        <v>648</v>
      </c>
      <c r="G5" s="133" t="s">
        <v>154</v>
      </c>
      <c r="H5" s="118"/>
      <c r="I5" s="133" t="s">
        <v>154</v>
      </c>
      <c r="J5" s="133"/>
      <c r="K5" s="131"/>
      <c r="L5" s="227"/>
      <c r="N5" s="182" t="s">
        <v>425</v>
      </c>
      <c r="O5" s="132" t="s">
        <v>148</v>
      </c>
      <c r="P5" s="66" t="s">
        <v>678</v>
      </c>
      <c r="Q5" s="35" t="str">
        <f>B17</f>
        <v>SYS-014</v>
      </c>
      <c r="R5" s="37" t="s">
        <v>426</v>
      </c>
      <c r="S5" s="35"/>
      <c r="T5" s="35"/>
      <c r="U5" s="324" t="s">
        <v>400</v>
      </c>
      <c r="V5" s="35"/>
      <c r="W5" s="35"/>
      <c r="X5" s="391"/>
      <c r="Z5" s="233" t="s">
        <v>471</v>
      </c>
      <c r="AA5" s="37"/>
      <c r="AB5" s="38"/>
      <c r="AC5" s="37"/>
      <c r="AD5" s="90"/>
      <c r="AE5" s="90"/>
      <c r="AF5" s="90"/>
      <c r="AG5" s="90"/>
      <c r="AH5" s="90"/>
      <c r="AI5" s="95"/>
      <c r="AJ5" s="183"/>
    </row>
    <row r="6" spans="1:65" ht="30" customHeight="1">
      <c r="B6" s="182" t="s">
        <v>131</v>
      </c>
      <c r="C6" s="37" t="s">
        <v>143</v>
      </c>
      <c r="D6" s="38" t="s">
        <v>850</v>
      </c>
      <c r="E6" s="327" t="str">
        <f>Mission!B26</f>
        <v>TSE-010</v>
      </c>
      <c r="F6" s="31" t="s">
        <v>429</v>
      </c>
      <c r="G6" s="31"/>
      <c r="H6" s="133" t="s">
        <v>154</v>
      </c>
      <c r="I6" s="31"/>
      <c r="J6" s="31"/>
      <c r="K6" s="43"/>
      <c r="L6" s="326"/>
      <c r="N6" s="182" t="s">
        <v>239</v>
      </c>
      <c r="O6" s="30" t="s">
        <v>668</v>
      </c>
      <c r="P6" s="63" t="s">
        <v>467</v>
      </c>
      <c r="Q6" s="30" t="str">
        <f>B25</f>
        <v>SYS-022</v>
      </c>
      <c r="R6" s="43" t="s">
        <v>426</v>
      </c>
      <c r="S6" s="43"/>
      <c r="T6" s="43"/>
      <c r="U6" s="43"/>
      <c r="V6" s="43" t="s">
        <v>399</v>
      </c>
      <c r="W6" s="95"/>
      <c r="X6" s="183"/>
      <c r="Z6" s="233" t="s">
        <v>472</v>
      </c>
      <c r="AA6" s="37"/>
      <c r="AB6" s="38"/>
      <c r="AC6" s="37"/>
      <c r="AD6" s="90"/>
      <c r="AE6" s="90"/>
      <c r="AF6" s="90"/>
      <c r="AG6" s="90"/>
      <c r="AH6" s="90"/>
      <c r="AI6" s="95"/>
      <c r="AJ6" s="183"/>
    </row>
    <row r="7" spans="1:65" ht="30" customHeight="1">
      <c r="B7" s="182" t="s">
        <v>161</v>
      </c>
      <c r="C7" s="32" t="s">
        <v>189</v>
      </c>
      <c r="D7" s="130" t="s">
        <v>851</v>
      </c>
      <c r="E7" s="127" t="str">
        <f>Mission!B31</f>
        <v>TSE-015</v>
      </c>
      <c r="F7" s="32" t="s">
        <v>231</v>
      </c>
      <c r="G7" s="133" t="s">
        <v>154</v>
      </c>
      <c r="H7" s="133" t="s">
        <v>154</v>
      </c>
      <c r="I7" s="133"/>
      <c r="J7" s="133"/>
      <c r="K7" s="133"/>
      <c r="L7" s="228"/>
      <c r="N7" s="182" t="s">
        <v>240</v>
      </c>
      <c r="O7" s="91" t="s">
        <v>225</v>
      </c>
      <c r="P7" s="415" t="s">
        <v>711</v>
      </c>
      <c r="Q7" s="91" t="str">
        <f>B25</f>
        <v>SYS-022</v>
      </c>
      <c r="R7" s="93" t="s">
        <v>762</v>
      </c>
      <c r="S7" s="93" t="s">
        <v>399</v>
      </c>
      <c r="T7" s="93"/>
      <c r="U7" s="324" t="s">
        <v>400</v>
      </c>
      <c r="V7" s="93"/>
      <c r="W7" s="93"/>
      <c r="X7" s="235"/>
      <c r="Z7" s="233" t="s">
        <v>473</v>
      </c>
      <c r="AA7" s="37"/>
      <c r="AB7" s="38"/>
      <c r="AC7" s="37"/>
      <c r="AD7" s="90"/>
      <c r="AE7" s="90"/>
      <c r="AF7" s="90"/>
      <c r="AG7" s="90"/>
      <c r="AH7" s="90"/>
      <c r="AI7" s="95"/>
      <c r="AJ7" s="183"/>
    </row>
    <row r="8" spans="1:65" ht="30" customHeight="1">
      <c r="B8" s="182" t="s">
        <v>132</v>
      </c>
      <c r="C8" s="32" t="s">
        <v>190</v>
      </c>
      <c r="D8" s="130" t="s">
        <v>852</v>
      </c>
      <c r="E8" s="127" t="str">
        <f>Mission!B28</f>
        <v>TSE-012</v>
      </c>
      <c r="F8" s="32" t="s">
        <v>232</v>
      </c>
      <c r="G8" s="133" t="s">
        <v>154</v>
      </c>
      <c r="H8" s="133" t="s">
        <v>154</v>
      </c>
      <c r="I8" s="133"/>
      <c r="J8" s="133"/>
      <c r="K8" s="133"/>
      <c r="L8" s="228"/>
      <c r="N8" s="182" t="s">
        <v>241</v>
      </c>
      <c r="O8" s="383" t="s">
        <v>669</v>
      </c>
      <c r="P8" s="392" t="s">
        <v>673</v>
      </c>
      <c r="Q8" s="35" t="str">
        <f>B16</f>
        <v>SYS-013</v>
      </c>
      <c r="R8" s="93" t="s">
        <v>762</v>
      </c>
      <c r="S8" s="93" t="s">
        <v>399</v>
      </c>
      <c r="T8" s="35"/>
      <c r="U8" s="324" t="s">
        <v>400</v>
      </c>
      <c r="V8" s="35"/>
      <c r="W8" s="35"/>
      <c r="X8" s="391"/>
      <c r="Z8" s="233" t="s">
        <v>474</v>
      </c>
      <c r="AA8" s="37"/>
      <c r="AB8" s="38"/>
      <c r="AC8" s="37"/>
      <c r="AD8" s="90"/>
      <c r="AE8" s="90"/>
      <c r="AF8" s="90"/>
      <c r="AG8" s="90"/>
      <c r="AH8" s="90"/>
      <c r="AI8" s="95"/>
      <c r="AJ8" s="183"/>
    </row>
    <row r="9" spans="1:65" ht="30" customHeight="1" thickBot="1">
      <c r="B9" s="182" t="s">
        <v>269</v>
      </c>
      <c r="C9" s="32" t="s">
        <v>146</v>
      </c>
      <c r="D9" s="130" t="s">
        <v>666</v>
      </c>
      <c r="E9" s="127" t="str">
        <f>Mission!B28</f>
        <v>TSE-012</v>
      </c>
      <c r="F9" s="133" t="s">
        <v>620</v>
      </c>
      <c r="G9" s="112"/>
      <c r="H9" s="133" t="s">
        <v>154</v>
      </c>
      <c r="I9" s="118"/>
      <c r="J9" s="133"/>
      <c r="K9" s="133"/>
      <c r="L9" s="228"/>
      <c r="N9" s="182" t="s">
        <v>242</v>
      </c>
      <c r="O9" s="91" t="s">
        <v>670</v>
      </c>
      <c r="P9" s="110" t="s">
        <v>672</v>
      </c>
      <c r="Q9" s="91" t="str">
        <f>B25</f>
        <v>SYS-022</v>
      </c>
      <c r="R9" s="93" t="s">
        <v>762</v>
      </c>
      <c r="S9" s="93" t="s">
        <v>399</v>
      </c>
      <c r="T9" s="93"/>
      <c r="U9" s="324" t="s">
        <v>400</v>
      </c>
      <c r="V9" s="93"/>
      <c r="W9" s="93"/>
      <c r="X9" s="235"/>
      <c r="Y9" s="302" t="s">
        <v>266</v>
      </c>
      <c r="Z9" s="236"/>
      <c r="AA9" s="237"/>
      <c r="AB9" s="280"/>
      <c r="AC9" s="237"/>
      <c r="AD9" s="239"/>
      <c r="AE9" s="237"/>
      <c r="AF9" s="239"/>
      <c r="AG9" s="239"/>
      <c r="AH9" s="281"/>
      <c r="AI9" s="281"/>
      <c r="AJ9" s="282"/>
    </row>
    <row r="10" spans="1:65" ht="30" customHeight="1">
      <c r="B10" s="182" t="s">
        <v>270</v>
      </c>
      <c r="C10" s="32" t="s">
        <v>944</v>
      </c>
      <c r="D10" s="130" t="s">
        <v>643</v>
      </c>
      <c r="E10" s="43" t="str">
        <f>Mission!B17</f>
        <v>TSE-001</v>
      </c>
      <c r="F10" s="32" t="s">
        <v>155</v>
      </c>
      <c r="G10" s="133"/>
      <c r="H10" s="133" t="s">
        <v>154</v>
      </c>
      <c r="I10" s="133" t="s">
        <v>154</v>
      </c>
      <c r="J10" s="133"/>
      <c r="K10" s="133"/>
      <c r="L10" s="228"/>
      <c r="N10" s="182" t="s">
        <v>243</v>
      </c>
      <c r="O10" s="91" t="s">
        <v>671</v>
      </c>
      <c r="P10" s="110" t="s">
        <v>672</v>
      </c>
      <c r="Q10" s="91" t="str">
        <f>B25</f>
        <v>SYS-022</v>
      </c>
      <c r="R10" s="93" t="s">
        <v>762</v>
      </c>
      <c r="S10" s="93" t="s">
        <v>399</v>
      </c>
      <c r="T10" s="93"/>
      <c r="U10" s="324" t="s">
        <v>400</v>
      </c>
      <c r="V10" s="93"/>
      <c r="W10" s="93"/>
      <c r="X10" s="235"/>
    </row>
    <row r="11" spans="1:65" s="166" customFormat="1" ht="30" customHeight="1" thickBot="1">
      <c r="A11" s="164"/>
      <c r="B11" s="182" t="s">
        <v>133</v>
      </c>
      <c r="C11" s="132" t="s">
        <v>191</v>
      </c>
      <c r="D11" s="66" t="s">
        <v>865</v>
      </c>
      <c r="E11" s="162" t="str">
        <f>Mission!B17</f>
        <v>TSE-001</v>
      </c>
      <c r="F11" s="32" t="s">
        <v>621</v>
      </c>
      <c r="G11" s="133" t="s">
        <v>154</v>
      </c>
      <c r="H11" s="133" t="s">
        <v>154</v>
      </c>
      <c r="I11" s="133"/>
      <c r="J11" s="133"/>
      <c r="K11" s="126"/>
      <c r="L11" s="227"/>
      <c r="M11" s="165"/>
      <c r="N11" s="182" t="s">
        <v>244</v>
      </c>
      <c r="O11" s="132" t="s">
        <v>151</v>
      </c>
      <c r="P11" s="62" t="s">
        <v>237</v>
      </c>
      <c r="Q11" s="91" t="str">
        <f>B23</f>
        <v>SYS-020</v>
      </c>
      <c r="R11" s="93" t="s">
        <v>762</v>
      </c>
      <c r="S11" s="93" t="s">
        <v>399</v>
      </c>
      <c r="T11" s="93"/>
      <c r="U11" s="324" t="s">
        <v>400</v>
      </c>
      <c r="V11" s="93"/>
      <c r="W11" s="93"/>
      <c r="X11" s="235"/>
      <c r="AK11" s="315"/>
    </row>
    <row r="12" spans="1:65" ht="30" customHeight="1">
      <c r="B12" s="182" t="s">
        <v>271</v>
      </c>
      <c r="C12" s="32" t="s">
        <v>661</v>
      </c>
      <c r="D12" s="87" t="s">
        <v>854</v>
      </c>
      <c r="E12" s="127" t="str">
        <f>Mission!B17</f>
        <v>TSE-001</v>
      </c>
      <c r="F12" s="32" t="s">
        <v>709</v>
      </c>
      <c r="G12" s="133" t="s">
        <v>154</v>
      </c>
      <c r="H12" s="133"/>
      <c r="I12" s="133" t="s">
        <v>154</v>
      </c>
      <c r="J12" s="133"/>
      <c r="K12" s="133"/>
      <c r="L12" s="228"/>
      <c r="N12" s="182" t="s">
        <v>245</v>
      </c>
      <c r="O12" s="132" t="s">
        <v>675</v>
      </c>
      <c r="P12" s="62" t="s">
        <v>674</v>
      </c>
      <c r="Q12" s="91" t="str">
        <f>B24</f>
        <v>SYS-021</v>
      </c>
      <c r="R12" s="91"/>
      <c r="S12" s="91"/>
      <c r="T12" s="91"/>
      <c r="U12" s="91"/>
      <c r="V12" s="91"/>
      <c r="W12" s="91"/>
      <c r="X12" s="235"/>
      <c r="Z12" s="279" t="s">
        <v>81</v>
      </c>
      <c r="AA12" s="491" t="s">
        <v>72</v>
      </c>
      <c r="AB12" s="492"/>
      <c r="AC12" s="493"/>
      <c r="AD12" s="494" t="s">
        <v>62</v>
      </c>
      <c r="AE12" s="494" t="s">
        <v>63</v>
      </c>
      <c r="AF12" s="494"/>
      <c r="AG12" s="494"/>
      <c r="AH12" s="494"/>
      <c r="AI12" s="494" t="s">
        <v>85</v>
      </c>
      <c r="AJ12" s="489" t="s">
        <v>64</v>
      </c>
    </row>
    <row r="13" spans="1:65" ht="30" customHeight="1">
      <c r="B13" s="182" t="s">
        <v>134</v>
      </c>
      <c r="C13" s="32" t="s">
        <v>662</v>
      </c>
      <c r="D13" s="87" t="s">
        <v>855</v>
      </c>
      <c r="E13" s="127" t="str">
        <f>Mission!B17</f>
        <v>TSE-001</v>
      </c>
      <c r="F13" s="32" t="s">
        <v>235</v>
      </c>
      <c r="G13" s="133" t="s">
        <v>154</v>
      </c>
      <c r="H13" s="133"/>
      <c r="I13" s="133"/>
      <c r="J13" s="133"/>
      <c r="K13" s="133"/>
      <c r="L13" s="228"/>
      <c r="N13" s="182"/>
      <c r="O13" s="132"/>
      <c r="P13" s="62"/>
      <c r="Q13" s="91"/>
      <c r="R13" s="379"/>
      <c r="S13" s="371"/>
      <c r="T13" s="371"/>
      <c r="U13" s="379"/>
      <c r="V13" s="91"/>
      <c r="W13" s="91"/>
      <c r="X13" s="235"/>
      <c r="Z13" s="232" t="s">
        <v>80</v>
      </c>
      <c r="AA13" s="151" t="s">
        <v>65</v>
      </c>
      <c r="AB13" s="151" t="s">
        <v>66</v>
      </c>
      <c r="AC13" s="151" t="s">
        <v>67</v>
      </c>
      <c r="AD13" s="495"/>
      <c r="AE13" s="151" t="s">
        <v>68</v>
      </c>
      <c r="AF13" s="151" t="s">
        <v>69</v>
      </c>
      <c r="AG13" s="151" t="s">
        <v>70</v>
      </c>
      <c r="AH13" s="151" t="s">
        <v>71</v>
      </c>
      <c r="AI13" s="495"/>
      <c r="AJ13" s="490"/>
    </row>
    <row r="14" spans="1:65" ht="30" customHeight="1">
      <c r="B14" s="182" t="s">
        <v>135</v>
      </c>
      <c r="C14" s="132" t="s">
        <v>145</v>
      </c>
      <c r="D14" s="163" t="s">
        <v>856</v>
      </c>
      <c r="E14" s="303" t="str">
        <f>Mission!B17</f>
        <v>TSE-001</v>
      </c>
      <c r="F14" s="32" t="s">
        <v>620</v>
      </c>
      <c r="G14" s="133" t="s">
        <v>154</v>
      </c>
      <c r="H14" s="112"/>
      <c r="I14" s="112"/>
      <c r="J14" s="112"/>
      <c r="K14" s="163"/>
      <c r="L14" s="229"/>
      <c r="N14" s="182"/>
      <c r="O14" s="91"/>
      <c r="P14" s="110"/>
      <c r="Q14" s="91"/>
      <c r="R14" s="323"/>
      <c r="S14" s="91"/>
      <c r="T14" s="91"/>
      <c r="U14" s="91"/>
      <c r="V14" s="91"/>
      <c r="W14" s="91"/>
      <c r="X14" s="235"/>
      <c r="Z14" s="233" t="s">
        <v>475</v>
      </c>
      <c r="AA14" s="37"/>
      <c r="AB14" s="38"/>
      <c r="AC14" s="37"/>
      <c r="AD14" s="90"/>
      <c r="AE14" s="90"/>
      <c r="AF14" s="90"/>
      <c r="AG14" s="90"/>
      <c r="AH14" s="90"/>
      <c r="AI14" s="95"/>
      <c r="AJ14" s="183"/>
    </row>
    <row r="15" spans="1:65" ht="30" customHeight="1">
      <c r="B15" s="182" t="s">
        <v>136</v>
      </c>
      <c r="C15" s="32" t="s">
        <v>601</v>
      </c>
      <c r="D15" s="130" t="s">
        <v>853</v>
      </c>
      <c r="E15" s="43" t="str">
        <f>Mission!B29</f>
        <v>TSE-013</v>
      </c>
      <c r="F15" s="32" t="s">
        <v>156</v>
      </c>
      <c r="G15" s="133"/>
      <c r="H15" s="133"/>
      <c r="I15" s="133"/>
      <c r="J15" s="133" t="s">
        <v>154</v>
      </c>
      <c r="K15" s="133"/>
      <c r="L15" s="228"/>
      <c r="N15" s="182"/>
      <c r="O15" s="132"/>
      <c r="P15" s="62"/>
      <c r="Q15" s="91"/>
      <c r="R15" s="91"/>
      <c r="S15" s="91"/>
      <c r="T15" s="91"/>
      <c r="U15" s="91"/>
      <c r="V15" s="91"/>
      <c r="W15" s="91"/>
      <c r="X15" s="235"/>
      <c r="Z15" s="233" t="s">
        <v>476</v>
      </c>
      <c r="AA15" s="37"/>
      <c r="AB15" s="38"/>
      <c r="AC15" s="37"/>
      <c r="AD15" s="90"/>
      <c r="AE15" s="90"/>
      <c r="AF15" s="90"/>
      <c r="AG15" s="90"/>
      <c r="AH15" s="90"/>
      <c r="AI15" s="95"/>
      <c r="AJ15" s="183"/>
    </row>
    <row r="16" spans="1:65" ht="30" customHeight="1">
      <c r="B16" s="182" t="s">
        <v>162</v>
      </c>
      <c r="C16" s="132" t="s">
        <v>149</v>
      </c>
      <c r="D16" s="66" t="s">
        <v>857</v>
      </c>
      <c r="E16" s="162" t="str">
        <f>Mission!B29</f>
        <v>TSE-013</v>
      </c>
      <c r="F16" s="133" t="s">
        <v>156</v>
      </c>
      <c r="G16" s="133"/>
      <c r="H16" s="133"/>
      <c r="I16" s="133"/>
      <c r="J16" s="133" t="s">
        <v>154</v>
      </c>
      <c r="K16" s="133"/>
      <c r="L16" s="228"/>
      <c r="N16" s="182"/>
      <c r="O16" s="132"/>
      <c r="P16" s="392"/>
      <c r="Q16" s="35"/>
      <c r="R16" s="35"/>
      <c r="S16" s="35"/>
      <c r="T16" s="35"/>
      <c r="U16" s="35"/>
      <c r="V16" s="35"/>
      <c r="W16" s="35"/>
      <c r="X16" s="235"/>
      <c r="Y16" s="235"/>
      <c r="Z16" s="233" t="s">
        <v>477</v>
      </c>
      <c r="AA16" s="37"/>
      <c r="AB16" s="38"/>
      <c r="AC16" s="37"/>
      <c r="AD16" s="90"/>
      <c r="AE16" s="90"/>
      <c r="AF16" s="90"/>
      <c r="AG16" s="90"/>
      <c r="AH16" s="90"/>
      <c r="AI16" s="95"/>
      <c r="AJ16" s="183"/>
    </row>
    <row r="17" spans="1:37" ht="30" customHeight="1">
      <c r="B17" s="182" t="s">
        <v>137</v>
      </c>
      <c r="C17" s="132" t="s">
        <v>148</v>
      </c>
      <c r="D17" s="130" t="s">
        <v>858</v>
      </c>
      <c r="E17" s="128" t="str">
        <f>Mission!B29</f>
        <v>TSE-013</v>
      </c>
      <c r="F17" s="133" t="s">
        <v>157</v>
      </c>
      <c r="G17" s="133"/>
      <c r="H17" s="133"/>
      <c r="I17" s="133"/>
      <c r="J17" s="133" t="s">
        <v>154</v>
      </c>
      <c r="K17" s="133"/>
      <c r="L17" s="228"/>
      <c r="N17" s="182"/>
      <c r="O17" s="163"/>
      <c r="P17" s="35"/>
      <c r="Q17" s="35"/>
      <c r="R17" s="35"/>
      <c r="S17" s="35"/>
      <c r="T17" s="35"/>
      <c r="U17" s="35"/>
      <c r="V17" s="35"/>
      <c r="W17" s="35"/>
      <c r="X17" s="235"/>
      <c r="Z17" s="233" t="s">
        <v>478</v>
      </c>
      <c r="AA17" s="37"/>
      <c r="AB17" s="38"/>
      <c r="AC17" s="37"/>
      <c r="AD17" s="90"/>
      <c r="AE17" s="90"/>
      <c r="AF17" s="90"/>
      <c r="AG17" s="90"/>
      <c r="AH17" s="90"/>
      <c r="AI17" s="95"/>
      <c r="AJ17" s="183"/>
    </row>
    <row r="18" spans="1:37" ht="30" customHeight="1">
      <c r="B18" s="182" t="s">
        <v>272</v>
      </c>
      <c r="C18" s="132" t="s">
        <v>605</v>
      </c>
      <c r="D18" s="66" t="s">
        <v>859</v>
      </c>
      <c r="E18" s="128" t="str">
        <f>Mission!B17</f>
        <v>TSE-001</v>
      </c>
      <c r="F18" s="32" t="s">
        <v>233</v>
      </c>
      <c r="G18" s="133"/>
      <c r="H18" s="133"/>
      <c r="I18" s="133"/>
      <c r="J18" s="133" t="s">
        <v>154</v>
      </c>
      <c r="K18" s="133"/>
      <c r="L18" s="228"/>
      <c r="N18" s="182"/>
      <c r="O18" s="132"/>
      <c r="P18" s="167"/>
      <c r="Q18" s="91"/>
      <c r="R18" s="91"/>
      <c r="S18" s="91"/>
      <c r="T18" s="91"/>
      <c r="U18" s="91"/>
      <c r="V18" s="91"/>
      <c r="W18" s="91"/>
      <c r="X18" s="235"/>
      <c r="Z18" s="233" t="s">
        <v>479</v>
      </c>
      <c r="AA18" s="37"/>
      <c r="AB18" s="38"/>
      <c r="AC18" s="37"/>
      <c r="AD18" s="90"/>
      <c r="AE18" s="90"/>
      <c r="AF18" s="90"/>
      <c r="AG18" s="90"/>
      <c r="AH18" s="90"/>
      <c r="AI18" s="95"/>
      <c r="AJ18" s="183"/>
    </row>
    <row r="19" spans="1:37" ht="30" customHeight="1" thickBot="1">
      <c r="B19" s="182" t="s">
        <v>138</v>
      </c>
      <c r="C19" s="132" t="s">
        <v>150</v>
      </c>
      <c r="D19" s="62" t="s">
        <v>860</v>
      </c>
      <c r="E19" s="162" t="str">
        <f>Mission!B31</f>
        <v>TSE-015</v>
      </c>
      <c r="F19" s="133" t="s">
        <v>156</v>
      </c>
      <c r="G19" s="133"/>
      <c r="H19" s="133"/>
      <c r="I19" s="133"/>
      <c r="J19" s="133" t="s">
        <v>154</v>
      </c>
      <c r="K19" s="133"/>
      <c r="L19" s="228"/>
      <c r="M19" s="302" t="s">
        <v>266</v>
      </c>
      <c r="N19" s="236"/>
      <c r="O19" s="237"/>
      <c r="P19" s="238"/>
      <c r="Q19" s="239"/>
      <c r="R19" s="239"/>
      <c r="S19" s="239"/>
      <c r="T19" s="239"/>
      <c r="U19" s="239"/>
      <c r="V19" s="239"/>
      <c r="W19" s="239"/>
      <c r="X19" s="240"/>
      <c r="Y19" s="302" t="s">
        <v>266</v>
      </c>
      <c r="Z19" s="236"/>
      <c r="AA19" s="237"/>
      <c r="AB19" s="280"/>
      <c r="AC19" s="237"/>
      <c r="AD19" s="239"/>
      <c r="AE19" s="237"/>
      <c r="AF19" s="239"/>
      <c r="AG19" s="239"/>
      <c r="AH19" s="281"/>
      <c r="AI19" s="281"/>
      <c r="AJ19" s="282"/>
    </row>
    <row r="20" spans="1:37" ht="30" customHeight="1">
      <c r="B20" s="182" t="s">
        <v>139</v>
      </c>
      <c r="C20" s="162" t="s">
        <v>663</v>
      </c>
      <c r="D20" s="66" t="s">
        <v>970</v>
      </c>
      <c r="E20" s="128" t="str">
        <f>Mission!B30</f>
        <v>TSE-014</v>
      </c>
      <c r="F20" s="32" t="s">
        <v>283</v>
      </c>
      <c r="G20" s="133"/>
      <c r="H20" s="133" t="s">
        <v>44</v>
      </c>
      <c r="I20" s="133"/>
      <c r="J20" s="133"/>
      <c r="K20" s="133"/>
      <c r="L20" s="228"/>
    </row>
    <row r="21" spans="1:37" ht="30" customHeight="1" thickBot="1">
      <c r="A21" s="168"/>
      <c r="B21" s="182" t="s">
        <v>140</v>
      </c>
      <c r="C21" s="132" t="s">
        <v>160</v>
      </c>
      <c r="D21" s="66" t="s">
        <v>971</v>
      </c>
      <c r="E21" s="128" t="str">
        <f>Mission!B30</f>
        <v>TSE-014</v>
      </c>
      <c r="F21" s="133" t="s">
        <v>158</v>
      </c>
      <c r="G21" s="133"/>
      <c r="H21" s="133"/>
      <c r="I21" s="133"/>
      <c r="J21" s="133" t="s">
        <v>44</v>
      </c>
      <c r="K21" s="133"/>
      <c r="L21" s="228"/>
    </row>
    <row r="22" spans="1:37" ht="30" customHeight="1">
      <c r="B22" s="182" t="s">
        <v>141</v>
      </c>
      <c r="C22" s="34" t="s">
        <v>144</v>
      </c>
      <c r="D22" s="61" t="s">
        <v>945</v>
      </c>
      <c r="E22" s="161" t="str">
        <f>Mission!B31</f>
        <v>TSE-015</v>
      </c>
      <c r="F22" s="32" t="s">
        <v>234</v>
      </c>
      <c r="G22" s="133" t="s">
        <v>44</v>
      </c>
      <c r="H22" s="133"/>
      <c r="I22" s="133" t="s">
        <v>44</v>
      </c>
      <c r="J22" s="133"/>
      <c r="K22" s="133"/>
      <c r="L22" s="228"/>
      <c r="N22" s="65"/>
      <c r="O22" s="32"/>
      <c r="P22" s="62"/>
      <c r="Q22" s="65"/>
      <c r="R22" s="132"/>
      <c r="S22" s="65"/>
      <c r="T22" s="65"/>
      <c r="U22" s="65"/>
      <c r="V22" s="65"/>
      <c r="W22" s="264"/>
      <c r="X22" s="266"/>
      <c r="Z22" s="279" t="s">
        <v>81</v>
      </c>
      <c r="AA22" s="491" t="s">
        <v>95</v>
      </c>
      <c r="AB22" s="492"/>
      <c r="AC22" s="493"/>
      <c r="AD22" s="494" t="s">
        <v>62</v>
      </c>
      <c r="AE22" s="494" t="s">
        <v>63</v>
      </c>
      <c r="AF22" s="494"/>
      <c r="AG22" s="494"/>
      <c r="AH22" s="494"/>
      <c r="AI22" s="494" t="s">
        <v>85</v>
      </c>
      <c r="AJ22" s="489" t="s">
        <v>64</v>
      </c>
    </row>
    <row r="23" spans="1:37" s="169" customFormat="1" ht="30" customHeight="1">
      <c r="A23" s="153"/>
      <c r="B23" s="182" t="s">
        <v>142</v>
      </c>
      <c r="C23" s="132" t="s">
        <v>896</v>
      </c>
      <c r="D23" s="62" t="s">
        <v>237</v>
      </c>
      <c r="E23" s="35" t="str">
        <f>Mission!B23</f>
        <v>TSE-007</v>
      </c>
      <c r="F23" s="32" t="s">
        <v>235</v>
      </c>
      <c r="G23" s="133" t="s">
        <v>44</v>
      </c>
      <c r="H23" s="133"/>
      <c r="I23" s="133"/>
      <c r="J23" s="133"/>
      <c r="K23" s="133"/>
      <c r="L23" s="228"/>
      <c r="M23" s="156"/>
      <c r="N23" s="65"/>
      <c r="O23" s="32"/>
      <c r="P23" s="62"/>
      <c r="Q23" s="65"/>
      <c r="R23" s="132"/>
      <c r="S23" s="65"/>
      <c r="T23" s="65"/>
      <c r="U23" s="65"/>
      <c r="V23" s="65"/>
      <c r="W23" s="264"/>
      <c r="X23" s="266"/>
      <c r="Z23" s="232" t="s">
        <v>80</v>
      </c>
      <c r="AA23" s="151" t="s">
        <v>65</v>
      </c>
      <c r="AB23" s="151" t="s">
        <v>66</v>
      </c>
      <c r="AC23" s="151" t="s">
        <v>67</v>
      </c>
      <c r="AD23" s="495"/>
      <c r="AE23" s="151" t="s">
        <v>68</v>
      </c>
      <c r="AF23" s="151" t="s">
        <v>69</v>
      </c>
      <c r="AG23" s="151" t="s">
        <v>70</v>
      </c>
      <c r="AH23" s="151" t="s">
        <v>71</v>
      </c>
      <c r="AI23" s="495"/>
      <c r="AJ23" s="490"/>
      <c r="AK23" s="316"/>
    </row>
    <row r="24" spans="1:37" ht="30" customHeight="1">
      <c r="A24" s="45"/>
      <c r="B24" s="182" t="s">
        <v>163</v>
      </c>
      <c r="C24" s="132" t="s">
        <v>675</v>
      </c>
      <c r="D24" s="62" t="s">
        <v>861</v>
      </c>
      <c r="E24" s="35" t="str">
        <f>Mission!B22</f>
        <v>TSE-006</v>
      </c>
      <c r="F24" s="32"/>
      <c r="G24" s="133"/>
      <c r="H24" s="133"/>
      <c r="I24" s="133"/>
      <c r="J24" s="133"/>
      <c r="K24" s="133"/>
      <c r="L24" s="228"/>
      <c r="N24" s="65"/>
      <c r="O24" s="32"/>
      <c r="P24" s="62"/>
      <c r="Q24" s="65"/>
      <c r="R24" s="132"/>
      <c r="S24" s="65"/>
      <c r="T24" s="65"/>
      <c r="U24" s="65"/>
      <c r="V24" s="65"/>
      <c r="W24" s="264"/>
      <c r="X24" s="266"/>
      <c r="Z24" s="233" t="s">
        <v>480</v>
      </c>
      <c r="AA24" s="37"/>
      <c r="AB24" s="38"/>
      <c r="AC24" s="37"/>
      <c r="AD24" s="90"/>
      <c r="AE24" s="90"/>
      <c r="AF24" s="90"/>
      <c r="AG24" s="90"/>
      <c r="AH24" s="90"/>
      <c r="AI24" s="95"/>
      <c r="AJ24" s="183"/>
    </row>
    <row r="25" spans="1:37" ht="30" customHeight="1">
      <c r="B25" s="182" t="s">
        <v>164</v>
      </c>
      <c r="C25" s="132" t="s">
        <v>664</v>
      </c>
      <c r="D25" s="130" t="s">
        <v>665</v>
      </c>
      <c r="E25" s="35" t="str">
        <f>Mission!B17</f>
        <v>TSE-001</v>
      </c>
      <c r="F25" s="32" t="s">
        <v>236</v>
      </c>
      <c r="G25" s="133" t="s">
        <v>154</v>
      </c>
      <c r="H25" s="133"/>
      <c r="I25" s="133"/>
      <c r="J25" s="133"/>
      <c r="K25" s="133"/>
      <c r="L25" s="228"/>
      <c r="N25" s="65"/>
      <c r="O25" s="132"/>
      <c r="P25" s="130"/>
      <c r="Q25" s="32"/>
      <c r="R25" s="132"/>
      <c r="S25" s="265"/>
      <c r="T25" s="65"/>
      <c r="U25" s="265"/>
      <c r="V25" s="65"/>
      <c r="W25" s="264"/>
      <c r="X25" s="266"/>
      <c r="Z25" s="233" t="s">
        <v>481</v>
      </c>
      <c r="AA25" s="37"/>
      <c r="AB25" s="38"/>
      <c r="AC25" s="37"/>
      <c r="AD25" s="90"/>
      <c r="AE25" s="90"/>
      <c r="AF25" s="90"/>
      <c r="AG25" s="90"/>
      <c r="AH25" s="90"/>
      <c r="AI25" s="95"/>
      <c r="AJ25" s="183"/>
    </row>
    <row r="26" spans="1:37" ht="30" customHeight="1">
      <c r="B26" s="182" t="s">
        <v>667</v>
      </c>
      <c r="C26" s="132" t="s">
        <v>771</v>
      </c>
      <c r="D26" s="66" t="s">
        <v>862</v>
      </c>
      <c r="E26" s="128" t="str">
        <f>Mission!B30</f>
        <v>TSE-014</v>
      </c>
      <c r="F26" s="133" t="s">
        <v>158</v>
      </c>
      <c r="G26" s="133"/>
      <c r="H26" s="133"/>
      <c r="I26" s="133"/>
      <c r="J26" s="133" t="s">
        <v>44</v>
      </c>
      <c r="K26" s="133"/>
      <c r="L26" s="228"/>
      <c r="N26" s="65"/>
      <c r="O26" s="132"/>
      <c r="P26" s="135"/>
      <c r="Q26" s="132"/>
      <c r="R26" s="132"/>
      <c r="S26" s="65"/>
      <c r="T26" s="65"/>
      <c r="U26" s="65"/>
      <c r="V26" s="65"/>
      <c r="W26" s="264"/>
      <c r="X26" s="266"/>
      <c r="Z26" s="233" t="s">
        <v>482</v>
      </c>
      <c r="AA26" s="37"/>
      <c r="AB26" s="38"/>
      <c r="AC26" s="37"/>
      <c r="AD26" s="90"/>
      <c r="AE26" s="90"/>
      <c r="AF26" s="90"/>
      <c r="AG26" s="90"/>
      <c r="AH26" s="90"/>
      <c r="AI26" s="95"/>
      <c r="AJ26" s="183"/>
    </row>
    <row r="27" spans="1:37" ht="30" customHeight="1">
      <c r="B27" s="182" t="s">
        <v>676</v>
      </c>
      <c r="C27" s="132" t="s">
        <v>772</v>
      </c>
      <c r="D27" s="66" t="s">
        <v>863</v>
      </c>
      <c r="E27" s="128" t="str">
        <f>Mission!B30</f>
        <v>TSE-014</v>
      </c>
      <c r="F27" s="133" t="s">
        <v>158</v>
      </c>
      <c r="G27" s="133"/>
      <c r="H27" s="133"/>
      <c r="I27" s="133"/>
      <c r="J27" s="133" t="s">
        <v>44</v>
      </c>
      <c r="K27" s="133"/>
      <c r="L27" s="228"/>
      <c r="N27" s="65"/>
      <c r="O27" s="132"/>
      <c r="P27" s="130"/>
      <c r="Q27" s="32"/>
      <c r="R27" s="132"/>
      <c r="S27" s="65"/>
      <c r="T27" s="65"/>
      <c r="U27" s="65"/>
      <c r="V27" s="65"/>
      <c r="W27" s="264"/>
      <c r="X27" s="266"/>
      <c r="Z27" s="233" t="s">
        <v>483</v>
      </c>
      <c r="AA27" s="37"/>
      <c r="AB27" s="38"/>
      <c r="AC27" s="37"/>
      <c r="AD27" s="90"/>
      <c r="AE27" s="90"/>
      <c r="AF27" s="90"/>
      <c r="AG27" s="90"/>
      <c r="AH27" s="90"/>
      <c r="AI27" s="95"/>
      <c r="AJ27" s="183"/>
    </row>
    <row r="28" spans="1:37" ht="30" customHeight="1" thickBot="1">
      <c r="B28" s="182"/>
      <c r="C28" s="132"/>
      <c r="D28" s="66"/>
      <c r="E28" s="128"/>
      <c r="F28" s="32"/>
      <c r="G28" s="133"/>
      <c r="H28" s="133"/>
      <c r="I28" s="133"/>
      <c r="J28" s="133"/>
      <c r="K28" s="133"/>
      <c r="L28" s="228"/>
      <c r="N28" s="65"/>
      <c r="O28" s="132"/>
      <c r="P28" s="62"/>
      <c r="Q28" s="32"/>
      <c r="R28" s="132"/>
      <c r="S28" s="65"/>
      <c r="T28" s="65"/>
      <c r="U28" s="65"/>
      <c r="V28" s="65"/>
      <c r="W28" s="264"/>
      <c r="X28" s="266"/>
      <c r="Y28" s="302" t="s">
        <v>266</v>
      </c>
      <c r="Z28" s="236"/>
      <c r="AA28" s="185"/>
      <c r="AB28" s="186"/>
      <c r="AC28" s="185"/>
      <c r="AD28" s="283"/>
      <c r="AE28" s="283"/>
      <c r="AF28" s="283"/>
      <c r="AG28" s="283"/>
      <c r="AH28" s="283"/>
      <c r="AI28" s="284"/>
      <c r="AJ28" s="213"/>
    </row>
    <row r="29" spans="1:37" ht="30" customHeight="1">
      <c r="A29" s="302" t="s">
        <v>266</v>
      </c>
      <c r="B29" s="182"/>
      <c r="C29" s="132"/>
      <c r="D29" s="66"/>
      <c r="E29" s="128"/>
      <c r="F29" s="320"/>
      <c r="G29" s="133"/>
      <c r="H29" s="133"/>
      <c r="I29" s="133"/>
      <c r="J29" s="133"/>
      <c r="K29" s="133"/>
      <c r="L29" s="228"/>
      <c r="N29" s="65"/>
      <c r="O29" s="132"/>
      <c r="P29" s="130"/>
      <c r="Q29" s="132"/>
      <c r="R29" s="132"/>
      <c r="S29" s="65"/>
      <c r="T29" s="65"/>
      <c r="U29" s="65"/>
      <c r="V29" s="65"/>
      <c r="W29" s="264"/>
      <c r="X29" s="266"/>
    </row>
    <row r="30" spans="1:37" ht="30" customHeight="1" thickBot="1">
      <c r="B30" s="225"/>
      <c r="C30" s="331"/>
      <c r="D30" s="332"/>
      <c r="E30" s="333"/>
      <c r="F30" s="222"/>
      <c r="G30" s="222"/>
      <c r="H30" s="222"/>
      <c r="I30" s="222"/>
      <c r="J30" s="222"/>
      <c r="K30" s="222"/>
      <c r="L30" s="224"/>
      <c r="N30" s="65"/>
      <c r="O30" s="65"/>
      <c r="P30" s="135"/>
      <c r="Q30" s="132"/>
      <c r="R30" s="132"/>
      <c r="S30" s="65"/>
      <c r="T30" s="265"/>
      <c r="U30" s="65"/>
      <c r="V30" s="65"/>
      <c r="W30" s="264"/>
      <c r="X30" s="266"/>
      <c r="AK30" s="40"/>
    </row>
    <row r="31" spans="1:37" ht="30" customHeight="1">
      <c r="N31" s="65"/>
      <c r="O31" s="65"/>
      <c r="P31" s="66"/>
      <c r="Q31" s="132"/>
      <c r="R31" s="132"/>
      <c r="S31" s="65"/>
      <c r="T31" s="265"/>
      <c r="U31" s="65"/>
      <c r="V31" s="65"/>
      <c r="W31" s="264"/>
      <c r="X31" s="266"/>
      <c r="Z31" s="279" t="s">
        <v>81</v>
      </c>
      <c r="AA31" s="491" t="s">
        <v>96</v>
      </c>
      <c r="AB31" s="492"/>
      <c r="AC31" s="493"/>
      <c r="AD31" s="494" t="s">
        <v>62</v>
      </c>
      <c r="AE31" s="494" t="s">
        <v>63</v>
      </c>
      <c r="AF31" s="494"/>
      <c r="AG31" s="494"/>
      <c r="AH31" s="494"/>
      <c r="AI31" s="494" t="s">
        <v>85</v>
      </c>
      <c r="AJ31" s="489" t="s">
        <v>64</v>
      </c>
      <c r="AK31" s="40"/>
    </row>
    <row r="32" spans="1:37" ht="30" customHeight="1">
      <c r="B32" s="131"/>
      <c r="C32" s="65"/>
      <c r="D32" s="66"/>
      <c r="E32" s="163"/>
      <c r="F32" s="132"/>
      <c r="G32" s="163"/>
      <c r="H32" s="163"/>
      <c r="I32" s="163"/>
      <c r="J32" s="163"/>
      <c r="K32" s="163"/>
      <c r="L32" s="162"/>
      <c r="N32" s="65"/>
      <c r="O32" s="132"/>
      <c r="P32" s="135"/>
      <c r="Q32" s="132"/>
      <c r="R32" s="132"/>
      <c r="S32" s="65"/>
      <c r="T32" s="65"/>
      <c r="U32" s="65"/>
      <c r="V32" s="65"/>
      <c r="W32" s="264"/>
      <c r="X32" s="266"/>
      <c r="Z32" s="232" t="s">
        <v>80</v>
      </c>
      <c r="AA32" s="151" t="s">
        <v>65</v>
      </c>
      <c r="AB32" s="151" t="s">
        <v>66</v>
      </c>
      <c r="AC32" s="151" t="s">
        <v>67</v>
      </c>
      <c r="AD32" s="495"/>
      <c r="AE32" s="151" t="s">
        <v>68</v>
      </c>
      <c r="AF32" s="151" t="s">
        <v>69</v>
      </c>
      <c r="AG32" s="151" t="s">
        <v>70</v>
      </c>
      <c r="AH32" s="151" t="s">
        <v>71</v>
      </c>
      <c r="AI32" s="495"/>
      <c r="AJ32" s="490"/>
      <c r="AK32" s="40"/>
    </row>
    <row r="33" spans="1:60" ht="30" customHeight="1">
      <c r="B33" s="131"/>
      <c r="C33" s="132"/>
      <c r="D33" s="66"/>
      <c r="E33" s="163"/>
      <c r="F33" s="132"/>
      <c r="G33" s="163"/>
      <c r="H33" s="163"/>
      <c r="I33" s="163"/>
      <c r="J33" s="163"/>
      <c r="K33" s="163"/>
      <c r="L33" s="162"/>
      <c r="N33" s="65"/>
      <c r="O33" s="132"/>
      <c r="P33" s="66"/>
      <c r="Q33" s="132"/>
      <c r="R33" s="132"/>
      <c r="S33" s="65"/>
      <c r="T33" s="65"/>
      <c r="U33" s="65"/>
      <c r="V33" s="65"/>
      <c r="W33" s="264"/>
      <c r="X33" s="266"/>
      <c r="Z33" s="233" t="s">
        <v>110</v>
      </c>
      <c r="AA33" s="37"/>
      <c r="AB33" s="38"/>
      <c r="AC33" s="37"/>
      <c r="AD33" s="90"/>
      <c r="AE33" s="90"/>
      <c r="AF33" s="90"/>
      <c r="AG33" s="90"/>
      <c r="AH33" s="90"/>
      <c r="AI33" s="95"/>
      <c r="AJ33" s="183"/>
      <c r="AK33" s="40"/>
    </row>
    <row r="34" spans="1:60" ht="30" customHeight="1">
      <c r="N34" s="65"/>
      <c r="O34" s="132"/>
      <c r="P34" s="66"/>
      <c r="Q34" s="132"/>
      <c r="R34" s="132"/>
      <c r="S34" s="65"/>
      <c r="T34" s="65"/>
      <c r="U34" s="65"/>
      <c r="V34" s="65"/>
      <c r="W34" s="264"/>
      <c r="X34" s="266"/>
      <c r="Z34" s="233" t="s">
        <v>110</v>
      </c>
      <c r="AA34" s="37"/>
      <c r="AB34" s="38"/>
      <c r="AC34" s="37"/>
      <c r="AD34" s="90"/>
      <c r="AE34" s="90"/>
      <c r="AF34" s="90"/>
      <c r="AG34" s="90"/>
      <c r="AH34" s="90"/>
      <c r="AI34" s="95"/>
      <c r="AJ34" s="183"/>
      <c r="AK34" s="40"/>
    </row>
    <row r="35" spans="1:60" ht="30" customHeight="1">
      <c r="A35" s="45"/>
      <c r="N35" s="65"/>
      <c r="O35" s="65"/>
      <c r="P35" s="66"/>
      <c r="Q35" s="132"/>
      <c r="R35" s="132"/>
      <c r="S35" s="65"/>
      <c r="T35" s="65"/>
      <c r="U35" s="65"/>
      <c r="V35" s="65"/>
      <c r="W35" s="264"/>
      <c r="X35" s="266"/>
      <c r="Z35" s="233" t="s">
        <v>110</v>
      </c>
      <c r="AA35" s="37"/>
      <c r="AB35" s="38"/>
      <c r="AC35" s="37"/>
      <c r="AD35" s="90"/>
      <c r="AE35" s="90"/>
      <c r="AF35" s="90"/>
      <c r="AG35" s="90"/>
      <c r="AH35" s="90"/>
      <c r="AI35" s="95"/>
      <c r="AJ35" s="183"/>
      <c r="AK35" s="40"/>
    </row>
    <row r="36" spans="1:60" ht="30" customHeight="1">
      <c r="N36" s="65"/>
      <c r="O36" s="65"/>
      <c r="P36" s="66"/>
      <c r="Q36" s="132"/>
      <c r="R36" s="132"/>
      <c r="S36" s="65"/>
      <c r="T36" s="65"/>
      <c r="U36" s="65"/>
      <c r="V36" s="65"/>
      <c r="W36" s="264"/>
      <c r="X36" s="266"/>
      <c r="Z36" s="233" t="s">
        <v>112</v>
      </c>
      <c r="AA36" s="37"/>
      <c r="AB36" s="38"/>
      <c r="AC36" s="37"/>
      <c r="AD36" s="90"/>
      <c r="AE36" s="90"/>
      <c r="AF36" s="90"/>
      <c r="AG36" s="90"/>
      <c r="AH36" s="90"/>
      <c r="AI36" s="95"/>
      <c r="AJ36" s="183"/>
      <c r="AK36" s="40"/>
    </row>
    <row r="37" spans="1:60" ht="30" customHeight="1" thickBot="1">
      <c r="N37" s="65"/>
      <c r="O37" s="65"/>
      <c r="P37" s="66"/>
      <c r="Q37" s="132"/>
      <c r="R37" s="132"/>
      <c r="S37" s="65"/>
      <c r="T37" s="65"/>
      <c r="U37" s="65"/>
      <c r="V37" s="65"/>
      <c r="W37" s="264"/>
      <c r="X37" s="266"/>
      <c r="Y37" s="302" t="s">
        <v>266</v>
      </c>
      <c r="Z37" s="236"/>
      <c r="AA37" s="185"/>
      <c r="AB37" s="186"/>
      <c r="AC37" s="185"/>
      <c r="AD37" s="283"/>
      <c r="AE37" s="283"/>
      <c r="AF37" s="283"/>
      <c r="AG37" s="283"/>
      <c r="AH37" s="283"/>
      <c r="AI37" s="284"/>
      <c r="AJ37" s="213"/>
      <c r="AK37" s="40"/>
    </row>
    <row r="38" spans="1:60" ht="30" customHeight="1">
      <c r="N38" s="65"/>
      <c r="O38" s="65"/>
      <c r="P38" s="66"/>
      <c r="Q38" s="132"/>
      <c r="R38" s="132"/>
      <c r="S38" s="65"/>
      <c r="T38" s="65"/>
      <c r="U38" s="65"/>
      <c r="V38" s="65"/>
      <c r="W38" s="264"/>
      <c r="X38" s="266"/>
      <c r="Z38" s="49"/>
      <c r="AA38" s="49"/>
      <c r="AB38" s="50"/>
      <c r="AC38" s="49"/>
      <c r="AD38" s="49"/>
      <c r="AE38" s="49"/>
      <c r="AF38" s="51"/>
      <c r="AG38" s="49"/>
      <c r="AH38" s="49"/>
      <c r="AI38" s="49"/>
      <c r="AJ38" s="49"/>
      <c r="AK38" s="40"/>
    </row>
    <row r="39" spans="1:60" ht="30" customHeight="1" thickBot="1">
      <c r="N39" s="65"/>
      <c r="O39" s="65"/>
      <c r="P39" s="66"/>
      <c r="Q39" s="132"/>
      <c r="R39" s="132"/>
      <c r="S39" s="65"/>
      <c r="T39" s="65"/>
      <c r="U39" s="65"/>
      <c r="V39" s="65"/>
      <c r="W39" s="264"/>
      <c r="X39" s="266"/>
      <c r="Z39" s="49"/>
      <c r="AA39" s="49"/>
      <c r="AB39" s="50"/>
      <c r="AC39" s="49"/>
      <c r="AD39" s="49"/>
      <c r="AE39" s="49"/>
      <c r="AF39" s="51"/>
      <c r="AG39" s="49"/>
      <c r="AH39" s="49"/>
      <c r="AI39" s="49"/>
      <c r="AJ39" s="49"/>
      <c r="AK39" s="40"/>
    </row>
    <row r="40" spans="1:60" ht="30" customHeight="1">
      <c r="B40" s="163"/>
      <c r="C40" s="35"/>
      <c r="D40" s="172"/>
      <c r="E40" s="170"/>
      <c r="F40" s="163"/>
      <c r="G40" s="163"/>
      <c r="H40" s="163"/>
      <c r="I40" s="163"/>
      <c r="J40" s="163"/>
      <c r="K40" s="163"/>
      <c r="L40" s="162"/>
      <c r="Z40" s="279" t="s">
        <v>81</v>
      </c>
      <c r="AA40" s="491" t="s">
        <v>97</v>
      </c>
      <c r="AB40" s="492"/>
      <c r="AC40" s="493"/>
      <c r="AD40" s="494" t="s">
        <v>62</v>
      </c>
      <c r="AE40" s="494" t="s">
        <v>63</v>
      </c>
      <c r="AF40" s="494"/>
      <c r="AG40" s="494"/>
      <c r="AH40" s="494"/>
      <c r="AI40" s="494" t="s">
        <v>85</v>
      </c>
      <c r="AJ40" s="489" t="s">
        <v>64</v>
      </c>
      <c r="AK40" s="40"/>
    </row>
    <row r="41" spans="1:60" ht="30" customHeight="1">
      <c r="B41" s="163"/>
      <c r="C41" s="35"/>
      <c r="D41" s="172"/>
      <c r="E41" s="170"/>
      <c r="F41" s="163"/>
      <c r="G41" s="163"/>
      <c r="H41" s="163"/>
      <c r="I41" s="163"/>
      <c r="J41" s="163"/>
      <c r="K41" s="163"/>
      <c r="L41" s="162"/>
      <c r="Z41" s="232" t="s">
        <v>80</v>
      </c>
      <c r="AA41" s="151" t="s">
        <v>65</v>
      </c>
      <c r="AB41" s="151" t="s">
        <v>66</v>
      </c>
      <c r="AC41" s="151" t="s">
        <v>67</v>
      </c>
      <c r="AD41" s="495"/>
      <c r="AE41" s="151" t="s">
        <v>68</v>
      </c>
      <c r="AF41" s="151" t="s">
        <v>69</v>
      </c>
      <c r="AG41" s="151" t="s">
        <v>70</v>
      </c>
      <c r="AH41" s="151" t="s">
        <v>71</v>
      </c>
      <c r="AI41" s="495"/>
      <c r="AJ41" s="490"/>
      <c r="AK41" s="40"/>
    </row>
    <row r="42" spans="1:60" ht="30" customHeight="1">
      <c r="B42" s="163"/>
      <c r="C42" s="35"/>
      <c r="D42" s="172"/>
      <c r="E42" s="170"/>
      <c r="F42" s="163"/>
      <c r="G42" s="163"/>
      <c r="H42" s="163"/>
      <c r="I42" s="163"/>
      <c r="J42" s="163"/>
      <c r="K42" s="163"/>
      <c r="L42" s="162"/>
      <c r="Z42" s="233" t="s">
        <v>484</v>
      </c>
      <c r="AA42" s="37"/>
      <c r="AB42" s="38"/>
      <c r="AC42" s="37"/>
      <c r="AD42" s="90"/>
      <c r="AE42" s="90"/>
      <c r="AF42" s="90"/>
      <c r="AG42" s="90"/>
      <c r="AH42" s="90"/>
      <c r="AI42" s="95"/>
      <c r="AJ42" s="183"/>
      <c r="AK42" s="40"/>
    </row>
    <row r="43" spans="1:60" ht="30" customHeight="1">
      <c r="B43" s="163"/>
      <c r="C43" s="35"/>
      <c r="D43" s="172"/>
      <c r="E43" s="170"/>
      <c r="F43" s="163"/>
      <c r="G43" s="163"/>
      <c r="H43" s="163"/>
      <c r="I43" s="163"/>
      <c r="J43" s="163"/>
      <c r="K43" s="163"/>
      <c r="L43" s="162"/>
      <c r="Z43" s="233" t="s">
        <v>485</v>
      </c>
      <c r="AA43" s="37"/>
      <c r="AB43" s="38"/>
      <c r="AC43" s="37"/>
      <c r="AD43" s="90"/>
      <c r="AE43" s="90"/>
      <c r="AF43" s="90"/>
      <c r="AG43" s="90"/>
      <c r="AH43" s="90"/>
      <c r="AI43" s="95"/>
      <c r="AJ43" s="183"/>
      <c r="AK43" s="40"/>
    </row>
    <row r="44" spans="1:60" ht="30" customHeight="1">
      <c r="B44" s="163"/>
      <c r="C44" s="35"/>
      <c r="D44" s="172"/>
      <c r="E44" s="170"/>
      <c r="F44" s="163"/>
      <c r="G44" s="163"/>
      <c r="H44" s="163"/>
      <c r="I44" s="163"/>
      <c r="J44" s="163"/>
      <c r="K44" s="163"/>
      <c r="L44" s="162"/>
      <c r="Z44" s="233" t="s">
        <v>486</v>
      </c>
      <c r="AA44" s="37"/>
      <c r="AB44" s="38"/>
      <c r="AC44" s="37"/>
      <c r="AD44" s="90"/>
      <c r="AE44" s="90"/>
      <c r="AF44" s="90"/>
      <c r="AG44" s="90"/>
      <c r="AH44" s="90"/>
      <c r="AI44" s="95"/>
      <c r="AJ44" s="183"/>
      <c r="AK44" s="40"/>
    </row>
    <row r="45" spans="1:60" ht="30" customHeight="1">
      <c r="B45" s="163"/>
      <c r="C45" s="35"/>
      <c r="D45" s="172"/>
      <c r="E45" s="170"/>
      <c r="F45" s="163"/>
      <c r="G45" s="163"/>
      <c r="H45" s="163"/>
      <c r="I45" s="163"/>
      <c r="J45" s="163"/>
      <c r="K45" s="163"/>
      <c r="L45" s="162"/>
      <c r="Z45" s="233" t="s">
        <v>487</v>
      </c>
      <c r="AA45" s="37"/>
      <c r="AB45" s="38"/>
      <c r="AC45" s="37"/>
      <c r="AD45" s="90"/>
      <c r="AE45" s="90"/>
      <c r="AF45" s="90"/>
      <c r="AG45" s="90"/>
      <c r="AH45" s="90"/>
      <c r="AI45" s="95"/>
      <c r="AJ45" s="183"/>
      <c r="AK45" s="40"/>
    </row>
    <row r="46" spans="1:60" ht="30" customHeight="1" thickBot="1">
      <c r="B46" s="163"/>
      <c r="C46" s="35"/>
      <c r="D46" s="172"/>
      <c r="E46" s="170"/>
      <c r="F46" s="163"/>
      <c r="G46" s="163"/>
      <c r="H46" s="163"/>
      <c r="I46" s="163"/>
      <c r="J46" s="163"/>
      <c r="K46" s="163"/>
      <c r="L46" s="162"/>
      <c r="Y46" s="302" t="s">
        <v>266</v>
      </c>
      <c r="Z46" s="236"/>
      <c r="AA46" s="185"/>
      <c r="AB46" s="186"/>
      <c r="AC46" s="185"/>
      <c r="AD46" s="283"/>
      <c r="AE46" s="283"/>
      <c r="AF46" s="283"/>
      <c r="AG46" s="283"/>
      <c r="AH46" s="283"/>
      <c r="AI46" s="284"/>
      <c r="AJ46" s="213"/>
      <c r="AK46" s="40"/>
    </row>
    <row r="47" spans="1:60" ht="30" customHeight="1">
      <c r="B47" s="163"/>
      <c r="C47" s="35"/>
      <c r="D47" s="172"/>
      <c r="E47" s="170"/>
      <c r="F47" s="163"/>
      <c r="G47" s="163"/>
      <c r="H47" s="163"/>
      <c r="I47" s="163"/>
      <c r="J47" s="163"/>
      <c r="K47" s="163"/>
      <c r="L47" s="162"/>
      <c r="Z47" s="49"/>
      <c r="AA47" s="49"/>
      <c r="AB47" s="50"/>
      <c r="AC47" s="49"/>
      <c r="AD47" s="49"/>
      <c r="AE47" s="49"/>
      <c r="AF47" s="51"/>
      <c r="AG47" s="49"/>
      <c r="AH47" s="49"/>
      <c r="AI47" s="49"/>
      <c r="AJ47" s="49"/>
      <c r="AK47" s="40"/>
    </row>
    <row r="48" spans="1:60" ht="30" customHeight="1" thickBot="1">
      <c r="B48" s="163"/>
      <c r="C48" s="35"/>
      <c r="D48" s="172"/>
      <c r="E48" s="170"/>
      <c r="F48" s="163"/>
      <c r="G48" s="163"/>
      <c r="H48" s="163"/>
      <c r="I48" s="163"/>
      <c r="J48" s="163"/>
      <c r="K48" s="163"/>
      <c r="L48" s="162"/>
      <c r="Z48" s="49"/>
      <c r="AA48" s="49"/>
      <c r="AB48" s="54"/>
      <c r="AC48" s="54"/>
      <c r="AD48" s="49"/>
      <c r="AE48" s="49"/>
      <c r="AF48" s="53"/>
      <c r="AG48" s="49"/>
      <c r="AH48" s="49"/>
      <c r="AI48" s="49"/>
      <c r="AJ48" s="49"/>
      <c r="AK48" s="40"/>
      <c r="AX48" s="43"/>
      <c r="AY48" s="35"/>
      <c r="AZ48" s="163"/>
      <c r="BA48" s="162"/>
      <c r="BB48" s="37"/>
      <c r="BC48" s="43"/>
      <c r="BD48" s="162"/>
      <c r="BE48" s="162"/>
      <c r="BF48" s="43"/>
      <c r="BG48" s="43"/>
      <c r="BH48" s="162"/>
    </row>
    <row r="49" spans="2:60" ht="30" customHeight="1">
      <c r="B49" s="163"/>
      <c r="C49" s="35"/>
      <c r="D49" s="172"/>
      <c r="E49" s="170"/>
      <c r="F49" s="163"/>
      <c r="G49" s="163"/>
      <c r="H49" s="163"/>
      <c r="I49" s="163"/>
      <c r="J49" s="163"/>
      <c r="K49" s="163"/>
      <c r="L49" s="162"/>
      <c r="Z49" s="279" t="s">
        <v>81</v>
      </c>
      <c r="AA49" s="491" t="s">
        <v>98</v>
      </c>
      <c r="AB49" s="492"/>
      <c r="AC49" s="493"/>
      <c r="AD49" s="494" t="s">
        <v>62</v>
      </c>
      <c r="AE49" s="494" t="s">
        <v>63</v>
      </c>
      <c r="AF49" s="494"/>
      <c r="AG49" s="494"/>
      <c r="AH49" s="494"/>
      <c r="AI49" s="494" t="s">
        <v>85</v>
      </c>
      <c r="AJ49" s="489" t="s">
        <v>64</v>
      </c>
      <c r="AK49" s="40"/>
      <c r="AY49" s="156"/>
      <c r="BA49" s="156"/>
      <c r="BH49" s="156"/>
    </row>
    <row r="50" spans="2:60" ht="30" customHeight="1">
      <c r="B50" s="163"/>
      <c r="C50" s="35"/>
      <c r="D50" s="172"/>
      <c r="E50" s="170"/>
      <c r="F50" s="163"/>
      <c r="G50" s="163"/>
      <c r="H50" s="163"/>
      <c r="I50" s="163"/>
      <c r="J50" s="163"/>
      <c r="K50" s="163"/>
      <c r="L50" s="162"/>
      <c r="Z50" s="232" t="s">
        <v>80</v>
      </c>
      <c r="AA50" s="151" t="s">
        <v>65</v>
      </c>
      <c r="AB50" s="151" t="s">
        <v>66</v>
      </c>
      <c r="AC50" s="151"/>
      <c r="AD50" s="495"/>
      <c r="AE50" s="151" t="s">
        <v>68</v>
      </c>
      <c r="AF50" s="151" t="s">
        <v>69</v>
      </c>
      <c r="AG50" s="151" t="s">
        <v>70</v>
      </c>
      <c r="AH50" s="151" t="s">
        <v>71</v>
      </c>
      <c r="AI50" s="495"/>
      <c r="AJ50" s="490"/>
      <c r="AK50" s="40"/>
    </row>
    <row r="51" spans="2:60" ht="30" customHeight="1">
      <c r="B51" s="163"/>
      <c r="C51" s="35"/>
      <c r="D51" s="172"/>
      <c r="E51" s="170"/>
      <c r="F51" s="163"/>
      <c r="G51" s="163"/>
      <c r="H51" s="163"/>
      <c r="I51" s="163"/>
      <c r="J51" s="163"/>
      <c r="K51" s="163"/>
      <c r="L51" s="162"/>
      <c r="Z51" s="233" t="s">
        <v>488</v>
      </c>
      <c r="AA51" s="37"/>
      <c r="AB51" s="38"/>
      <c r="AC51" s="37"/>
      <c r="AD51" s="90"/>
      <c r="AE51" s="90"/>
      <c r="AF51" s="90"/>
      <c r="AG51" s="90"/>
      <c r="AH51" s="90"/>
      <c r="AI51" s="91"/>
      <c r="AJ51" s="183"/>
      <c r="AK51" s="40"/>
    </row>
    <row r="52" spans="2:60" ht="30" customHeight="1">
      <c r="B52" s="90"/>
      <c r="C52" s="90"/>
      <c r="D52" s="274"/>
      <c r="E52" s="94"/>
      <c r="F52" s="94"/>
      <c r="G52" s="94"/>
      <c r="H52" s="94"/>
      <c r="I52" s="94"/>
      <c r="J52" s="94"/>
      <c r="K52" s="94"/>
      <c r="L52" s="94"/>
      <c r="Z52" s="233" t="s">
        <v>489</v>
      </c>
      <c r="AA52" s="37"/>
      <c r="AB52" s="38"/>
      <c r="AC52" s="37"/>
      <c r="AD52" s="90"/>
      <c r="AE52" s="90"/>
      <c r="AF52" s="90"/>
      <c r="AG52" s="90"/>
      <c r="AH52" s="90"/>
      <c r="AI52" s="91"/>
      <c r="AJ52" s="183"/>
      <c r="AK52" s="40"/>
    </row>
    <row r="53" spans="2:60" ht="30" customHeight="1">
      <c r="B53" s="90"/>
      <c r="C53" s="90"/>
      <c r="D53" s="275"/>
      <c r="E53" s="90"/>
      <c r="F53" s="90"/>
      <c r="G53" s="90"/>
      <c r="H53" s="94"/>
      <c r="I53" s="90"/>
      <c r="J53" s="90"/>
      <c r="K53" s="90"/>
      <c r="L53" s="90"/>
      <c r="Z53" s="233" t="s">
        <v>490</v>
      </c>
      <c r="AA53" s="37"/>
      <c r="AB53" s="38"/>
      <c r="AC53" s="37"/>
      <c r="AD53" s="90"/>
      <c r="AE53" s="90"/>
      <c r="AF53" s="90"/>
      <c r="AG53" s="90"/>
      <c r="AH53" s="90"/>
      <c r="AI53" s="91"/>
      <c r="AJ53" s="183"/>
      <c r="AK53" s="40"/>
    </row>
    <row r="54" spans="2:60" ht="30" customHeight="1">
      <c r="B54" s="163"/>
      <c r="C54" s="35"/>
      <c r="D54" s="172"/>
      <c r="E54" s="170"/>
      <c r="F54" s="163"/>
      <c r="G54" s="163"/>
      <c r="H54" s="163"/>
      <c r="I54" s="163"/>
      <c r="J54" s="163"/>
      <c r="K54" s="163"/>
      <c r="L54" s="162"/>
      <c r="Z54" s="233" t="s">
        <v>491</v>
      </c>
      <c r="AA54" s="37"/>
      <c r="AB54" s="38"/>
      <c r="AC54" s="37"/>
      <c r="AD54" s="90"/>
      <c r="AE54" s="90"/>
      <c r="AF54" s="90"/>
      <c r="AG54" s="90"/>
      <c r="AH54" s="90"/>
      <c r="AI54" s="91"/>
      <c r="AJ54" s="183"/>
      <c r="AK54" s="40"/>
    </row>
    <row r="55" spans="2:60" ht="30" customHeight="1">
      <c r="B55" s="163"/>
      <c r="C55" s="35"/>
      <c r="D55" s="172"/>
      <c r="E55" s="170"/>
      <c r="F55" s="163"/>
      <c r="G55" s="163"/>
      <c r="H55" s="163"/>
      <c r="I55" s="163"/>
      <c r="J55" s="163"/>
      <c r="K55" s="163"/>
      <c r="L55" s="162"/>
      <c r="Z55" s="233" t="s">
        <v>492</v>
      </c>
      <c r="AA55" s="37"/>
      <c r="AB55" s="38"/>
      <c r="AC55" s="37"/>
      <c r="AD55" s="90"/>
      <c r="AE55" s="90"/>
      <c r="AF55" s="90"/>
      <c r="AG55" s="90"/>
      <c r="AH55" s="90"/>
      <c r="AI55" s="91"/>
      <c r="AJ55" s="183"/>
      <c r="AK55" s="40"/>
    </row>
    <row r="56" spans="2:60" ht="30" customHeight="1">
      <c r="B56" s="163"/>
      <c r="C56" s="35"/>
      <c r="D56" s="172"/>
      <c r="E56" s="170"/>
      <c r="F56" s="163"/>
      <c r="G56" s="163"/>
      <c r="H56" s="163"/>
      <c r="I56" s="163"/>
      <c r="J56" s="163"/>
      <c r="K56" s="163"/>
      <c r="L56" s="162"/>
      <c r="Z56" s="233" t="s">
        <v>493</v>
      </c>
      <c r="AA56" s="37"/>
      <c r="AB56" s="38"/>
      <c r="AC56" s="37"/>
      <c r="AD56" s="90"/>
      <c r="AE56" s="90"/>
      <c r="AF56" s="90"/>
      <c r="AG56" s="90"/>
      <c r="AH56" s="90"/>
      <c r="AI56" s="91"/>
      <c r="AJ56" s="183"/>
      <c r="AK56" s="40"/>
    </row>
    <row r="57" spans="2:60" ht="30" customHeight="1">
      <c r="B57" s="163"/>
      <c r="C57" s="35"/>
      <c r="D57" s="172"/>
      <c r="E57" s="170"/>
      <c r="F57" s="163"/>
      <c r="G57" s="163"/>
      <c r="H57" s="163"/>
      <c r="I57" s="163"/>
      <c r="J57" s="163"/>
      <c r="K57" s="163"/>
      <c r="L57" s="162"/>
      <c r="Z57" s="233" t="s">
        <v>494</v>
      </c>
      <c r="AA57" s="37"/>
      <c r="AB57" s="38"/>
      <c r="AC57" s="37"/>
      <c r="AD57" s="90"/>
      <c r="AE57" s="90"/>
      <c r="AF57" s="90"/>
      <c r="AG57" s="90"/>
      <c r="AH57" s="90"/>
      <c r="AI57" s="91"/>
      <c r="AJ57" s="183"/>
      <c r="AK57" s="40"/>
    </row>
    <row r="58" spans="2:60" ht="30" customHeight="1" thickBot="1">
      <c r="B58" s="163"/>
      <c r="C58" s="35"/>
      <c r="D58" s="172"/>
      <c r="E58" s="170"/>
      <c r="F58" s="163"/>
      <c r="G58" s="163"/>
      <c r="H58" s="163"/>
      <c r="I58" s="163"/>
      <c r="J58" s="163"/>
      <c r="K58" s="163"/>
      <c r="L58" s="162"/>
      <c r="Y58" s="302" t="s">
        <v>266</v>
      </c>
      <c r="Z58" s="236"/>
      <c r="AA58" s="185"/>
      <c r="AB58" s="186"/>
      <c r="AC58" s="185"/>
      <c r="AD58" s="283"/>
      <c r="AE58" s="283"/>
      <c r="AF58" s="283"/>
      <c r="AG58" s="283"/>
      <c r="AH58" s="283"/>
      <c r="AI58" s="237"/>
      <c r="AJ58" s="213"/>
      <c r="AK58" s="40"/>
    </row>
    <row r="59" spans="2:60" ht="30" customHeight="1">
      <c r="B59" s="163"/>
      <c r="C59" s="35"/>
      <c r="D59" s="172"/>
      <c r="E59" s="170"/>
      <c r="F59" s="163"/>
      <c r="G59" s="163"/>
      <c r="H59" s="163"/>
      <c r="I59" s="163"/>
      <c r="J59" s="163"/>
      <c r="K59" s="163"/>
      <c r="L59" s="162"/>
      <c r="Z59" s="49"/>
      <c r="AA59" s="49"/>
      <c r="AB59" s="50"/>
      <c r="AC59" s="49"/>
      <c r="AD59" s="49"/>
      <c r="AE59" s="49"/>
      <c r="AF59" s="51"/>
      <c r="AG59" s="49"/>
      <c r="AH59" s="49"/>
      <c r="AI59" s="49"/>
      <c r="AJ59" s="49"/>
      <c r="AK59" s="40"/>
    </row>
    <row r="60" spans="2:60" ht="30" customHeight="1" thickBot="1">
      <c r="B60" s="163"/>
      <c r="C60" s="35"/>
      <c r="D60" s="172"/>
      <c r="E60" s="170"/>
      <c r="F60" s="163"/>
      <c r="G60" s="163"/>
      <c r="H60" s="163"/>
      <c r="I60" s="163"/>
      <c r="J60" s="163"/>
      <c r="K60" s="163"/>
      <c r="L60" s="162"/>
      <c r="Z60" s="49"/>
      <c r="AA60" s="49"/>
      <c r="AB60" s="50"/>
      <c r="AC60" s="49"/>
      <c r="AD60" s="49"/>
      <c r="AE60" s="49"/>
      <c r="AF60" s="51"/>
      <c r="AG60" s="49"/>
      <c r="AH60" s="49"/>
      <c r="AI60" s="49"/>
      <c r="AJ60" s="49"/>
      <c r="AK60" s="40"/>
    </row>
    <row r="61" spans="2:60" ht="30" customHeight="1">
      <c r="B61" s="163"/>
      <c r="C61" s="35"/>
      <c r="D61" s="172"/>
      <c r="E61" s="170"/>
      <c r="F61" s="163"/>
      <c r="G61" s="163"/>
      <c r="H61" s="163"/>
      <c r="I61" s="163"/>
      <c r="J61" s="163"/>
      <c r="K61" s="163"/>
      <c r="L61" s="162"/>
      <c r="Z61" s="279" t="s">
        <v>81</v>
      </c>
      <c r="AA61" s="491" t="s">
        <v>76</v>
      </c>
      <c r="AB61" s="492"/>
      <c r="AC61" s="493"/>
      <c r="AD61" s="494" t="s">
        <v>62</v>
      </c>
      <c r="AE61" s="494" t="s">
        <v>63</v>
      </c>
      <c r="AF61" s="494"/>
      <c r="AG61" s="494"/>
      <c r="AH61" s="494"/>
      <c r="AI61" s="494" t="s">
        <v>85</v>
      </c>
      <c r="AJ61" s="489" t="s">
        <v>64</v>
      </c>
      <c r="AK61" s="40"/>
    </row>
    <row r="62" spans="2:60" ht="30" customHeight="1">
      <c r="B62" s="90"/>
      <c r="C62" s="90"/>
      <c r="D62" s="275"/>
      <c r="E62" s="90"/>
      <c r="F62" s="90"/>
      <c r="G62" s="90"/>
      <c r="H62" s="94"/>
      <c r="I62" s="90"/>
      <c r="J62" s="90"/>
      <c r="K62" s="90"/>
      <c r="L62" s="90"/>
      <c r="Z62" s="232" t="s">
        <v>80</v>
      </c>
      <c r="AA62" s="151" t="s">
        <v>65</v>
      </c>
      <c r="AB62" s="151" t="s">
        <v>66</v>
      </c>
      <c r="AC62" s="151"/>
      <c r="AD62" s="495"/>
      <c r="AE62" s="151" t="s">
        <v>68</v>
      </c>
      <c r="AF62" s="151" t="s">
        <v>69</v>
      </c>
      <c r="AG62" s="151" t="s">
        <v>70</v>
      </c>
      <c r="AH62" s="151" t="s">
        <v>71</v>
      </c>
      <c r="AI62" s="495"/>
      <c r="AJ62" s="490"/>
      <c r="AK62" s="40"/>
    </row>
    <row r="63" spans="2:60" ht="30" customHeight="1">
      <c r="B63" s="90"/>
      <c r="C63" s="94"/>
      <c r="D63" s="274"/>
      <c r="E63" s="94"/>
      <c r="F63" s="94"/>
      <c r="G63" s="94"/>
      <c r="H63" s="94"/>
      <c r="I63" s="94"/>
      <c r="J63" s="94"/>
      <c r="K63" s="94"/>
      <c r="L63" s="94"/>
      <c r="Z63" s="233" t="s">
        <v>495</v>
      </c>
      <c r="AA63" s="37"/>
      <c r="AB63" s="38"/>
      <c r="AC63" s="37"/>
      <c r="AD63" s="90"/>
      <c r="AE63" s="90"/>
      <c r="AF63" s="90"/>
      <c r="AG63" s="90"/>
      <c r="AH63" s="90"/>
      <c r="AI63" s="95"/>
      <c r="AJ63" s="183"/>
      <c r="AK63" s="40"/>
    </row>
    <row r="64" spans="2:60" ht="30" customHeight="1">
      <c r="B64" s="163"/>
      <c r="C64" s="35"/>
      <c r="D64" s="172"/>
      <c r="E64" s="170"/>
      <c r="F64" s="163"/>
      <c r="G64" s="163"/>
      <c r="H64" s="163"/>
      <c r="I64" s="163"/>
      <c r="J64" s="163"/>
      <c r="K64" s="163"/>
      <c r="L64" s="162"/>
      <c r="Z64" s="233" t="s">
        <v>496</v>
      </c>
      <c r="AA64" s="37"/>
      <c r="AB64" s="38"/>
      <c r="AC64" s="37"/>
      <c r="AD64" s="90"/>
      <c r="AE64" s="90"/>
      <c r="AF64" s="90"/>
      <c r="AG64" s="90"/>
      <c r="AH64" s="90"/>
      <c r="AI64" s="95"/>
      <c r="AJ64" s="183"/>
      <c r="AK64" s="40"/>
    </row>
    <row r="65" spans="2:37" ht="30" customHeight="1">
      <c r="B65" s="163"/>
      <c r="C65" s="35"/>
      <c r="D65" s="172"/>
      <c r="E65" s="170"/>
      <c r="F65" s="163"/>
      <c r="G65" s="163"/>
      <c r="H65" s="163"/>
      <c r="I65" s="163"/>
      <c r="J65" s="163"/>
      <c r="K65" s="163"/>
      <c r="L65" s="162"/>
      <c r="Z65" s="233" t="s">
        <v>497</v>
      </c>
      <c r="AA65" s="37"/>
      <c r="AB65" s="38"/>
      <c r="AC65" s="37"/>
      <c r="AD65" s="90"/>
      <c r="AE65" s="90"/>
      <c r="AF65" s="90"/>
      <c r="AG65" s="90"/>
      <c r="AH65" s="90"/>
      <c r="AI65" s="95"/>
      <c r="AJ65" s="183"/>
      <c r="AK65" s="40"/>
    </row>
    <row r="66" spans="2:37" ht="30" customHeight="1">
      <c r="B66" s="163"/>
      <c r="C66" s="35"/>
      <c r="D66" s="172"/>
      <c r="E66" s="170"/>
      <c r="F66" s="163"/>
      <c r="G66" s="163"/>
      <c r="H66" s="163"/>
      <c r="I66" s="163"/>
      <c r="J66" s="163"/>
      <c r="K66" s="163"/>
      <c r="L66" s="162"/>
      <c r="Z66" s="233" t="s">
        <v>498</v>
      </c>
      <c r="AA66" s="91"/>
      <c r="AB66" s="96"/>
      <c r="AC66" s="90"/>
      <c r="AD66" s="91"/>
      <c r="AE66" s="91"/>
      <c r="AF66" s="91"/>
      <c r="AG66" s="91"/>
      <c r="AH66" s="91"/>
      <c r="AI66" s="90"/>
      <c r="AJ66" s="234"/>
      <c r="AK66" s="40"/>
    </row>
    <row r="67" spans="2:37" ht="30" customHeight="1">
      <c r="B67" s="163"/>
      <c r="C67" s="35"/>
      <c r="D67" s="172"/>
      <c r="E67" s="170"/>
      <c r="F67" s="163"/>
      <c r="G67" s="163"/>
      <c r="H67" s="163"/>
      <c r="I67" s="163"/>
      <c r="J67" s="163"/>
      <c r="K67" s="163"/>
      <c r="L67" s="162"/>
      <c r="Z67" s="233" t="s">
        <v>499</v>
      </c>
      <c r="AA67" s="91"/>
      <c r="AB67" s="96"/>
      <c r="AC67" s="90"/>
      <c r="AD67" s="91"/>
      <c r="AE67" s="91"/>
      <c r="AF67" s="91"/>
      <c r="AG67" s="91"/>
      <c r="AH67" s="91"/>
      <c r="AI67" s="90"/>
      <c r="AJ67" s="234"/>
      <c r="AK67" s="40"/>
    </row>
    <row r="68" spans="2:37" ht="30" customHeight="1">
      <c r="B68" s="163"/>
      <c r="C68" s="35"/>
      <c r="D68" s="172"/>
      <c r="E68" s="170"/>
      <c r="F68" s="163"/>
      <c r="G68" s="163"/>
      <c r="H68" s="163"/>
      <c r="I68" s="163"/>
      <c r="J68" s="163"/>
      <c r="K68" s="163"/>
      <c r="L68" s="162"/>
      <c r="Z68" s="233" t="s">
        <v>500</v>
      </c>
      <c r="AA68" s="91"/>
      <c r="AB68" s="96"/>
      <c r="AC68" s="90"/>
      <c r="AD68" s="91"/>
      <c r="AE68" s="91"/>
      <c r="AF68" s="91"/>
      <c r="AG68" s="91"/>
      <c r="AH68" s="91"/>
      <c r="AI68" s="90"/>
      <c r="AJ68" s="234"/>
      <c r="AK68" s="40"/>
    </row>
    <row r="69" spans="2:37" ht="30" customHeight="1">
      <c r="B69" s="163"/>
      <c r="C69" s="35"/>
      <c r="D69" s="172"/>
      <c r="E69" s="170"/>
      <c r="F69" s="163"/>
      <c r="G69" s="163"/>
      <c r="H69" s="163"/>
      <c r="I69" s="163"/>
      <c r="J69" s="163"/>
      <c r="K69" s="163"/>
      <c r="L69" s="162"/>
      <c r="Z69" s="233" t="s">
        <v>501</v>
      </c>
      <c r="AA69" s="91"/>
      <c r="AB69" s="96"/>
      <c r="AC69" s="90"/>
      <c r="AD69" s="91"/>
      <c r="AE69" s="91"/>
      <c r="AF69" s="91"/>
      <c r="AG69" s="91"/>
      <c r="AH69" s="91"/>
      <c r="AI69" s="90"/>
      <c r="AJ69" s="234"/>
      <c r="AK69" s="40"/>
    </row>
    <row r="70" spans="2:37" ht="30" customHeight="1" thickBot="1">
      <c r="B70" s="163"/>
      <c r="C70" s="35"/>
      <c r="D70" s="172"/>
      <c r="E70" s="170"/>
      <c r="F70" s="163"/>
      <c r="G70" s="163"/>
      <c r="H70" s="163"/>
      <c r="I70" s="163"/>
      <c r="J70" s="163"/>
      <c r="K70" s="163"/>
      <c r="L70" s="162"/>
      <c r="Y70" s="302" t="s">
        <v>266</v>
      </c>
      <c r="Z70" s="285"/>
      <c r="AA70" s="237"/>
      <c r="AB70" s="280"/>
      <c r="AC70" s="237"/>
      <c r="AD70" s="237"/>
      <c r="AE70" s="237"/>
      <c r="AF70" s="237"/>
      <c r="AG70" s="237"/>
      <c r="AH70" s="237"/>
      <c r="AI70" s="283"/>
      <c r="AJ70" s="282"/>
      <c r="AK70" s="40"/>
    </row>
    <row r="71" spans="2:37" ht="30" customHeight="1">
      <c r="B71" s="163"/>
      <c r="C71" s="35"/>
      <c r="D71" s="172"/>
      <c r="E71" s="170"/>
      <c r="F71" s="163"/>
      <c r="G71" s="163"/>
      <c r="H71" s="163"/>
      <c r="I71" s="163"/>
      <c r="J71" s="163"/>
      <c r="K71" s="163"/>
      <c r="L71" s="162"/>
      <c r="Z71" s="49"/>
      <c r="AA71" s="49"/>
      <c r="AB71" s="50"/>
      <c r="AC71" s="49"/>
      <c r="AD71" s="49"/>
      <c r="AE71" s="51"/>
      <c r="AF71" s="51"/>
      <c r="AG71" s="51"/>
      <c r="AH71" s="49"/>
      <c r="AI71" s="49"/>
      <c r="AJ71" s="49"/>
      <c r="AK71" s="40"/>
    </row>
    <row r="72" spans="2:37" ht="30" customHeight="1" thickBot="1">
      <c r="B72" s="90"/>
      <c r="C72" s="90"/>
      <c r="D72" s="276"/>
      <c r="E72" s="277"/>
      <c r="F72" s="90"/>
      <c r="G72" s="90"/>
      <c r="H72" s="278"/>
      <c r="I72" s="90"/>
      <c r="J72" s="90"/>
      <c r="K72" s="90"/>
      <c r="L72" s="90"/>
      <c r="Z72" s="51"/>
      <c r="AA72" s="51"/>
      <c r="AB72" s="52"/>
      <c r="AC72" s="51"/>
      <c r="AD72" s="51"/>
      <c r="AE72" s="51"/>
      <c r="AF72" s="51"/>
      <c r="AG72" s="51"/>
      <c r="AH72" s="51"/>
      <c r="AI72" s="51"/>
      <c r="AJ72" s="51"/>
      <c r="AK72" s="40"/>
    </row>
    <row r="73" spans="2:37" ht="30" customHeight="1">
      <c r="B73" s="90"/>
      <c r="C73" s="90"/>
      <c r="D73" s="275"/>
      <c r="E73" s="90"/>
      <c r="F73" s="90"/>
      <c r="G73" s="90"/>
      <c r="H73" s="94"/>
      <c r="I73" s="90"/>
      <c r="J73" s="90"/>
      <c r="K73" s="90"/>
      <c r="L73" s="90"/>
      <c r="Z73" s="279" t="s">
        <v>81</v>
      </c>
      <c r="AA73" s="491" t="s">
        <v>99</v>
      </c>
      <c r="AB73" s="492"/>
      <c r="AC73" s="493"/>
      <c r="AD73" s="494" t="s">
        <v>62</v>
      </c>
      <c r="AE73" s="494" t="s">
        <v>63</v>
      </c>
      <c r="AF73" s="494"/>
      <c r="AG73" s="494"/>
      <c r="AH73" s="494"/>
      <c r="AI73" s="494" t="s">
        <v>85</v>
      </c>
      <c r="AJ73" s="489" t="s">
        <v>64</v>
      </c>
      <c r="AK73" s="40"/>
    </row>
    <row r="74" spans="2:37" ht="30" customHeight="1">
      <c r="B74" s="163"/>
      <c r="C74" s="35"/>
      <c r="D74" s="172"/>
      <c r="E74" s="170"/>
      <c r="F74" s="163"/>
      <c r="G74" s="163"/>
      <c r="H74" s="163"/>
      <c r="I74" s="163"/>
      <c r="J74" s="163"/>
      <c r="K74" s="163"/>
      <c r="L74" s="162"/>
      <c r="Z74" s="232" t="s">
        <v>80</v>
      </c>
      <c r="AA74" s="151" t="s">
        <v>65</v>
      </c>
      <c r="AB74" s="151" t="s">
        <v>66</v>
      </c>
      <c r="AC74" s="151"/>
      <c r="AD74" s="495"/>
      <c r="AE74" s="151" t="s">
        <v>68</v>
      </c>
      <c r="AF74" s="151" t="s">
        <v>69</v>
      </c>
      <c r="AG74" s="151" t="s">
        <v>70</v>
      </c>
      <c r="AH74" s="151" t="s">
        <v>71</v>
      </c>
      <c r="AI74" s="495"/>
      <c r="AJ74" s="490"/>
      <c r="AK74" s="40"/>
    </row>
    <row r="75" spans="2:37" ht="30" customHeight="1">
      <c r="B75" s="163"/>
      <c r="C75" s="35"/>
      <c r="D75" s="172"/>
      <c r="E75" s="170"/>
      <c r="F75" s="163"/>
      <c r="G75" s="163"/>
      <c r="H75" s="163"/>
      <c r="I75" s="163"/>
      <c r="J75" s="163"/>
      <c r="K75" s="163"/>
      <c r="L75" s="162"/>
      <c r="Z75" s="233" t="s">
        <v>502</v>
      </c>
      <c r="AA75" s="37"/>
      <c r="AB75" s="38"/>
      <c r="AC75" s="37"/>
      <c r="AD75" s="90"/>
      <c r="AE75" s="90"/>
      <c r="AF75" s="90"/>
      <c r="AG75" s="90"/>
      <c r="AH75" s="90"/>
      <c r="AI75" s="95"/>
      <c r="AJ75" s="183"/>
      <c r="AK75" s="40"/>
    </row>
    <row r="76" spans="2:37" ht="30" customHeight="1">
      <c r="B76" s="163"/>
      <c r="C76" s="35"/>
      <c r="D76" s="172"/>
      <c r="E76" s="170"/>
      <c r="F76" s="163"/>
      <c r="G76" s="163"/>
      <c r="H76" s="163"/>
      <c r="I76" s="163"/>
      <c r="J76" s="163"/>
      <c r="K76" s="163"/>
      <c r="L76" s="162"/>
      <c r="Z76" s="233" t="s">
        <v>503</v>
      </c>
      <c r="AA76" s="37"/>
      <c r="AB76" s="38"/>
      <c r="AC76" s="37"/>
      <c r="AD76" s="90"/>
      <c r="AE76" s="90"/>
      <c r="AF76" s="90"/>
      <c r="AG76" s="90"/>
      <c r="AH76" s="90"/>
      <c r="AI76" s="95"/>
      <c r="AJ76" s="183"/>
      <c r="AK76" s="40"/>
    </row>
    <row r="77" spans="2:37" ht="30" customHeight="1">
      <c r="B77" s="163"/>
      <c r="C77" s="35"/>
      <c r="D77" s="172"/>
      <c r="E77" s="170"/>
      <c r="F77" s="163"/>
      <c r="G77" s="163"/>
      <c r="H77" s="163"/>
      <c r="I77" s="163"/>
      <c r="J77" s="163"/>
      <c r="K77" s="163"/>
      <c r="L77" s="162"/>
      <c r="Z77" s="233" t="s">
        <v>504</v>
      </c>
      <c r="AA77" s="37"/>
      <c r="AB77" s="38"/>
      <c r="AC77" s="37"/>
      <c r="AD77" s="90"/>
      <c r="AE77" s="90"/>
      <c r="AF77" s="90"/>
      <c r="AG77" s="90"/>
      <c r="AH77" s="90"/>
      <c r="AI77" s="95"/>
      <c r="AJ77" s="183"/>
      <c r="AK77" s="40"/>
    </row>
    <row r="78" spans="2:37" ht="30" customHeight="1">
      <c r="B78" s="163"/>
      <c r="C78" s="35"/>
      <c r="D78" s="172"/>
      <c r="E78" s="170"/>
      <c r="F78" s="163"/>
      <c r="G78" s="163"/>
      <c r="H78" s="163"/>
      <c r="I78" s="163"/>
      <c r="J78" s="163"/>
      <c r="K78" s="163"/>
      <c r="L78" s="162"/>
      <c r="Z78" s="233" t="s">
        <v>505</v>
      </c>
      <c r="AA78" s="93"/>
      <c r="AB78" s="92"/>
      <c r="AC78" s="37"/>
      <c r="AD78" s="93"/>
      <c r="AE78" s="93"/>
      <c r="AF78" s="93"/>
      <c r="AG78" s="93"/>
      <c r="AH78" s="93"/>
      <c r="AI78" s="93"/>
      <c r="AJ78" s="235"/>
      <c r="AK78" s="40"/>
    </row>
    <row r="79" spans="2:37" ht="30" customHeight="1">
      <c r="B79" s="163"/>
      <c r="C79" s="35"/>
      <c r="D79" s="172"/>
      <c r="E79" s="170"/>
      <c r="F79" s="163"/>
      <c r="G79" s="163"/>
      <c r="H79" s="163"/>
      <c r="I79" s="163"/>
      <c r="J79" s="163"/>
      <c r="K79" s="163"/>
      <c r="L79" s="162"/>
      <c r="Z79" s="233" t="s">
        <v>506</v>
      </c>
      <c r="AA79" s="91"/>
      <c r="AB79" s="96"/>
      <c r="AC79" s="37"/>
      <c r="AD79" s="91"/>
      <c r="AE79" s="93"/>
      <c r="AF79" s="93"/>
      <c r="AG79" s="97"/>
      <c r="AH79" s="93"/>
      <c r="AI79" s="93"/>
      <c r="AJ79" s="235"/>
      <c r="AK79" s="40"/>
    </row>
    <row r="80" spans="2:37" ht="30" customHeight="1">
      <c r="B80" s="163"/>
      <c r="C80" s="35"/>
      <c r="D80" s="172"/>
      <c r="E80" s="170"/>
      <c r="F80" s="163"/>
      <c r="G80" s="163"/>
      <c r="H80" s="163"/>
      <c r="I80" s="163"/>
      <c r="J80" s="163"/>
      <c r="K80" s="163"/>
      <c r="L80" s="162"/>
      <c r="Z80" s="233" t="s">
        <v>507</v>
      </c>
      <c r="AA80" s="93"/>
      <c r="AB80" s="92"/>
      <c r="AC80" s="37"/>
      <c r="AD80" s="91"/>
      <c r="AE80" s="93"/>
      <c r="AF80" s="93"/>
      <c r="AG80" s="93"/>
      <c r="AH80" s="93"/>
      <c r="AI80" s="93"/>
      <c r="AJ80" s="235"/>
      <c r="AK80" s="40"/>
    </row>
    <row r="81" spans="2:37" ht="30" customHeight="1">
      <c r="B81" s="90"/>
      <c r="C81" s="90"/>
      <c r="D81" s="275"/>
      <c r="E81" s="90"/>
      <c r="F81" s="90"/>
      <c r="G81" s="90"/>
      <c r="H81" s="94"/>
      <c r="I81" s="90"/>
      <c r="J81" s="90"/>
      <c r="K81" s="90"/>
      <c r="L81" s="90"/>
      <c r="Z81" s="233" t="s">
        <v>508</v>
      </c>
      <c r="AA81" s="93"/>
      <c r="AB81" s="92"/>
      <c r="AC81" s="37"/>
      <c r="AD81" s="91"/>
      <c r="AE81" s="93"/>
      <c r="AF81" s="93"/>
      <c r="AG81" s="93"/>
      <c r="AH81" s="93"/>
      <c r="AI81" s="93"/>
      <c r="AJ81" s="235"/>
      <c r="AK81" s="40"/>
    </row>
    <row r="82" spans="2:37" ht="30" customHeight="1">
      <c r="B82" s="90"/>
      <c r="C82" s="90"/>
      <c r="D82" s="275"/>
      <c r="E82" s="90"/>
      <c r="F82" s="90"/>
      <c r="G82" s="90"/>
      <c r="H82" s="94"/>
      <c r="I82" s="90"/>
      <c r="J82" s="90"/>
      <c r="K82" s="90"/>
      <c r="L82" s="90"/>
      <c r="Z82" s="233" t="s">
        <v>509</v>
      </c>
      <c r="AA82" s="91"/>
      <c r="AB82" s="96"/>
      <c r="AC82" s="37"/>
      <c r="AD82" s="91"/>
      <c r="AE82" s="93"/>
      <c r="AF82" s="93"/>
      <c r="AG82" s="97"/>
      <c r="AH82" s="93"/>
      <c r="AI82" s="93"/>
      <c r="AJ82" s="235"/>
      <c r="AK82" s="40"/>
    </row>
    <row r="83" spans="2:37" ht="30" customHeight="1">
      <c r="B83" s="163"/>
      <c r="C83" s="35"/>
      <c r="D83" s="172"/>
      <c r="E83" s="170"/>
      <c r="F83" s="163"/>
      <c r="G83" s="163"/>
      <c r="H83" s="163"/>
      <c r="I83" s="163"/>
      <c r="J83" s="163"/>
      <c r="K83" s="163"/>
      <c r="L83" s="162"/>
      <c r="Z83" s="233" t="s">
        <v>510</v>
      </c>
      <c r="AA83" s="91"/>
      <c r="AB83" s="96"/>
      <c r="AC83" s="37"/>
      <c r="AD83" s="91"/>
      <c r="AE83" s="93"/>
      <c r="AF83" s="93"/>
      <c r="AG83" s="93"/>
      <c r="AH83" s="93"/>
      <c r="AI83" s="93"/>
      <c r="AJ83" s="235"/>
      <c r="AK83" s="40"/>
    </row>
    <row r="84" spans="2:37" ht="30" customHeight="1">
      <c r="B84" s="163"/>
      <c r="C84" s="35"/>
      <c r="D84" s="172"/>
      <c r="E84" s="170"/>
      <c r="F84" s="163"/>
      <c r="G84" s="163"/>
      <c r="H84" s="163"/>
      <c r="I84" s="163"/>
      <c r="J84" s="163"/>
      <c r="K84" s="163"/>
      <c r="L84" s="162"/>
      <c r="Z84" s="233" t="s">
        <v>511</v>
      </c>
      <c r="AA84" s="91"/>
      <c r="AB84" s="96"/>
      <c r="AC84" s="37"/>
      <c r="AD84" s="91"/>
      <c r="AE84" s="93"/>
      <c r="AF84" s="93"/>
      <c r="AG84" s="93"/>
      <c r="AH84" s="93"/>
      <c r="AI84" s="93"/>
      <c r="AJ84" s="235"/>
      <c r="AK84" s="40"/>
    </row>
    <row r="85" spans="2:37" ht="30" customHeight="1">
      <c r="B85" s="163"/>
      <c r="C85" s="35"/>
      <c r="D85" s="172"/>
      <c r="E85" s="170"/>
      <c r="F85" s="163"/>
      <c r="G85" s="163"/>
      <c r="H85" s="163"/>
      <c r="I85" s="163"/>
      <c r="J85" s="163"/>
      <c r="K85" s="163"/>
      <c r="L85" s="162"/>
      <c r="Z85" s="233" t="s">
        <v>512</v>
      </c>
      <c r="AA85" s="91"/>
      <c r="AB85" s="96"/>
      <c r="AC85" s="37"/>
      <c r="AD85" s="91"/>
      <c r="AE85" s="93"/>
      <c r="AF85" s="93"/>
      <c r="AG85" s="93"/>
      <c r="AH85" s="93"/>
      <c r="AI85" s="93"/>
      <c r="AJ85" s="235"/>
      <c r="AK85" s="40"/>
    </row>
    <row r="86" spans="2:37" ht="30" customHeight="1">
      <c r="B86" s="163"/>
      <c r="C86" s="35"/>
      <c r="D86" s="172"/>
      <c r="E86" s="170"/>
      <c r="F86" s="163"/>
      <c r="G86" s="163"/>
      <c r="H86" s="163"/>
      <c r="I86" s="163"/>
      <c r="J86" s="163"/>
      <c r="K86" s="163"/>
      <c r="L86" s="162"/>
      <c r="Z86" s="233" t="s">
        <v>513</v>
      </c>
      <c r="AA86" s="91"/>
      <c r="AB86" s="96"/>
      <c r="AC86" s="37"/>
      <c r="AD86" s="91"/>
      <c r="AE86" s="93"/>
      <c r="AF86" s="93"/>
      <c r="AG86" s="93"/>
      <c r="AH86" s="93"/>
      <c r="AI86" s="93"/>
      <c r="AJ86" s="235"/>
      <c r="AK86" s="40"/>
    </row>
    <row r="87" spans="2:37" ht="30" customHeight="1" thickBot="1">
      <c r="B87" s="163"/>
      <c r="C87" s="35"/>
      <c r="D87" s="172"/>
      <c r="E87" s="170"/>
      <c r="F87" s="163"/>
      <c r="G87" s="163"/>
      <c r="H87" s="163"/>
      <c r="I87" s="163"/>
      <c r="J87" s="163"/>
      <c r="K87" s="163"/>
      <c r="L87" s="162"/>
      <c r="Y87" s="302" t="s">
        <v>266</v>
      </c>
      <c r="Z87" s="286"/>
      <c r="AA87" s="237"/>
      <c r="AB87" s="280"/>
      <c r="AC87" s="237"/>
      <c r="AD87" s="237"/>
      <c r="AE87" s="239"/>
      <c r="AF87" s="239"/>
      <c r="AG87" s="239"/>
      <c r="AH87" s="239"/>
      <c r="AI87" s="239"/>
      <c r="AJ87" s="240"/>
      <c r="AK87" s="40"/>
    </row>
    <row r="88" spans="2:37" ht="30" customHeight="1">
      <c r="B88" s="163"/>
      <c r="C88" s="35"/>
      <c r="D88" s="172"/>
      <c r="E88" s="170"/>
      <c r="F88" s="163"/>
      <c r="G88" s="163"/>
      <c r="H88" s="163"/>
      <c r="I88" s="163"/>
      <c r="J88" s="163"/>
      <c r="K88" s="163"/>
      <c r="L88" s="162"/>
      <c r="Z88" s="51"/>
      <c r="AA88" s="51"/>
      <c r="AB88" s="52"/>
      <c r="AC88" s="51"/>
      <c r="AD88" s="51"/>
      <c r="AE88" s="51"/>
      <c r="AF88" s="51"/>
      <c r="AG88" s="51"/>
      <c r="AH88" s="51"/>
      <c r="AI88" s="51"/>
      <c r="AJ88" s="51"/>
      <c r="AK88" s="40"/>
    </row>
    <row r="89" spans="2:37" ht="30" customHeight="1" thickBot="1">
      <c r="B89" s="163"/>
      <c r="C89" s="35"/>
      <c r="D89" s="172"/>
      <c r="E89" s="170"/>
      <c r="F89" s="163"/>
      <c r="G89" s="163"/>
      <c r="H89" s="163"/>
      <c r="I89" s="163"/>
      <c r="J89" s="163"/>
      <c r="K89" s="163"/>
      <c r="L89" s="162"/>
      <c r="Z89" s="51"/>
      <c r="AA89" s="51"/>
      <c r="AB89" s="52"/>
      <c r="AC89" s="51"/>
      <c r="AD89" s="51"/>
      <c r="AE89" s="51"/>
      <c r="AF89" s="51"/>
      <c r="AG89" s="51"/>
      <c r="AH89" s="51"/>
      <c r="AI89" s="51"/>
      <c r="AJ89" s="51"/>
      <c r="AK89" s="40"/>
    </row>
    <row r="90" spans="2:37" ht="30" customHeight="1">
      <c r="B90" s="163"/>
      <c r="C90" s="35"/>
      <c r="D90" s="172"/>
      <c r="E90" s="170"/>
      <c r="F90" s="163"/>
      <c r="G90" s="163"/>
      <c r="H90" s="163"/>
      <c r="I90" s="163"/>
      <c r="J90" s="163"/>
      <c r="K90" s="163"/>
      <c r="L90" s="162"/>
      <c r="Z90" s="279" t="s">
        <v>81</v>
      </c>
      <c r="AA90" s="491" t="s">
        <v>100</v>
      </c>
      <c r="AB90" s="492"/>
      <c r="AC90" s="493"/>
      <c r="AD90" s="494" t="s">
        <v>62</v>
      </c>
      <c r="AE90" s="494" t="s">
        <v>63</v>
      </c>
      <c r="AF90" s="494"/>
      <c r="AG90" s="494"/>
      <c r="AH90" s="494"/>
      <c r="AI90" s="494" t="s">
        <v>85</v>
      </c>
      <c r="AJ90" s="489" t="s">
        <v>64</v>
      </c>
      <c r="AK90" s="40"/>
    </row>
    <row r="91" spans="2:37" ht="30" customHeight="1">
      <c r="B91" s="163"/>
      <c r="C91" s="35"/>
      <c r="D91" s="172"/>
      <c r="E91" s="170"/>
      <c r="F91" s="163"/>
      <c r="G91" s="163"/>
      <c r="H91" s="163"/>
      <c r="I91" s="163"/>
      <c r="J91" s="163"/>
      <c r="K91" s="163"/>
      <c r="L91" s="162"/>
      <c r="Z91" s="232" t="s">
        <v>80</v>
      </c>
      <c r="AA91" s="151" t="s">
        <v>65</v>
      </c>
      <c r="AB91" s="151" t="s">
        <v>66</v>
      </c>
      <c r="AC91" s="151"/>
      <c r="AD91" s="495"/>
      <c r="AE91" s="151" t="s">
        <v>68</v>
      </c>
      <c r="AF91" s="151" t="s">
        <v>69</v>
      </c>
      <c r="AG91" s="151" t="s">
        <v>70</v>
      </c>
      <c r="AH91" s="151" t="s">
        <v>71</v>
      </c>
      <c r="AI91" s="495"/>
      <c r="AJ91" s="490"/>
      <c r="AK91" s="40"/>
    </row>
    <row r="92" spans="2:37" ht="30" customHeight="1">
      <c r="B92" s="163"/>
      <c r="C92" s="35"/>
      <c r="D92" s="172"/>
      <c r="E92" s="170"/>
      <c r="F92" s="163"/>
      <c r="G92" s="163"/>
      <c r="H92" s="163"/>
      <c r="I92" s="163"/>
      <c r="J92" s="163"/>
      <c r="K92" s="163"/>
      <c r="L92" s="162"/>
      <c r="Z92" s="233" t="s">
        <v>514</v>
      </c>
      <c r="AA92" s="37"/>
      <c r="AB92" s="38"/>
      <c r="AC92" s="37"/>
      <c r="AD92" s="90"/>
      <c r="AE92" s="90"/>
      <c r="AF92" s="90"/>
      <c r="AG92" s="90"/>
      <c r="AH92" s="90"/>
      <c r="AI92" s="95"/>
      <c r="AJ92" s="183"/>
      <c r="AK92" s="40"/>
    </row>
    <row r="93" spans="2:37" ht="30" customHeight="1">
      <c r="B93" s="163"/>
      <c r="C93" s="35"/>
      <c r="D93" s="172"/>
      <c r="E93" s="170"/>
      <c r="F93" s="163"/>
      <c r="G93" s="163"/>
      <c r="H93" s="163"/>
      <c r="I93" s="163"/>
      <c r="J93" s="163"/>
      <c r="K93" s="163"/>
      <c r="L93" s="162"/>
      <c r="Z93" s="233" t="s">
        <v>515</v>
      </c>
      <c r="AA93" s="37"/>
      <c r="AB93" s="38"/>
      <c r="AC93" s="37"/>
      <c r="AD93" s="90"/>
      <c r="AE93" s="90"/>
      <c r="AF93" s="90"/>
      <c r="AG93" s="90"/>
      <c r="AH93" s="90"/>
      <c r="AI93" s="95"/>
      <c r="AJ93" s="183"/>
      <c r="AK93" s="40"/>
    </row>
    <row r="94" spans="2:37" ht="30" customHeight="1">
      <c r="B94" s="163"/>
      <c r="C94" s="35"/>
      <c r="D94" s="172"/>
      <c r="E94" s="170"/>
      <c r="F94" s="163"/>
      <c r="G94" s="163"/>
      <c r="H94" s="163"/>
      <c r="I94" s="163"/>
      <c r="J94" s="163"/>
      <c r="K94" s="163"/>
      <c r="L94" s="162"/>
      <c r="Z94" s="233" t="s">
        <v>516</v>
      </c>
      <c r="AA94" s="37"/>
      <c r="AB94" s="38"/>
      <c r="AC94" s="37"/>
      <c r="AD94" s="90"/>
      <c r="AE94" s="90"/>
      <c r="AF94" s="90"/>
      <c r="AG94" s="90"/>
      <c r="AH94" s="90"/>
      <c r="AI94" s="95"/>
      <c r="AJ94" s="183"/>
      <c r="AK94" s="40"/>
    </row>
    <row r="95" spans="2:37" ht="30" customHeight="1">
      <c r="B95" s="163"/>
      <c r="C95" s="35"/>
      <c r="D95" s="172"/>
      <c r="E95" s="170"/>
      <c r="F95" s="163"/>
      <c r="G95" s="163"/>
      <c r="H95" s="163"/>
      <c r="I95" s="163"/>
      <c r="J95" s="163"/>
      <c r="K95" s="163"/>
      <c r="L95" s="162"/>
      <c r="Z95" s="233" t="s">
        <v>517</v>
      </c>
      <c r="AA95" s="91"/>
      <c r="AB95" s="96"/>
      <c r="AC95" s="37"/>
      <c r="AD95" s="91"/>
      <c r="AE95" s="91"/>
      <c r="AF95" s="91"/>
      <c r="AG95" s="91"/>
      <c r="AH95" s="94"/>
      <c r="AI95" s="94"/>
      <c r="AJ95" s="235"/>
      <c r="AK95" s="40"/>
    </row>
    <row r="96" spans="2:37" ht="30" customHeight="1">
      <c r="B96" s="163"/>
      <c r="C96" s="35"/>
      <c r="D96" s="172"/>
      <c r="E96" s="170"/>
      <c r="F96" s="163"/>
      <c r="G96" s="163"/>
      <c r="H96" s="163"/>
      <c r="I96" s="163"/>
      <c r="J96" s="163"/>
      <c r="K96" s="163"/>
      <c r="L96" s="162"/>
      <c r="Z96" s="233" t="s">
        <v>518</v>
      </c>
      <c r="AA96" s="91"/>
      <c r="AB96" s="96"/>
      <c r="AC96" s="37"/>
      <c r="AD96" s="91"/>
      <c r="AE96" s="91"/>
      <c r="AF96" s="91"/>
      <c r="AG96" s="91"/>
      <c r="AH96" s="94"/>
      <c r="AI96" s="94"/>
      <c r="AJ96" s="235"/>
      <c r="AK96" s="40"/>
    </row>
    <row r="97" spans="1:37" ht="30" customHeight="1">
      <c r="B97" s="163"/>
      <c r="C97" s="35"/>
      <c r="D97" s="172"/>
      <c r="E97" s="170"/>
      <c r="F97" s="163"/>
      <c r="G97" s="163"/>
      <c r="H97" s="163"/>
      <c r="I97" s="163"/>
      <c r="J97" s="163"/>
      <c r="K97" s="163"/>
      <c r="L97" s="162"/>
      <c r="Z97" s="233" t="s">
        <v>519</v>
      </c>
      <c r="AA97" s="91"/>
      <c r="AB97" s="96"/>
      <c r="AC97" s="37"/>
      <c r="AD97" s="91"/>
      <c r="AE97" s="91"/>
      <c r="AF97" s="91"/>
      <c r="AG97" s="91"/>
      <c r="AH97" s="94"/>
      <c r="AI97" s="94"/>
      <c r="AJ97" s="235"/>
      <c r="AK97" s="40"/>
    </row>
    <row r="98" spans="1:37" ht="30" customHeight="1" thickBot="1">
      <c r="B98" s="163"/>
      <c r="C98" s="35"/>
      <c r="D98" s="172"/>
      <c r="E98" s="170"/>
      <c r="F98" s="163"/>
      <c r="G98" s="163"/>
      <c r="H98" s="163"/>
      <c r="I98" s="163"/>
      <c r="J98" s="163"/>
      <c r="K98" s="163"/>
      <c r="L98" s="162"/>
      <c r="Y98" s="302" t="s">
        <v>266</v>
      </c>
      <c r="Z98" s="285"/>
      <c r="AA98" s="237"/>
      <c r="AB98" s="280"/>
      <c r="AC98" s="237"/>
      <c r="AD98" s="237"/>
      <c r="AE98" s="237"/>
      <c r="AF98" s="237"/>
      <c r="AG98" s="237"/>
      <c r="AH98" s="281"/>
      <c r="AI98" s="281"/>
      <c r="AJ98" s="240"/>
      <c r="AK98" s="40"/>
    </row>
    <row r="99" spans="1:37" ht="30" customHeight="1" thickBot="1">
      <c r="B99" s="163"/>
      <c r="C99" s="35"/>
      <c r="D99" s="172"/>
      <c r="E99" s="170"/>
      <c r="F99" s="163"/>
      <c r="G99" s="163"/>
      <c r="H99" s="163"/>
      <c r="I99" s="163"/>
      <c r="J99" s="163"/>
      <c r="K99" s="163"/>
      <c r="L99" s="162"/>
      <c r="AK99" s="40"/>
    </row>
    <row r="100" spans="1:37" ht="30" customHeight="1">
      <c r="B100" s="163"/>
      <c r="C100" s="35"/>
      <c r="D100" s="172"/>
      <c r="E100" s="170"/>
      <c r="F100" s="163"/>
      <c r="G100" s="163"/>
      <c r="H100" s="163"/>
      <c r="I100" s="163"/>
      <c r="J100" s="163"/>
      <c r="K100" s="163"/>
      <c r="L100" s="162"/>
      <c r="Z100" s="279" t="s">
        <v>81</v>
      </c>
      <c r="AA100" s="524" t="s">
        <v>654</v>
      </c>
      <c r="AB100" s="525"/>
      <c r="AC100" s="526"/>
      <c r="AD100" s="494" t="s">
        <v>62</v>
      </c>
      <c r="AE100" s="494" t="s">
        <v>63</v>
      </c>
      <c r="AF100" s="494"/>
      <c r="AG100" s="494"/>
      <c r="AH100" s="494"/>
      <c r="AI100" s="494" t="s">
        <v>85</v>
      </c>
      <c r="AJ100" s="489" t="s">
        <v>64</v>
      </c>
      <c r="AK100" s="40"/>
    </row>
    <row r="101" spans="1:37" ht="30" customHeight="1">
      <c r="B101" s="163"/>
      <c r="C101" s="35"/>
      <c r="D101" s="172"/>
      <c r="E101" s="170"/>
      <c r="F101" s="163"/>
      <c r="G101" s="163"/>
      <c r="H101" s="163"/>
      <c r="I101" s="163"/>
      <c r="J101" s="163"/>
      <c r="K101" s="163"/>
      <c r="L101" s="162"/>
      <c r="Z101" s="232" t="s">
        <v>80</v>
      </c>
      <c r="AA101" s="374" t="s">
        <v>65</v>
      </c>
      <c r="AB101" s="374" t="s">
        <v>66</v>
      </c>
      <c r="AC101" s="374"/>
      <c r="AD101" s="495"/>
      <c r="AE101" s="374" t="s">
        <v>68</v>
      </c>
      <c r="AF101" s="374" t="s">
        <v>69</v>
      </c>
      <c r="AG101" s="374" t="s">
        <v>70</v>
      </c>
      <c r="AH101" s="374" t="s">
        <v>71</v>
      </c>
      <c r="AI101" s="495"/>
      <c r="AJ101" s="490"/>
      <c r="AK101" s="40"/>
    </row>
    <row r="102" spans="1:37" ht="30" customHeight="1">
      <c r="B102" s="163"/>
      <c r="C102" s="35"/>
      <c r="D102" s="172"/>
      <c r="E102" s="170"/>
      <c r="F102" s="163"/>
      <c r="G102" s="163"/>
      <c r="H102" s="163"/>
      <c r="I102" s="163"/>
      <c r="J102" s="163"/>
      <c r="K102" s="163"/>
      <c r="L102" s="162"/>
      <c r="Z102" s="233" t="s">
        <v>655</v>
      </c>
      <c r="AA102" s="37"/>
      <c r="AB102" s="38"/>
      <c r="AC102" s="37"/>
      <c r="AD102" s="90"/>
      <c r="AE102" s="90"/>
      <c r="AF102" s="90"/>
      <c r="AG102" s="90"/>
      <c r="AH102" s="90"/>
      <c r="AI102" s="95"/>
      <c r="AJ102" s="183"/>
      <c r="AK102" s="40"/>
    </row>
    <row r="103" spans="1:37" ht="30" customHeight="1">
      <c r="B103" s="163"/>
      <c r="C103" s="35"/>
      <c r="D103" s="172"/>
      <c r="E103" s="170"/>
      <c r="F103" s="163"/>
      <c r="G103" s="163"/>
      <c r="H103" s="163"/>
      <c r="I103" s="163"/>
      <c r="J103" s="163"/>
      <c r="K103" s="163"/>
      <c r="L103" s="162"/>
      <c r="Z103" s="233" t="s">
        <v>656</v>
      </c>
      <c r="AA103" s="37"/>
      <c r="AB103" s="38"/>
      <c r="AC103" s="37"/>
      <c r="AD103" s="90"/>
      <c r="AE103" s="90"/>
      <c r="AF103" s="90"/>
      <c r="AG103" s="90"/>
      <c r="AH103" s="90"/>
      <c r="AI103" s="95"/>
      <c r="AJ103" s="183"/>
      <c r="AK103" s="40"/>
    </row>
    <row r="104" spans="1:37" ht="30" customHeight="1">
      <c r="B104" s="163"/>
      <c r="C104" s="35"/>
      <c r="D104" s="172"/>
      <c r="E104" s="170"/>
      <c r="F104" s="163"/>
      <c r="G104" s="163"/>
      <c r="H104" s="163"/>
      <c r="I104" s="163"/>
      <c r="J104" s="163"/>
      <c r="K104" s="163"/>
      <c r="L104" s="162"/>
      <c r="Z104" s="233" t="s">
        <v>657</v>
      </c>
      <c r="AA104" s="37"/>
      <c r="AB104" s="38"/>
      <c r="AC104" s="37"/>
      <c r="AD104" s="90"/>
      <c r="AE104" s="90"/>
      <c r="AF104" s="90"/>
      <c r="AG104" s="90"/>
      <c r="AH104" s="90"/>
      <c r="AI104" s="95"/>
      <c r="AJ104" s="183"/>
      <c r="AK104" s="40"/>
    </row>
    <row r="105" spans="1:37" ht="30" customHeight="1">
      <c r="B105" s="163"/>
      <c r="C105" s="35"/>
      <c r="D105" s="172"/>
      <c r="E105" s="170"/>
      <c r="F105" s="163"/>
      <c r="G105" s="163"/>
      <c r="H105" s="163"/>
      <c r="I105" s="163"/>
      <c r="J105" s="163"/>
      <c r="K105" s="163"/>
      <c r="L105" s="162"/>
      <c r="Z105" s="233" t="s">
        <v>658</v>
      </c>
      <c r="AA105" s="91"/>
      <c r="AB105" s="96"/>
      <c r="AC105" s="37"/>
      <c r="AD105" s="91"/>
      <c r="AE105" s="91"/>
      <c r="AF105" s="91"/>
      <c r="AG105" s="91"/>
      <c r="AH105" s="94"/>
      <c r="AI105" s="94"/>
      <c r="AJ105" s="235"/>
      <c r="AK105" s="40"/>
    </row>
    <row r="106" spans="1:37" ht="30" customHeight="1">
      <c r="B106" s="163"/>
      <c r="C106" s="35"/>
      <c r="D106" s="172"/>
      <c r="E106" s="170"/>
      <c r="F106" s="163"/>
      <c r="G106" s="163"/>
      <c r="H106" s="163"/>
      <c r="I106" s="163"/>
      <c r="J106" s="163"/>
      <c r="K106" s="163"/>
      <c r="L106" s="162"/>
      <c r="Z106" s="233" t="s">
        <v>659</v>
      </c>
      <c r="AA106" s="91"/>
      <c r="AB106" s="96"/>
      <c r="AC106" s="37"/>
      <c r="AD106" s="91"/>
      <c r="AE106" s="91"/>
      <c r="AF106" s="91"/>
      <c r="AG106" s="91"/>
      <c r="AH106" s="94"/>
      <c r="AI106" s="94"/>
      <c r="AJ106" s="235"/>
      <c r="AK106" s="40"/>
    </row>
    <row r="107" spans="1:37" ht="30" customHeight="1">
      <c r="B107" s="163"/>
      <c r="C107" s="35"/>
      <c r="D107" s="172"/>
      <c r="E107" s="170"/>
      <c r="F107" s="163"/>
      <c r="G107" s="163"/>
      <c r="H107" s="163"/>
      <c r="I107" s="163"/>
      <c r="J107" s="163"/>
      <c r="K107" s="163"/>
      <c r="L107" s="162"/>
      <c r="Z107" s="233" t="s">
        <v>660</v>
      </c>
      <c r="AA107" s="91"/>
      <c r="AB107" s="96"/>
      <c r="AC107" s="37"/>
      <c r="AD107" s="91"/>
      <c r="AE107" s="91"/>
      <c r="AF107" s="91"/>
      <c r="AG107" s="91"/>
      <c r="AH107" s="94"/>
      <c r="AI107" s="94"/>
      <c r="AJ107" s="235"/>
      <c r="AK107" s="40"/>
    </row>
    <row r="108" spans="1:37" ht="30" customHeight="1" thickBot="1">
      <c r="B108" s="163"/>
      <c r="C108" s="35"/>
      <c r="D108" s="172"/>
      <c r="E108" s="170"/>
      <c r="F108" s="163"/>
      <c r="G108" s="163"/>
      <c r="H108" s="163"/>
      <c r="I108" s="163"/>
      <c r="J108" s="163"/>
      <c r="K108" s="163"/>
      <c r="L108" s="162"/>
      <c r="Z108" s="285"/>
      <c r="AA108" s="237"/>
      <c r="AB108" s="280"/>
      <c r="AC108" s="237"/>
      <c r="AD108" s="237"/>
      <c r="AE108" s="237"/>
      <c r="AF108" s="237"/>
      <c r="AG108" s="237"/>
      <c r="AH108" s="281"/>
      <c r="AI108" s="281"/>
      <c r="AJ108" s="240"/>
      <c r="AK108" s="40"/>
    </row>
    <row r="109" spans="1:37" ht="30" customHeight="1">
      <c r="B109" s="163"/>
      <c r="C109" s="35"/>
      <c r="D109" s="172"/>
      <c r="E109" s="170"/>
      <c r="F109" s="163"/>
      <c r="G109" s="163"/>
      <c r="H109" s="163"/>
      <c r="I109" s="163"/>
      <c r="J109" s="163"/>
      <c r="K109" s="163"/>
      <c r="L109" s="162"/>
      <c r="AK109" s="40"/>
    </row>
    <row r="110" spans="1:37" ht="30" customHeight="1">
      <c r="B110" s="163"/>
      <c r="C110" s="35"/>
      <c r="D110" s="172"/>
      <c r="E110" s="170"/>
      <c r="F110" s="163"/>
      <c r="G110" s="163"/>
      <c r="H110" s="163"/>
      <c r="I110" s="163"/>
      <c r="J110" s="163"/>
      <c r="K110" s="163"/>
      <c r="L110" s="162"/>
      <c r="AK110" s="40"/>
    </row>
    <row r="111" spans="1:37" ht="30" customHeight="1">
      <c r="B111" s="163"/>
      <c r="C111" s="35"/>
      <c r="D111" s="172"/>
      <c r="E111" s="170"/>
      <c r="F111" s="163"/>
      <c r="G111" s="163"/>
      <c r="H111" s="163"/>
      <c r="I111" s="163"/>
      <c r="J111" s="163"/>
      <c r="K111" s="163"/>
      <c r="L111" s="162"/>
      <c r="AK111" s="40"/>
    </row>
    <row r="112" spans="1:37" s="310" customFormat="1" ht="30" customHeight="1">
      <c r="A112" s="304"/>
      <c r="B112" s="163"/>
      <c r="C112" s="35"/>
      <c r="D112" s="172"/>
      <c r="E112" s="170"/>
      <c r="F112" s="163"/>
      <c r="G112" s="163"/>
      <c r="H112" s="163"/>
      <c r="I112" s="163"/>
      <c r="J112" s="163"/>
      <c r="K112" s="163"/>
      <c r="L112" s="162"/>
      <c r="M112" s="304"/>
      <c r="P112" s="311"/>
      <c r="Q112" s="311"/>
      <c r="R112" s="311"/>
      <c r="S112" s="311"/>
      <c r="T112" s="311"/>
      <c r="U112" s="311"/>
      <c r="V112" s="311"/>
      <c r="W112" s="311"/>
    </row>
    <row r="113" spans="2:36" ht="30" customHeight="1" thickBot="1">
      <c r="B113" s="163"/>
      <c r="C113" s="35"/>
      <c r="D113" s="172"/>
      <c r="E113" s="170"/>
      <c r="F113" s="163"/>
      <c r="G113" s="163"/>
      <c r="H113" s="163"/>
      <c r="I113" s="163"/>
      <c r="J113" s="163"/>
      <c r="K113" s="163"/>
      <c r="L113" s="162"/>
    </row>
    <row r="114" spans="2:36" ht="30" customHeight="1">
      <c r="B114" s="305"/>
      <c r="C114" s="306"/>
      <c r="D114" s="307"/>
      <c r="E114" s="308"/>
      <c r="F114" s="305"/>
      <c r="G114" s="305"/>
      <c r="H114" s="305"/>
      <c r="I114" s="305"/>
      <c r="J114" s="305"/>
      <c r="K114" s="305"/>
      <c r="L114" s="309"/>
      <c r="N114" s="241" t="s">
        <v>111</v>
      </c>
      <c r="O114" s="501" t="s">
        <v>679</v>
      </c>
      <c r="P114" s="502"/>
      <c r="Q114" s="502"/>
      <c r="R114" s="503" t="s">
        <v>452</v>
      </c>
      <c r="S114" s="505" t="s">
        <v>63</v>
      </c>
      <c r="T114" s="506"/>
      <c r="U114" s="506"/>
      <c r="V114" s="506"/>
      <c r="W114" s="505" t="s">
        <v>85</v>
      </c>
      <c r="X114" s="507" t="s">
        <v>64</v>
      </c>
      <c r="Z114" s="287" t="s">
        <v>81</v>
      </c>
      <c r="AA114" s="509" t="s">
        <v>107</v>
      </c>
      <c r="AB114" s="510"/>
      <c r="AC114" s="510"/>
      <c r="AD114" s="511" t="s">
        <v>79</v>
      </c>
      <c r="AE114" s="513" t="s">
        <v>63</v>
      </c>
      <c r="AF114" s="514"/>
      <c r="AG114" s="514"/>
      <c r="AH114" s="515"/>
      <c r="AI114" s="516" t="s">
        <v>85</v>
      </c>
      <c r="AJ114" s="499" t="s">
        <v>64</v>
      </c>
    </row>
    <row r="115" spans="2:36" ht="30" customHeight="1">
      <c r="B115" s="305"/>
      <c r="C115" s="306"/>
      <c r="D115" s="307"/>
      <c r="E115" s="308"/>
      <c r="F115" s="305"/>
      <c r="G115" s="305"/>
      <c r="H115" s="305"/>
      <c r="I115" s="305"/>
      <c r="J115" s="305"/>
      <c r="K115" s="305"/>
      <c r="L115" s="309"/>
      <c r="N115" s="242" t="s">
        <v>80</v>
      </c>
      <c r="O115" s="152" t="s">
        <v>65</v>
      </c>
      <c r="P115" s="152" t="s">
        <v>66</v>
      </c>
      <c r="Q115" s="152" t="s">
        <v>67</v>
      </c>
      <c r="R115" s="504"/>
      <c r="S115" s="152" t="s">
        <v>68</v>
      </c>
      <c r="T115" s="152" t="s">
        <v>69</v>
      </c>
      <c r="U115" s="152" t="s">
        <v>70</v>
      </c>
      <c r="V115" s="152" t="s">
        <v>71</v>
      </c>
      <c r="W115" s="504"/>
      <c r="X115" s="508"/>
      <c r="Z115" s="288" t="s">
        <v>80</v>
      </c>
      <c r="AA115" s="149" t="s">
        <v>65</v>
      </c>
      <c r="AB115" s="149" t="s">
        <v>66</v>
      </c>
      <c r="AC115" s="148" t="s">
        <v>67</v>
      </c>
      <c r="AD115" s="512"/>
      <c r="AE115" s="149" t="s">
        <v>68</v>
      </c>
      <c r="AF115" s="76" t="s">
        <v>69</v>
      </c>
      <c r="AG115" s="149" t="s">
        <v>70</v>
      </c>
      <c r="AH115" s="149" t="s">
        <v>71</v>
      </c>
      <c r="AI115" s="512"/>
      <c r="AJ115" s="500"/>
    </row>
    <row r="116" spans="2:36" ht="30" customHeight="1">
      <c r="B116" s="163"/>
      <c r="C116" s="35"/>
      <c r="D116" s="172"/>
      <c r="E116" s="170"/>
      <c r="F116" s="163"/>
      <c r="G116" s="163"/>
      <c r="H116" s="163"/>
      <c r="I116" s="163"/>
      <c r="J116" s="163"/>
      <c r="K116" s="163"/>
      <c r="L116" s="162"/>
      <c r="N116" s="243" t="s">
        <v>212</v>
      </c>
      <c r="O116" s="99" t="s">
        <v>273</v>
      </c>
      <c r="P116" s="130" t="s">
        <v>295</v>
      </c>
      <c r="Q116" s="98" t="str">
        <f>B12</f>
        <v>SYS-009</v>
      </c>
      <c r="R116" s="330" t="s">
        <v>457</v>
      </c>
      <c r="S116" s="98"/>
      <c r="T116" s="98" t="s">
        <v>399</v>
      </c>
      <c r="U116" s="98"/>
      <c r="V116" s="98"/>
      <c r="W116" s="100"/>
      <c r="X116" s="218"/>
      <c r="Z116" s="289" t="s">
        <v>520</v>
      </c>
      <c r="AA116" s="80"/>
      <c r="AB116" s="81"/>
      <c r="AC116" s="105"/>
      <c r="AD116" s="99"/>
      <c r="AE116" s="82"/>
      <c r="AF116" s="82"/>
      <c r="AG116" s="82"/>
      <c r="AH116" s="82"/>
      <c r="AI116" s="83"/>
      <c r="AJ116" s="290"/>
    </row>
    <row r="117" spans="2:36" ht="30" customHeight="1">
      <c r="B117" s="163"/>
      <c r="C117" s="35"/>
      <c r="D117" s="172"/>
      <c r="E117" s="170"/>
      <c r="F117" s="163"/>
      <c r="G117" s="163"/>
      <c r="H117" s="163"/>
      <c r="I117" s="163"/>
      <c r="J117" s="163"/>
      <c r="K117" s="163"/>
      <c r="L117" s="162"/>
      <c r="N117" s="243" t="s">
        <v>213</v>
      </c>
      <c r="O117" s="99" t="s">
        <v>274</v>
      </c>
      <c r="P117" s="135" t="s">
        <v>453</v>
      </c>
      <c r="Q117" s="30" t="str">
        <f>B13</f>
        <v>SYS-010</v>
      </c>
      <c r="R117" s="330" t="s">
        <v>458</v>
      </c>
      <c r="S117" s="101"/>
      <c r="T117" s="98" t="s">
        <v>399</v>
      </c>
      <c r="U117" s="101"/>
      <c r="V117" s="98"/>
      <c r="W117" s="100"/>
      <c r="X117" s="218"/>
      <c r="Z117" s="289" t="s">
        <v>521</v>
      </c>
      <c r="AA117" s="99"/>
      <c r="AB117" s="63"/>
      <c r="AC117" s="30"/>
      <c r="AD117" s="98"/>
      <c r="AE117" s="98"/>
      <c r="AF117" s="98"/>
      <c r="AG117" s="98"/>
      <c r="AH117" s="98"/>
      <c r="AI117" s="100"/>
      <c r="AJ117" s="291"/>
    </row>
    <row r="118" spans="2:36" ht="30" customHeight="1">
      <c r="N118" s="243" t="s">
        <v>214</v>
      </c>
      <c r="O118" s="414" t="s">
        <v>275</v>
      </c>
      <c r="P118" s="62" t="s">
        <v>454</v>
      </c>
      <c r="Q118" s="30" t="str">
        <f>B12</f>
        <v>SYS-009</v>
      </c>
      <c r="R118" s="99" t="s">
        <v>459</v>
      </c>
      <c r="S118" s="98" t="s">
        <v>399</v>
      </c>
      <c r="T118" s="98"/>
      <c r="U118" s="98"/>
      <c r="V118" s="98"/>
      <c r="W118" s="100"/>
      <c r="X118" s="218"/>
      <c r="Z118" s="289" t="s">
        <v>522</v>
      </c>
      <c r="AA118" s="99"/>
      <c r="AB118" s="63"/>
      <c r="AC118" s="30"/>
      <c r="AD118" s="99"/>
      <c r="AE118" s="98"/>
      <c r="AF118" s="98"/>
      <c r="AG118" s="98"/>
      <c r="AH118" s="98"/>
      <c r="AI118" s="100"/>
      <c r="AJ118" s="291"/>
    </row>
    <row r="119" spans="2:36" ht="30" customHeight="1">
      <c r="N119" s="243" t="s">
        <v>215</v>
      </c>
      <c r="O119" s="99" t="s">
        <v>276</v>
      </c>
      <c r="P119" s="130" t="s">
        <v>455</v>
      </c>
      <c r="Q119" s="30" t="str">
        <f>B12</f>
        <v>SYS-009</v>
      </c>
      <c r="R119" s="99" t="s">
        <v>459</v>
      </c>
      <c r="S119" s="98" t="s">
        <v>399</v>
      </c>
      <c r="T119" s="98"/>
      <c r="U119" s="98"/>
      <c r="V119" s="98"/>
      <c r="W119" s="100"/>
      <c r="X119" s="218"/>
      <c r="Z119" s="289" t="s">
        <v>523</v>
      </c>
      <c r="AA119" s="99"/>
      <c r="AB119" s="63"/>
      <c r="AC119" s="30"/>
      <c r="AD119" s="98"/>
      <c r="AE119" s="98"/>
      <c r="AF119" s="98"/>
      <c r="AG119" s="98"/>
      <c r="AH119" s="98"/>
      <c r="AI119" s="100"/>
      <c r="AJ119" s="291"/>
    </row>
    <row r="120" spans="2:36" ht="30" customHeight="1">
      <c r="N120" s="243" t="s">
        <v>216</v>
      </c>
      <c r="O120" s="98" t="s">
        <v>277</v>
      </c>
      <c r="P120" s="135" t="s">
        <v>456</v>
      </c>
      <c r="Q120" s="99" t="str">
        <f>B12</f>
        <v>SYS-009</v>
      </c>
      <c r="R120" s="99" t="s">
        <v>459</v>
      </c>
      <c r="S120" s="98" t="s">
        <v>399</v>
      </c>
      <c r="T120" s="98"/>
      <c r="U120" s="98"/>
      <c r="V120" s="98"/>
      <c r="W120" s="100"/>
      <c r="X120" s="218"/>
      <c r="Z120" s="289" t="s">
        <v>524</v>
      </c>
      <c r="AA120" s="99"/>
      <c r="AB120" s="63"/>
      <c r="AC120" s="30"/>
      <c r="AD120" s="98"/>
      <c r="AE120" s="98"/>
      <c r="AF120" s="98"/>
      <c r="AG120" s="98"/>
      <c r="AH120" s="98"/>
      <c r="AI120" s="100"/>
      <c r="AJ120" s="291"/>
    </row>
    <row r="121" spans="2:36" ht="30" customHeight="1" thickBot="1">
      <c r="N121" s="243" t="s">
        <v>677</v>
      </c>
      <c r="O121" s="99" t="s">
        <v>278</v>
      </c>
      <c r="P121" s="66" t="s">
        <v>221</v>
      </c>
      <c r="Q121" s="99" t="str">
        <f>B15</f>
        <v>SYS-012</v>
      </c>
      <c r="R121" s="325" t="s">
        <v>460</v>
      </c>
      <c r="S121" s="98"/>
      <c r="T121" s="98"/>
      <c r="U121" s="98" t="s">
        <v>399</v>
      </c>
      <c r="V121" s="98"/>
      <c r="W121" s="100"/>
      <c r="X121" s="218"/>
      <c r="Y121" s="302" t="s">
        <v>266</v>
      </c>
      <c r="Z121" s="292"/>
      <c r="AA121" s="293"/>
      <c r="AB121" s="294"/>
      <c r="AC121" s="295"/>
      <c r="AD121" s="293"/>
      <c r="AE121" s="296"/>
      <c r="AF121" s="297"/>
      <c r="AG121" s="297"/>
      <c r="AH121" s="296"/>
      <c r="AI121" s="298"/>
      <c r="AJ121" s="299"/>
    </row>
    <row r="122" spans="2:36" ht="30" customHeight="1" thickBot="1">
      <c r="N122" s="243" t="s">
        <v>217</v>
      </c>
      <c r="O122" s="99" t="s">
        <v>279</v>
      </c>
      <c r="P122" s="66" t="s">
        <v>741</v>
      </c>
      <c r="Q122" s="99" t="str">
        <f>B17</f>
        <v>SYS-014</v>
      </c>
      <c r="R122" s="325" t="s">
        <v>460</v>
      </c>
      <c r="S122" s="98"/>
      <c r="T122" s="98"/>
      <c r="U122" s="98" t="s">
        <v>399</v>
      </c>
      <c r="V122" s="98"/>
      <c r="W122" s="100"/>
      <c r="X122" s="218"/>
      <c r="Z122" s="77"/>
      <c r="AA122" s="64"/>
      <c r="AB122" s="64"/>
      <c r="AC122" s="77"/>
      <c r="AD122" s="64"/>
      <c r="AE122" s="64"/>
      <c r="AF122" s="64"/>
      <c r="AG122" s="64"/>
      <c r="AH122" s="64"/>
      <c r="AI122" s="84"/>
      <c r="AJ122" s="84"/>
    </row>
    <row r="123" spans="2:36" ht="30" customHeight="1">
      <c r="N123" s="243" t="s">
        <v>218</v>
      </c>
      <c r="O123" s="98" t="s">
        <v>280</v>
      </c>
      <c r="P123" s="104" t="s">
        <v>222</v>
      </c>
      <c r="Q123" s="99" t="str">
        <f>B17</f>
        <v>SYS-014</v>
      </c>
      <c r="R123" s="325" t="s">
        <v>460</v>
      </c>
      <c r="S123" s="98"/>
      <c r="T123" s="98"/>
      <c r="U123" s="98" t="s">
        <v>399</v>
      </c>
      <c r="V123" s="98"/>
      <c r="W123" s="100"/>
      <c r="X123" s="218"/>
      <c r="Z123" s="287" t="s">
        <v>81</v>
      </c>
      <c r="AA123" s="509" t="s">
        <v>108</v>
      </c>
      <c r="AB123" s="527"/>
      <c r="AC123" s="528"/>
      <c r="AD123" s="511" t="s">
        <v>79</v>
      </c>
      <c r="AE123" s="513" t="s">
        <v>63</v>
      </c>
      <c r="AF123" s="530"/>
      <c r="AG123" s="530"/>
      <c r="AH123" s="531"/>
      <c r="AI123" s="516" t="s">
        <v>85</v>
      </c>
      <c r="AJ123" s="499" t="s">
        <v>64</v>
      </c>
    </row>
    <row r="124" spans="2:36" ht="30" customHeight="1">
      <c r="N124" s="243" t="s">
        <v>219</v>
      </c>
      <c r="O124" s="98" t="s">
        <v>281</v>
      </c>
      <c r="P124" s="104" t="s">
        <v>282</v>
      </c>
      <c r="Q124" s="99" t="str">
        <f>B13</f>
        <v>SYS-010</v>
      </c>
      <c r="R124" s="325" t="s">
        <v>460</v>
      </c>
      <c r="S124" s="98"/>
      <c r="T124" s="98"/>
      <c r="U124" s="98" t="s">
        <v>399</v>
      </c>
      <c r="V124" s="98"/>
      <c r="W124" s="100"/>
      <c r="X124" s="218"/>
      <c r="Z124" s="288" t="s">
        <v>80</v>
      </c>
      <c r="AA124" s="85" t="s">
        <v>65</v>
      </c>
      <c r="AB124" s="337" t="s">
        <v>66</v>
      </c>
      <c r="AC124" s="336" t="s">
        <v>67</v>
      </c>
      <c r="AD124" s="529"/>
      <c r="AE124" s="337" t="s">
        <v>68</v>
      </c>
      <c r="AF124" s="76" t="s">
        <v>69</v>
      </c>
      <c r="AG124" s="337" t="s">
        <v>70</v>
      </c>
      <c r="AH124" s="337" t="s">
        <v>71</v>
      </c>
      <c r="AI124" s="532"/>
      <c r="AJ124" s="533"/>
    </row>
    <row r="125" spans="2:36" ht="30" customHeight="1">
      <c r="N125" s="243" t="s">
        <v>220</v>
      </c>
      <c r="O125" s="91" t="s">
        <v>173</v>
      </c>
      <c r="P125" s="392" t="s">
        <v>616</v>
      </c>
      <c r="Q125" s="99" t="str">
        <f>B4</f>
        <v>SYS-001</v>
      </c>
      <c r="R125" s="99" t="s">
        <v>461</v>
      </c>
      <c r="S125" s="98"/>
      <c r="T125" s="98" t="s">
        <v>399</v>
      </c>
      <c r="U125" s="98"/>
      <c r="V125" s="98"/>
      <c r="W125" s="100"/>
      <c r="X125" s="218"/>
      <c r="Z125" s="289" t="s">
        <v>525</v>
      </c>
      <c r="AA125" s="99"/>
      <c r="AB125" s="86"/>
      <c r="AC125" s="80"/>
      <c r="AD125" s="98"/>
      <c r="AE125" s="82"/>
      <c r="AF125" s="98"/>
      <c r="AG125" s="82"/>
      <c r="AH125" s="82"/>
      <c r="AI125" s="83"/>
      <c r="AJ125" s="290"/>
    </row>
    <row r="126" spans="2:36" ht="30" customHeight="1">
      <c r="N126" s="393"/>
      <c r="O126" s="163"/>
      <c r="P126" s="35"/>
      <c r="Q126" s="35"/>
      <c r="R126" s="35"/>
      <c r="S126" s="35"/>
      <c r="T126" s="35"/>
      <c r="U126" s="35"/>
      <c r="V126" s="35"/>
      <c r="W126" s="35"/>
      <c r="X126" s="391"/>
      <c r="Z126" s="289" t="s">
        <v>526</v>
      </c>
      <c r="AA126" s="99"/>
      <c r="AB126" s="103"/>
      <c r="AC126" s="99"/>
      <c r="AD126" s="98"/>
      <c r="AE126" s="98"/>
      <c r="AF126" s="98"/>
      <c r="AG126" s="98"/>
      <c r="AH126" s="98"/>
      <c r="AI126" s="100"/>
      <c r="AJ126" s="291"/>
    </row>
    <row r="127" spans="2:36" ht="30" customHeight="1">
      <c r="N127" s="393"/>
      <c r="O127" s="163"/>
      <c r="P127" s="35"/>
      <c r="Q127" s="35"/>
      <c r="R127" s="35"/>
      <c r="S127" s="35"/>
      <c r="T127" s="35"/>
      <c r="U127" s="35"/>
      <c r="V127" s="35"/>
      <c r="W127" s="35"/>
      <c r="X127" s="391"/>
      <c r="Z127" s="289" t="s">
        <v>527</v>
      </c>
      <c r="AA127" s="99"/>
      <c r="AB127" s="103"/>
      <c r="AC127" s="99"/>
      <c r="AD127" s="99"/>
      <c r="AE127" s="98"/>
      <c r="AF127" s="98"/>
      <c r="AG127" s="98"/>
      <c r="AH127" s="98"/>
      <c r="AI127" s="100"/>
      <c r="AJ127" s="291"/>
    </row>
    <row r="128" spans="2:36" ht="30" customHeight="1" thickBot="1">
      <c r="N128" s="243"/>
      <c r="O128" s="163"/>
      <c r="P128" s="35"/>
      <c r="Q128" s="35"/>
      <c r="R128" s="35"/>
      <c r="S128" s="98"/>
      <c r="T128" s="98"/>
      <c r="U128" s="98"/>
      <c r="V128" s="98"/>
      <c r="W128" s="100"/>
      <c r="X128" s="218"/>
      <c r="Y128" s="302" t="s">
        <v>266</v>
      </c>
      <c r="Z128" s="292"/>
      <c r="AA128" s="293"/>
      <c r="AB128" s="339"/>
      <c r="AC128" s="293"/>
      <c r="AD128" s="293"/>
      <c r="AE128" s="297"/>
      <c r="AF128" s="297"/>
      <c r="AG128" s="297"/>
      <c r="AH128" s="297"/>
      <c r="AI128" s="298"/>
      <c r="AJ128" s="299"/>
    </row>
    <row r="129" spans="13:37" ht="30" customHeight="1" thickBot="1">
      <c r="N129" s="243"/>
      <c r="O129" s="98"/>
      <c r="P129" s="104"/>
      <c r="Q129" s="99"/>
      <c r="R129" s="99"/>
      <c r="S129" s="98"/>
      <c r="T129" s="98"/>
      <c r="U129" s="98"/>
      <c r="V129" s="98"/>
      <c r="W129" s="100"/>
      <c r="X129" s="218"/>
      <c r="Z129" s="77"/>
      <c r="AA129" s="77"/>
      <c r="AB129" s="78"/>
      <c r="AC129" s="77"/>
      <c r="AD129" s="77"/>
      <c r="AE129" s="77"/>
      <c r="AF129" s="77"/>
      <c r="AG129" s="77"/>
      <c r="AH129" s="77"/>
      <c r="AI129" s="79"/>
      <c r="AJ129" s="102"/>
    </row>
    <row r="130" spans="13:37" ht="30" customHeight="1">
      <c r="N130" s="243"/>
      <c r="O130" s="98"/>
      <c r="P130" s="104"/>
      <c r="Q130" s="99"/>
      <c r="R130" s="99"/>
      <c r="S130" s="98"/>
      <c r="T130" s="98"/>
      <c r="U130" s="98"/>
      <c r="V130" s="98"/>
      <c r="W130" s="100"/>
      <c r="X130" s="218"/>
      <c r="Z130" s="287" t="s">
        <v>81</v>
      </c>
      <c r="AA130" s="509" t="s">
        <v>109</v>
      </c>
      <c r="AB130" s="527"/>
      <c r="AC130" s="528"/>
      <c r="AD130" s="511" t="s">
        <v>79</v>
      </c>
      <c r="AE130" s="513" t="s">
        <v>63</v>
      </c>
      <c r="AF130" s="530"/>
      <c r="AG130" s="530"/>
      <c r="AH130" s="531"/>
      <c r="AI130" s="516" t="s">
        <v>85</v>
      </c>
      <c r="AJ130" s="499" t="s">
        <v>64</v>
      </c>
    </row>
    <row r="131" spans="13:37" ht="30" customHeight="1" thickBot="1">
      <c r="M131" s="302" t="s">
        <v>266</v>
      </c>
      <c r="N131" s="244"/>
      <c r="O131" s="219"/>
      <c r="P131" s="245"/>
      <c r="Q131" s="246"/>
      <c r="R131" s="246"/>
      <c r="S131" s="219"/>
      <c r="T131" s="219"/>
      <c r="U131" s="219"/>
      <c r="V131" s="219"/>
      <c r="W131" s="247"/>
      <c r="X131" s="248"/>
      <c r="Z131" s="288" t="s">
        <v>80</v>
      </c>
      <c r="AA131" s="337" t="s">
        <v>65</v>
      </c>
      <c r="AB131" s="337" t="s">
        <v>66</v>
      </c>
      <c r="AC131" s="336" t="s">
        <v>67</v>
      </c>
      <c r="AD131" s="529"/>
      <c r="AE131" s="76" t="s">
        <v>68</v>
      </c>
      <c r="AF131" s="76" t="s">
        <v>69</v>
      </c>
      <c r="AG131" s="337" t="s">
        <v>70</v>
      </c>
      <c r="AH131" s="337" t="s">
        <v>71</v>
      </c>
      <c r="AI131" s="532"/>
      <c r="AJ131" s="533"/>
    </row>
    <row r="132" spans="13:37" ht="30" customHeight="1">
      <c r="N132" s="98"/>
      <c r="O132" s="98"/>
      <c r="P132" s="104"/>
      <c r="Q132" s="99"/>
      <c r="R132" s="99"/>
      <c r="S132" s="98"/>
      <c r="T132" s="98"/>
      <c r="U132" s="98"/>
      <c r="V132" s="98"/>
      <c r="W132" s="100"/>
      <c r="X132" s="102"/>
      <c r="Z132" s="289" t="s">
        <v>528</v>
      </c>
      <c r="AA132" s="80"/>
      <c r="AB132" s="134"/>
      <c r="AC132" s="80"/>
      <c r="AD132" s="80"/>
      <c r="AE132" s="98"/>
      <c r="AF132" s="98"/>
      <c r="AG132" s="82"/>
      <c r="AH132" s="82"/>
      <c r="AI132" s="83"/>
      <c r="AJ132" s="290"/>
    </row>
    <row r="133" spans="13:37" ht="30" customHeight="1">
      <c r="N133" s="64"/>
      <c r="O133" s="64"/>
      <c r="P133" s="64"/>
      <c r="Q133" s="77"/>
      <c r="R133" s="64"/>
      <c r="S133" s="64"/>
      <c r="T133" s="64"/>
      <c r="U133" s="64"/>
      <c r="V133" s="64"/>
      <c r="W133" s="64"/>
      <c r="X133" s="64"/>
      <c r="Z133" s="289" t="s">
        <v>529</v>
      </c>
      <c r="AA133" s="99"/>
      <c r="AB133" s="135"/>
      <c r="AC133" s="99"/>
      <c r="AD133" s="98"/>
      <c r="AE133" s="98"/>
      <c r="AF133" s="98"/>
      <c r="AG133" s="98"/>
      <c r="AH133" s="98"/>
      <c r="AI133" s="100"/>
      <c r="AJ133" s="291"/>
      <c r="AK133" s="40"/>
    </row>
    <row r="134" spans="13:37" ht="30" customHeight="1">
      <c r="Z134" s="289" t="s">
        <v>530</v>
      </c>
      <c r="AA134" s="31"/>
      <c r="AB134" s="130"/>
      <c r="AC134" s="30"/>
      <c r="AD134" s="98"/>
      <c r="AE134" s="98"/>
      <c r="AF134" s="98"/>
      <c r="AG134" s="98"/>
      <c r="AH134" s="98"/>
      <c r="AI134" s="100"/>
      <c r="AJ134" s="291"/>
      <c r="AK134" s="40"/>
    </row>
    <row r="135" spans="13:37" ht="30" customHeight="1">
      <c r="Z135" s="289" t="s">
        <v>531</v>
      </c>
      <c r="AA135" s="30"/>
      <c r="AB135" s="136"/>
      <c r="AC135" s="31"/>
      <c r="AD135" s="98"/>
      <c r="AE135" s="98"/>
      <c r="AF135" s="98"/>
      <c r="AG135" s="98"/>
      <c r="AH135" s="98"/>
      <c r="AI135" s="100"/>
      <c r="AJ135" s="291"/>
      <c r="AK135" s="40"/>
    </row>
    <row r="136" spans="13:37" ht="30" customHeight="1">
      <c r="Z136" s="289" t="s">
        <v>532</v>
      </c>
      <c r="AA136" s="31"/>
      <c r="AB136" s="63"/>
      <c r="AC136" s="30"/>
      <c r="AD136" s="99"/>
      <c r="AE136" s="101"/>
      <c r="AF136" s="98"/>
      <c r="AG136" s="101"/>
      <c r="AH136" s="98"/>
      <c r="AI136" s="100"/>
      <c r="AJ136" s="291"/>
      <c r="AK136" s="40"/>
    </row>
    <row r="137" spans="13:37" ht="30" customHeight="1" thickBot="1">
      <c r="Y137" s="302" t="s">
        <v>266</v>
      </c>
      <c r="Z137" s="292"/>
      <c r="AA137" s="293"/>
      <c r="AB137" s="339"/>
      <c r="AC137" s="293"/>
      <c r="AD137" s="293"/>
      <c r="AE137" s="297"/>
      <c r="AF137" s="297"/>
      <c r="AG137" s="297"/>
      <c r="AH137" s="297"/>
      <c r="AI137" s="298"/>
      <c r="AJ137" s="299"/>
      <c r="AK137" s="40"/>
    </row>
    <row r="138" spans="13:37" ht="30" customHeight="1">
      <c r="AK138" s="40"/>
    </row>
    <row r="139" spans="13:37" ht="30" customHeight="1">
      <c r="AK139" s="40"/>
    </row>
    <row r="140" spans="13:37" ht="30" customHeight="1">
      <c r="AK140" s="40"/>
    </row>
    <row r="141" spans="13:37" ht="30" customHeight="1">
      <c r="N141" s="310"/>
      <c r="O141" s="310"/>
      <c r="P141" s="311"/>
      <c r="Q141" s="311"/>
      <c r="R141" s="311"/>
      <c r="S141" s="311"/>
      <c r="T141" s="311"/>
      <c r="U141" s="311"/>
      <c r="V141" s="311"/>
      <c r="W141" s="311"/>
      <c r="X141" s="310"/>
      <c r="Y141" s="310"/>
      <c r="Z141" s="310"/>
      <c r="AA141" s="310"/>
      <c r="AB141" s="310"/>
      <c r="AC141" s="310"/>
      <c r="AD141" s="310"/>
      <c r="AE141" s="310"/>
      <c r="AF141" s="310"/>
      <c r="AG141" s="310"/>
      <c r="AH141" s="310"/>
      <c r="AI141" s="310"/>
      <c r="AJ141" s="310"/>
      <c r="AK141" s="40"/>
    </row>
    <row r="142" spans="13:37" ht="30" customHeight="1" thickBot="1">
      <c r="N142" s="310"/>
      <c r="O142" s="310"/>
      <c r="P142" s="311"/>
      <c r="Q142" s="311"/>
      <c r="R142" s="311"/>
      <c r="S142" s="311"/>
      <c r="T142" s="311"/>
      <c r="U142" s="311"/>
      <c r="V142" s="311"/>
      <c r="W142" s="311"/>
      <c r="X142" s="310"/>
      <c r="Y142" s="310"/>
      <c r="Z142" s="310"/>
      <c r="AA142" s="310"/>
      <c r="AB142" s="310"/>
      <c r="AC142" s="310"/>
      <c r="AD142" s="310"/>
      <c r="AE142" s="310"/>
      <c r="AF142" s="310"/>
      <c r="AG142" s="310"/>
      <c r="AH142" s="310"/>
      <c r="AI142" s="310"/>
      <c r="AJ142" s="310"/>
      <c r="AK142" s="40"/>
    </row>
    <row r="143" spans="13:37" ht="30" customHeight="1">
      <c r="N143" s="210" t="s">
        <v>78</v>
      </c>
      <c r="O143" s="474" t="s">
        <v>689</v>
      </c>
      <c r="P143" s="476"/>
      <c r="Q143" s="403"/>
      <c r="R143" s="462" t="s">
        <v>62</v>
      </c>
      <c r="S143" s="398" t="s">
        <v>63</v>
      </c>
      <c r="T143" s="398"/>
      <c r="U143" s="398"/>
      <c r="V143" s="398"/>
      <c r="W143" s="398" t="s">
        <v>85</v>
      </c>
      <c r="X143" s="399" t="s">
        <v>64</v>
      </c>
      <c r="Z143" s="340" t="s">
        <v>81</v>
      </c>
      <c r="AA143" s="523" t="s">
        <v>77</v>
      </c>
      <c r="AB143" s="523"/>
      <c r="AC143" s="523"/>
      <c r="AD143" s="462" t="s">
        <v>62</v>
      </c>
      <c r="AE143" s="451" t="s">
        <v>63</v>
      </c>
      <c r="AF143" s="451"/>
      <c r="AG143" s="451"/>
      <c r="AH143" s="451"/>
      <c r="AI143" s="472" t="s">
        <v>85</v>
      </c>
      <c r="AJ143" s="469" t="s">
        <v>64</v>
      </c>
      <c r="AK143" s="40"/>
    </row>
    <row r="144" spans="13:37" ht="30" customHeight="1" thickBot="1">
      <c r="N144" s="194" t="s">
        <v>80</v>
      </c>
      <c r="O144" s="400" t="s">
        <v>65</v>
      </c>
      <c r="P144" s="400" t="s">
        <v>66</v>
      </c>
      <c r="Q144" s="400" t="s">
        <v>67</v>
      </c>
      <c r="R144" s="463"/>
      <c r="S144" s="400" t="s">
        <v>68</v>
      </c>
      <c r="T144" s="400" t="s">
        <v>69</v>
      </c>
      <c r="U144" s="400" t="s">
        <v>70</v>
      </c>
      <c r="V144" s="400" t="s">
        <v>71</v>
      </c>
      <c r="W144" s="400"/>
      <c r="X144" s="401"/>
      <c r="Z144" s="179" t="s">
        <v>80</v>
      </c>
      <c r="AA144" s="335" t="s">
        <v>65</v>
      </c>
      <c r="AB144" s="335" t="s">
        <v>66</v>
      </c>
      <c r="AC144" s="338" t="s">
        <v>67</v>
      </c>
      <c r="AD144" s="463"/>
      <c r="AE144" s="335" t="s">
        <v>68</v>
      </c>
      <c r="AF144" s="335" t="s">
        <v>69</v>
      </c>
      <c r="AG144" s="335" t="s">
        <v>70</v>
      </c>
      <c r="AH144" s="335" t="s">
        <v>71</v>
      </c>
      <c r="AI144" s="482"/>
      <c r="AJ144" s="522"/>
      <c r="AK144" s="40"/>
    </row>
    <row r="145" spans="1:37" ht="30" customHeight="1">
      <c r="N145" s="182" t="s">
        <v>246</v>
      </c>
      <c r="O145" s="32" t="s">
        <v>189</v>
      </c>
      <c r="P145" s="130" t="s">
        <v>725</v>
      </c>
      <c r="Q145" s="30" t="str">
        <f>B7</f>
        <v>SYS-004</v>
      </c>
      <c r="R145" s="30" t="s">
        <v>626</v>
      </c>
      <c r="S145" s="31"/>
      <c r="T145" s="133" t="s">
        <v>154</v>
      </c>
      <c r="U145" s="43"/>
      <c r="V145" s="43"/>
      <c r="W145" s="43"/>
      <c r="X145" s="183"/>
      <c r="Z145" s="182" t="s">
        <v>533</v>
      </c>
      <c r="AA145" s="42"/>
      <c r="AB145" s="44"/>
      <c r="AC145" s="37"/>
      <c r="AD145" s="42"/>
      <c r="AE145" s="41"/>
      <c r="AF145" s="41"/>
      <c r="AG145" s="41"/>
      <c r="AH145" s="41"/>
      <c r="AI145" s="43"/>
      <c r="AJ145" s="183"/>
      <c r="AK145" s="40"/>
    </row>
    <row r="146" spans="1:37" ht="30" customHeight="1">
      <c r="N146" s="182" t="s">
        <v>247</v>
      </c>
      <c r="O146" s="32" t="s">
        <v>190</v>
      </c>
      <c r="P146" s="130" t="s">
        <v>726</v>
      </c>
      <c r="Q146" s="30" t="str">
        <f>B8</f>
        <v>SYS-005</v>
      </c>
      <c r="R146" s="381" t="s">
        <v>628</v>
      </c>
      <c r="S146" s="133" t="s">
        <v>154</v>
      </c>
      <c r="T146" s="133" t="s">
        <v>154</v>
      </c>
      <c r="U146" s="43"/>
      <c r="V146" s="43"/>
      <c r="W146" s="43"/>
      <c r="X146" s="183"/>
      <c r="Z146" s="182" t="s">
        <v>534</v>
      </c>
      <c r="AA146" s="37"/>
      <c r="AB146" s="38"/>
      <c r="AC146" s="37"/>
      <c r="AD146" s="37"/>
      <c r="AE146" s="43"/>
      <c r="AF146" s="43"/>
      <c r="AG146" s="43"/>
      <c r="AH146" s="43"/>
      <c r="AI146" s="43"/>
      <c r="AJ146" s="183"/>
      <c r="AK146" s="40"/>
    </row>
    <row r="147" spans="1:37" ht="30" customHeight="1">
      <c r="N147" s="182" t="s">
        <v>248</v>
      </c>
      <c r="O147" s="132" t="s">
        <v>681</v>
      </c>
      <c r="P147" s="62" t="s">
        <v>732</v>
      </c>
      <c r="Q147" s="32" t="str">
        <f>B11</f>
        <v>SYS-008</v>
      </c>
      <c r="R147" s="32" t="s">
        <v>627</v>
      </c>
      <c r="S147" s="133" t="s">
        <v>154</v>
      </c>
      <c r="T147" s="133"/>
      <c r="U147" s="131"/>
      <c r="V147" s="131"/>
      <c r="W147" s="43"/>
      <c r="X147" s="183"/>
      <c r="Z147" s="182" t="s">
        <v>535</v>
      </c>
      <c r="AA147" s="37"/>
      <c r="AB147" s="3"/>
      <c r="AC147" s="43"/>
      <c r="AD147" s="37"/>
      <c r="AE147" s="43"/>
      <c r="AF147" s="43"/>
      <c r="AG147" s="43"/>
      <c r="AH147" s="43"/>
      <c r="AI147" s="43"/>
      <c r="AJ147" s="183"/>
      <c r="AK147" s="40"/>
    </row>
    <row r="148" spans="1:37" ht="30" customHeight="1">
      <c r="N148" s="182" t="s">
        <v>249</v>
      </c>
      <c r="O148" s="132" t="s">
        <v>145</v>
      </c>
      <c r="P148" s="163" t="s">
        <v>451</v>
      </c>
      <c r="Q148" s="32" t="str">
        <f>B14</f>
        <v>SYS-011</v>
      </c>
      <c r="R148" s="32" t="s">
        <v>627</v>
      </c>
      <c r="S148" s="133" t="s">
        <v>154</v>
      </c>
      <c r="T148" s="133"/>
      <c r="U148" s="131"/>
      <c r="V148" s="122"/>
      <c r="W148" s="43"/>
      <c r="X148" s="183"/>
      <c r="Z148" s="182" t="s">
        <v>536</v>
      </c>
      <c r="AA148" s="37"/>
      <c r="AB148" s="38"/>
      <c r="AC148" s="37"/>
      <c r="AD148" s="37"/>
      <c r="AE148" s="43"/>
      <c r="AF148" s="43"/>
      <c r="AG148" s="43"/>
      <c r="AH148" s="43"/>
      <c r="AI148" s="43"/>
      <c r="AJ148" s="183"/>
      <c r="AK148" s="40"/>
    </row>
    <row r="149" spans="1:37" ht="30" customHeight="1">
      <c r="N149" s="182" t="s">
        <v>250</v>
      </c>
      <c r="O149" s="34" t="s">
        <v>284</v>
      </c>
      <c r="P149" s="61" t="s">
        <v>727</v>
      </c>
      <c r="Q149" s="34" t="str">
        <f>B22</f>
        <v>SYS-019</v>
      </c>
      <c r="R149" s="34" t="s">
        <v>285</v>
      </c>
      <c r="S149" s="131" t="s">
        <v>154</v>
      </c>
      <c r="T149" s="131"/>
      <c r="U149" s="131" t="s">
        <v>154</v>
      </c>
      <c r="V149" s="35"/>
      <c r="W149" s="43"/>
      <c r="X149" s="183"/>
      <c r="Z149" s="182" t="s">
        <v>537</v>
      </c>
      <c r="AA149" s="37"/>
      <c r="AB149" s="38"/>
      <c r="AC149" s="37"/>
      <c r="AD149" s="37"/>
      <c r="AE149" s="43"/>
      <c r="AF149" s="43"/>
      <c r="AG149" s="43"/>
      <c r="AH149" s="43"/>
      <c r="AI149" s="43"/>
      <c r="AJ149" s="183"/>
      <c r="AK149" s="40"/>
    </row>
    <row r="150" spans="1:37" ht="30" customHeight="1">
      <c r="N150" s="182" t="s">
        <v>251</v>
      </c>
      <c r="O150" s="34" t="s">
        <v>286</v>
      </c>
      <c r="P150" s="61" t="s">
        <v>728</v>
      </c>
      <c r="Q150" s="34" t="str">
        <f>B22</f>
        <v>SYS-019</v>
      </c>
      <c r="R150" s="34" t="s">
        <v>761</v>
      </c>
      <c r="S150" s="131" t="s">
        <v>154</v>
      </c>
      <c r="T150" s="131"/>
      <c r="U150" s="131" t="s">
        <v>154</v>
      </c>
      <c r="V150" s="35"/>
      <c r="W150" s="122"/>
      <c r="X150" s="183"/>
      <c r="Z150" s="182" t="s">
        <v>538</v>
      </c>
      <c r="AA150" s="37"/>
      <c r="AB150" s="38"/>
      <c r="AC150" s="37"/>
      <c r="AD150" s="37"/>
      <c r="AE150" s="43"/>
      <c r="AF150" s="43"/>
      <c r="AG150" s="43"/>
      <c r="AH150" s="43"/>
      <c r="AI150" s="43"/>
      <c r="AJ150" s="183"/>
      <c r="AK150" s="40"/>
    </row>
    <row r="151" spans="1:37" ht="30" customHeight="1">
      <c r="N151" s="182" t="s">
        <v>252</v>
      </c>
      <c r="O151" s="34" t="s">
        <v>287</v>
      </c>
      <c r="P151" s="61" t="s">
        <v>729</v>
      </c>
      <c r="Q151" s="34" t="str">
        <f>B22</f>
        <v>SYS-019</v>
      </c>
      <c r="R151" s="34" t="s">
        <v>761</v>
      </c>
      <c r="S151" s="131" t="s">
        <v>154</v>
      </c>
      <c r="T151" s="131"/>
      <c r="U151" s="131" t="s">
        <v>154</v>
      </c>
      <c r="V151" s="35"/>
      <c r="W151" s="122"/>
      <c r="X151" s="183"/>
      <c r="Z151" s="182" t="s">
        <v>539</v>
      </c>
      <c r="AA151" s="37"/>
      <c r="AB151" s="38"/>
      <c r="AC151" s="37"/>
      <c r="AD151" s="37"/>
      <c r="AE151" s="43"/>
      <c r="AF151" s="43"/>
      <c r="AG151" s="43"/>
      <c r="AH151" s="43"/>
      <c r="AI151" s="43"/>
      <c r="AJ151" s="183"/>
      <c r="AK151" s="40"/>
    </row>
    <row r="152" spans="1:37" ht="30" customHeight="1" thickBot="1">
      <c r="N152" s="182" t="s">
        <v>253</v>
      </c>
      <c r="O152" s="34" t="s">
        <v>288</v>
      </c>
      <c r="P152" s="61" t="s">
        <v>730</v>
      </c>
      <c r="Q152" s="34" t="str">
        <f>B22</f>
        <v>SYS-019</v>
      </c>
      <c r="R152" s="34" t="s">
        <v>289</v>
      </c>
      <c r="S152" s="131" t="s">
        <v>154</v>
      </c>
      <c r="T152" s="131"/>
      <c r="U152" s="131"/>
      <c r="V152" s="35"/>
      <c r="W152" s="122"/>
      <c r="X152" s="183"/>
      <c r="Y152" s="302" t="s">
        <v>266</v>
      </c>
      <c r="Z152" s="184"/>
      <c r="AA152" s="185"/>
      <c r="AB152" s="215"/>
      <c r="AC152" s="187"/>
      <c r="AD152" s="185"/>
      <c r="AE152" s="187"/>
      <c r="AF152" s="187"/>
      <c r="AG152" s="187"/>
      <c r="AH152" s="187"/>
      <c r="AI152" s="187"/>
      <c r="AJ152" s="213"/>
      <c r="AK152" s="40"/>
    </row>
    <row r="153" spans="1:37" ht="30" customHeight="1" thickBot="1">
      <c r="N153" s="182" t="s">
        <v>254</v>
      </c>
      <c r="O153" s="34" t="s">
        <v>680</v>
      </c>
      <c r="P153" s="392" t="s">
        <v>760</v>
      </c>
      <c r="Q153" s="35" t="str">
        <f>B22</f>
        <v>SYS-019</v>
      </c>
      <c r="R153" s="34" t="s">
        <v>761</v>
      </c>
      <c r="S153" s="131" t="s">
        <v>154</v>
      </c>
      <c r="T153" s="35"/>
      <c r="U153" s="131" t="s">
        <v>154</v>
      </c>
      <c r="V153" s="35"/>
      <c r="W153" s="122"/>
      <c r="X153" s="183"/>
      <c r="AK153" s="40"/>
    </row>
    <row r="154" spans="1:37" ht="30" customHeight="1">
      <c r="N154" s="182" t="s">
        <v>255</v>
      </c>
      <c r="O154" s="30" t="s">
        <v>290</v>
      </c>
      <c r="P154" s="63" t="s">
        <v>731</v>
      </c>
      <c r="Q154" s="37" t="e">
        <f>Mission!#REF!</f>
        <v>#REF!</v>
      </c>
      <c r="R154" s="37" t="s">
        <v>291</v>
      </c>
      <c r="S154" s="43"/>
      <c r="T154" s="43" t="s">
        <v>154</v>
      </c>
      <c r="U154" s="43"/>
      <c r="V154" s="35"/>
      <c r="W154" s="122"/>
      <c r="X154" s="249"/>
      <c r="Z154" s="340" t="s">
        <v>81</v>
      </c>
      <c r="AA154" s="523" t="s">
        <v>645</v>
      </c>
      <c r="AB154" s="523"/>
      <c r="AC154" s="523"/>
      <c r="AD154" s="462" t="s">
        <v>62</v>
      </c>
      <c r="AE154" s="451" t="s">
        <v>63</v>
      </c>
      <c r="AF154" s="451"/>
      <c r="AG154" s="451"/>
      <c r="AH154" s="451"/>
      <c r="AI154" s="472" t="s">
        <v>85</v>
      </c>
      <c r="AJ154" s="469" t="s">
        <v>64</v>
      </c>
      <c r="AK154" s="40"/>
    </row>
    <row r="155" spans="1:37" ht="30" customHeight="1" thickBot="1">
      <c r="N155" s="182" t="s">
        <v>682</v>
      </c>
      <c r="O155" s="30" t="s">
        <v>146</v>
      </c>
      <c r="P155" s="130" t="s">
        <v>666</v>
      </c>
      <c r="Q155" s="35" t="str">
        <f>B9</f>
        <v>SYS-006</v>
      </c>
      <c r="R155" s="35" t="str">
        <f>F9</f>
        <v>3차원 모델링 기준</v>
      </c>
      <c r="S155" s="43" t="s">
        <v>154</v>
      </c>
      <c r="T155" s="35"/>
      <c r="U155" s="35"/>
      <c r="V155" s="35"/>
      <c r="W155" s="43"/>
      <c r="X155" s="227"/>
      <c r="Z155" s="179" t="s">
        <v>80</v>
      </c>
      <c r="AA155" s="373" t="s">
        <v>65</v>
      </c>
      <c r="AB155" s="373" t="s">
        <v>66</v>
      </c>
      <c r="AC155" s="338" t="s">
        <v>67</v>
      </c>
      <c r="AD155" s="463"/>
      <c r="AE155" s="373" t="s">
        <v>68</v>
      </c>
      <c r="AF155" s="373" t="s">
        <v>69</v>
      </c>
      <c r="AG155" s="373" t="s">
        <v>70</v>
      </c>
      <c r="AH155" s="373" t="s">
        <v>71</v>
      </c>
      <c r="AI155" s="482"/>
      <c r="AJ155" s="522"/>
      <c r="AK155" s="40"/>
    </row>
    <row r="156" spans="1:37" ht="30" customHeight="1">
      <c r="N156" s="393"/>
      <c r="O156" s="163"/>
      <c r="P156" s="378"/>
      <c r="Q156" s="37"/>
      <c r="R156" s="37"/>
      <c r="S156" s="43"/>
      <c r="T156" s="43"/>
      <c r="U156" s="43"/>
      <c r="V156" s="43"/>
      <c r="W156" s="43"/>
      <c r="X156" s="227"/>
      <c r="Z156" s="182" t="s">
        <v>533</v>
      </c>
      <c r="AA156" s="42"/>
      <c r="AB156" s="44"/>
      <c r="AC156" s="37"/>
      <c r="AD156" s="42"/>
      <c r="AE156" s="41"/>
      <c r="AF156" s="41"/>
      <c r="AG156" s="41"/>
      <c r="AH156" s="41"/>
      <c r="AI156" s="43"/>
      <c r="AJ156" s="183"/>
      <c r="AK156" s="40"/>
    </row>
    <row r="157" spans="1:37" ht="30" customHeight="1">
      <c r="N157" s="182"/>
      <c r="O157" s="30"/>
      <c r="P157" s="63"/>
      <c r="Q157" s="37"/>
      <c r="R157" s="37"/>
      <c r="S157" s="43"/>
      <c r="T157" s="43"/>
      <c r="U157" s="43"/>
      <c r="V157" s="43"/>
      <c r="W157" s="43"/>
      <c r="X157" s="227"/>
      <c r="Z157" s="182" t="s">
        <v>534</v>
      </c>
      <c r="AA157" s="37"/>
      <c r="AB157" s="38"/>
      <c r="AC157" s="37"/>
      <c r="AD157" s="37"/>
      <c r="AE157" s="43"/>
      <c r="AF157" s="43"/>
      <c r="AG157" s="43"/>
      <c r="AH157" s="43"/>
      <c r="AI157" s="43"/>
      <c r="AJ157" s="183"/>
      <c r="AK157" s="40"/>
    </row>
    <row r="158" spans="1:37" ht="30" customHeight="1">
      <c r="N158" s="182"/>
      <c r="O158" s="30"/>
      <c r="P158" s="63"/>
      <c r="Q158" s="37"/>
      <c r="R158" s="37"/>
      <c r="S158" s="43"/>
      <c r="T158" s="43"/>
      <c r="U158" s="43"/>
      <c r="V158" s="43"/>
      <c r="W158" s="43"/>
      <c r="X158" s="227"/>
      <c r="Z158" s="182" t="s">
        <v>535</v>
      </c>
      <c r="AA158" s="37"/>
      <c r="AB158" s="3"/>
      <c r="AC158" s="43"/>
      <c r="AD158" s="37"/>
      <c r="AE158" s="43"/>
      <c r="AF158" s="43"/>
      <c r="AG158" s="43"/>
      <c r="AH158" s="43"/>
      <c r="AI158" s="43"/>
      <c r="AJ158" s="183"/>
      <c r="AK158" s="40"/>
    </row>
    <row r="159" spans="1:37" ht="30" customHeight="1">
      <c r="N159" s="182"/>
      <c r="O159" s="30"/>
      <c r="P159" s="63"/>
      <c r="Q159" s="37"/>
      <c r="R159" s="37"/>
      <c r="S159" s="43"/>
      <c r="T159" s="43"/>
      <c r="U159" s="43"/>
      <c r="V159" s="43"/>
      <c r="W159" s="43"/>
      <c r="X159" s="227"/>
      <c r="Z159" s="182" t="s">
        <v>536</v>
      </c>
      <c r="AA159" s="37"/>
      <c r="AB159" s="38"/>
      <c r="AC159" s="37"/>
      <c r="AD159" s="37"/>
      <c r="AE159" s="43"/>
      <c r="AF159" s="43"/>
      <c r="AG159" s="43"/>
      <c r="AH159" s="43"/>
      <c r="AI159" s="43"/>
      <c r="AJ159" s="183"/>
      <c r="AK159" s="40"/>
    </row>
    <row r="160" spans="1:37" s="310" customFormat="1" ht="30" customHeight="1">
      <c r="A160" s="304"/>
      <c r="B160" s="157"/>
      <c r="C160" s="159"/>
      <c r="D160" s="171"/>
      <c r="E160" s="177"/>
      <c r="F160" s="157"/>
      <c r="G160" s="157"/>
      <c r="H160" s="157"/>
      <c r="I160" s="157"/>
      <c r="J160" s="157"/>
      <c r="K160" s="157"/>
      <c r="L160" s="156"/>
      <c r="M160" s="304"/>
      <c r="N160" s="182"/>
      <c r="O160" s="30"/>
      <c r="P160" s="63"/>
      <c r="Q160" s="37"/>
      <c r="R160" s="37"/>
      <c r="S160" s="43"/>
      <c r="T160" s="43"/>
      <c r="U160" s="43"/>
      <c r="V160" s="43"/>
      <c r="W160" s="43"/>
      <c r="X160" s="227"/>
      <c r="Y160" s="157"/>
      <c r="Z160" s="182" t="s">
        <v>537</v>
      </c>
      <c r="AA160" s="37"/>
      <c r="AB160" s="38"/>
      <c r="AC160" s="37"/>
      <c r="AD160" s="37"/>
      <c r="AE160" s="43"/>
      <c r="AF160" s="43"/>
      <c r="AG160" s="43"/>
      <c r="AH160" s="43"/>
      <c r="AI160" s="43"/>
      <c r="AJ160" s="183"/>
    </row>
    <row r="161" spans="1:36" s="310" customFormat="1" ht="30" customHeight="1" thickBot="1">
      <c r="A161" s="304"/>
      <c r="B161" s="157"/>
      <c r="C161" s="159"/>
      <c r="D161" s="171"/>
      <c r="E161" s="177"/>
      <c r="F161" s="157"/>
      <c r="G161" s="157"/>
      <c r="H161" s="157"/>
      <c r="I161" s="157"/>
      <c r="J161" s="157"/>
      <c r="K161" s="157"/>
      <c r="L161" s="156"/>
      <c r="M161" s="304"/>
      <c r="N161" s="184"/>
      <c r="O161" s="209"/>
      <c r="P161" s="250"/>
      <c r="Q161" s="185"/>
      <c r="R161" s="185"/>
      <c r="S161" s="187"/>
      <c r="T161" s="187"/>
      <c r="U161" s="187"/>
      <c r="V161" s="187"/>
      <c r="W161" s="187"/>
      <c r="X161" s="251"/>
      <c r="Y161" s="157"/>
      <c r="Z161" s="182" t="s">
        <v>538</v>
      </c>
      <c r="AA161" s="37"/>
      <c r="AB161" s="38"/>
      <c r="AC161" s="37"/>
      <c r="AD161" s="37"/>
      <c r="AE161" s="43"/>
      <c r="AF161" s="43"/>
      <c r="AG161" s="43"/>
      <c r="AH161" s="43"/>
      <c r="AI161" s="43"/>
      <c r="AJ161" s="183"/>
    </row>
    <row r="162" spans="1:36" ht="30" customHeight="1">
      <c r="B162" s="310"/>
      <c r="C162" s="311"/>
      <c r="D162" s="312"/>
      <c r="E162" s="313"/>
      <c r="F162" s="310"/>
      <c r="G162" s="310"/>
      <c r="H162" s="310"/>
      <c r="I162" s="310"/>
      <c r="J162" s="310"/>
      <c r="K162" s="310"/>
      <c r="L162" s="304"/>
      <c r="N162" s="43"/>
      <c r="O162" s="30"/>
      <c r="P162" s="63"/>
      <c r="Q162" s="37"/>
      <c r="R162" s="37"/>
      <c r="S162" s="43"/>
      <c r="T162" s="43"/>
      <c r="U162" s="43"/>
      <c r="V162" s="43"/>
      <c r="W162" s="43"/>
      <c r="X162" s="131"/>
      <c r="Z162" s="182" t="s">
        <v>539</v>
      </c>
      <c r="AA162" s="37"/>
      <c r="AB162" s="38"/>
      <c r="AC162" s="37"/>
      <c r="AD162" s="37"/>
      <c r="AE162" s="43"/>
      <c r="AF162" s="43"/>
      <c r="AG162" s="43"/>
      <c r="AH162" s="43"/>
      <c r="AI162" s="43"/>
      <c r="AJ162" s="183"/>
    </row>
    <row r="163" spans="1:36" ht="30" customHeight="1" thickBot="1">
      <c r="B163" s="40"/>
      <c r="C163" s="317"/>
      <c r="D163" s="318"/>
      <c r="E163" s="319"/>
      <c r="F163" s="40"/>
      <c r="G163" s="40"/>
      <c r="H163" s="40"/>
      <c r="I163" s="40"/>
      <c r="J163" s="40"/>
      <c r="K163" s="40"/>
      <c r="L163" s="45"/>
      <c r="N163" s="43"/>
      <c r="O163" s="30"/>
      <c r="P163" s="63"/>
      <c r="Q163" s="37"/>
      <c r="R163" s="37"/>
      <c r="S163" s="43"/>
      <c r="T163" s="43"/>
      <c r="U163" s="43"/>
      <c r="V163" s="43"/>
      <c r="W163" s="43"/>
      <c r="X163" s="131"/>
      <c r="Z163" s="184"/>
      <c r="AA163" s="185"/>
      <c r="AB163" s="215"/>
      <c r="AC163" s="187"/>
      <c r="AD163" s="185"/>
      <c r="AE163" s="187"/>
      <c r="AF163" s="187"/>
      <c r="AG163" s="187"/>
      <c r="AH163" s="187"/>
      <c r="AI163" s="187"/>
      <c r="AJ163" s="213"/>
    </row>
    <row r="164" spans="1:36" ht="30" customHeight="1" thickBot="1">
      <c r="B164" s="310"/>
      <c r="C164" s="311"/>
      <c r="D164" s="312"/>
      <c r="E164" s="313"/>
      <c r="F164" s="310"/>
      <c r="G164" s="310"/>
      <c r="H164" s="310"/>
      <c r="I164" s="310"/>
      <c r="J164" s="310"/>
      <c r="K164" s="310"/>
      <c r="L164" s="304"/>
      <c r="N164" s="43"/>
      <c r="O164" s="30"/>
      <c r="P164" s="63"/>
      <c r="Q164" s="37"/>
      <c r="R164" s="37"/>
      <c r="S164" s="43"/>
      <c r="T164" s="43"/>
      <c r="U164" s="43"/>
      <c r="V164" s="43"/>
      <c r="W164" s="43"/>
      <c r="X164" s="131"/>
    </row>
    <row r="165" spans="1:36" ht="30" customHeight="1">
      <c r="Z165" s="340" t="s">
        <v>81</v>
      </c>
      <c r="AA165" s="523" t="s">
        <v>644</v>
      </c>
      <c r="AB165" s="523"/>
      <c r="AC165" s="523"/>
      <c r="AD165" s="462" t="s">
        <v>62</v>
      </c>
      <c r="AE165" s="451" t="s">
        <v>63</v>
      </c>
      <c r="AF165" s="451"/>
      <c r="AG165" s="451"/>
      <c r="AH165" s="451"/>
      <c r="AI165" s="472" t="s">
        <v>85</v>
      </c>
      <c r="AJ165" s="469" t="s">
        <v>64</v>
      </c>
    </row>
    <row r="166" spans="1:36" ht="30" customHeight="1" thickBot="1">
      <c r="Z166" s="179" t="s">
        <v>80</v>
      </c>
      <c r="AA166" s="373" t="s">
        <v>65</v>
      </c>
      <c r="AB166" s="373" t="s">
        <v>66</v>
      </c>
      <c r="AC166" s="338" t="s">
        <v>67</v>
      </c>
      <c r="AD166" s="463"/>
      <c r="AE166" s="373" t="s">
        <v>68</v>
      </c>
      <c r="AF166" s="373" t="s">
        <v>69</v>
      </c>
      <c r="AG166" s="373" t="s">
        <v>70</v>
      </c>
      <c r="AH166" s="373" t="s">
        <v>71</v>
      </c>
      <c r="AI166" s="482"/>
      <c r="AJ166" s="522"/>
    </row>
    <row r="167" spans="1:36" ht="30" customHeight="1">
      <c r="Z167" s="182" t="s">
        <v>533</v>
      </c>
      <c r="AA167" s="42"/>
      <c r="AB167" s="44"/>
      <c r="AC167" s="37"/>
      <c r="AD167" s="42"/>
      <c r="AE167" s="41"/>
      <c r="AF167" s="41"/>
      <c r="AG167" s="41"/>
      <c r="AH167" s="41"/>
      <c r="AI167" s="43"/>
      <c r="AJ167" s="183"/>
    </row>
    <row r="168" spans="1:36" ht="30" customHeight="1">
      <c r="Z168" s="182" t="s">
        <v>534</v>
      </c>
      <c r="AA168" s="37"/>
      <c r="AB168" s="38"/>
      <c r="AC168" s="37"/>
      <c r="AD168" s="37"/>
      <c r="AE168" s="43"/>
      <c r="AF168" s="43"/>
      <c r="AG168" s="43"/>
      <c r="AH168" s="43"/>
      <c r="AI168" s="43"/>
      <c r="AJ168" s="183"/>
    </row>
    <row r="169" spans="1:36" ht="30" customHeight="1">
      <c r="Z169" s="182" t="s">
        <v>535</v>
      </c>
      <c r="AA169" s="37"/>
      <c r="AB169" s="3"/>
      <c r="AC169" s="43"/>
      <c r="AD169" s="37"/>
      <c r="AE169" s="43"/>
      <c r="AF169" s="43"/>
      <c r="AG169" s="43"/>
      <c r="AH169" s="43"/>
      <c r="AI169" s="43"/>
      <c r="AJ169" s="183"/>
    </row>
    <row r="170" spans="1:36" ht="30" customHeight="1">
      <c r="Z170" s="182" t="s">
        <v>536</v>
      </c>
      <c r="AA170" s="37"/>
      <c r="AB170" s="38"/>
      <c r="AC170" s="37"/>
      <c r="AD170" s="37"/>
      <c r="AE170" s="43"/>
      <c r="AF170" s="43"/>
      <c r="AG170" s="43"/>
      <c r="AH170" s="43"/>
      <c r="AI170" s="43"/>
      <c r="AJ170" s="183"/>
    </row>
    <row r="171" spans="1:36" ht="30" customHeight="1">
      <c r="Y171" s="310"/>
      <c r="Z171" s="182" t="s">
        <v>537</v>
      </c>
      <c r="AA171" s="37"/>
      <c r="AB171" s="38"/>
      <c r="AC171" s="37"/>
      <c r="AD171" s="37"/>
      <c r="AE171" s="43"/>
      <c r="AF171" s="43"/>
      <c r="AG171" s="43"/>
      <c r="AH171" s="43"/>
      <c r="AI171" s="43"/>
      <c r="AJ171" s="183"/>
    </row>
    <row r="172" spans="1:36" ht="30" customHeight="1">
      <c r="Z172" s="182" t="s">
        <v>538</v>
      </c>
      <c r="AA172" s="37"/>
      <c r="AB172" s="38"/>
      <c r="AC172" s="37"/>
      <c r="AD172" s="37"/>
      <c r="AE172" s="43"/>
      <c r="AF172" s="43"/>
      <c r="AG172" s="43"/>
      <c r="AH172" s="43"/>
      <c r="AI172" s="43"/>
      <c r="AJ172" s="183"/>
    </row>
    <row r="173" spans="1:36" ht="30" customHeight="1">
      <c r="Z173" s="182" t="s">
        <v>539</v>
      </c>
      <c r="AA173" s="37"/>
      <c r="AB173" s="38"/>
      <c r="AC173" s="37"/>
      <c r="AD173" s="37"/>
      <c r="AE173" s="43"/>
      <c r="AF173" s="43"/>
      <c r="AG173" s="43"/>
      <c r="AH173" s="43"/>
      <c r="AI173" s="43"/>
      <c r="AJ173" s="183"/>
    </row>
    <row r="174" spans="1:36" ht="30" customHeight="1" thickBot="1">
      <c r="Z174" s="184"/>
      <c r="AA174" s="185"/>
      <c r="AB174" s="215"/>
      <c r="AC174" s="187"/>
      <c r="AD174" s="185"/>
      <c r="AE174" s="187"/>
      <c r="AF174" s="187"/>
      <c r="AG174" s="187"/>
      <c r="AH174" s="187"/>
      <c r="AI174" s="187"/>
      <c r="AJ174" s="213"/>
    </row>
    <row r="177" spans="1:37" ht="30" customHeight="1" thickBot="1">
      <c r="N177" s="310"/>
      <c r="O177" s="310"/>
      <c r="P177" s="311"/>
      <c r="Q177" s="311"/>
      <c r="R177" s="311"/>
      <c r="S177" s="311"/>
      <c r="T177" s="311"/>
      <c r="U177" s="311"/>
      <c r="V177" s="311"/>
      <c r="W177" s="311"/>
      <c r="X177" s="310"/>
    </row>
    <row r="178" spans="1:37" ht="30" customHeight="1">
      <c r="N178" s="210" t="s">
        <v>78</v>
      </c>
      <c r="O178" s="483" t="s">
        <v>697</v>
      </c>
      <c r="P178" s="483"/>
      <c r="Q178" s="483"/>
      <c r="R178" s="451" t="s">
        <v>62</v>
      </c>
      <c r="S178" s="520" t="s">
        <v>63</v>
      </c>
      <c r="T178" s="520"/>
      <c r="U178" s="520"/>
      <c r="V178" s="520"/>
      <c r="W178" s="520" t="s">
        <v>85</v>
      </c>
      <c r="X178" s="517" t="s">
        <v>64</v>
      </c>
    </row>
    <row r="179" spans="1:37" ht="30" customHeight="1">
      <c r="N179" s="194" t="s">
        <v>80</v>
      </c>
      <c r="O179" s="141" t="s">
        <v>65</v>
      </c>
      <c r="P179" s="141" t="s">
        <v>66</v>
      </c>
      <c r="Q179" s="141" t="s">
        <v>67</v>
      </c>
      <c r="R179" s="519"/>
      <c r="S179" s="150" t="s">
        <v>68</v>
      </c>
      <c r="T179" s="150" t="s">
        <v>69</v>
      </c>
      <c r="U179" s="150" t="s">
        <v>70</v>
      </c>
      <c r="V179" s="150" t="s">
        <v>71</v>
      </c>
      <c r="W179" s="521"/>
      <c r="X179" s="518"/>
    </row>
    <row r="180" spans="1:37" ht="30" customHeight="1">
      <c r="M180" s="302" t="s">
        <v>266</v>
      </c>
      <c r="N180" s="182" t="s">
        <v>198</v>
      </c>
      <c r="O180" s="32" t="s">
        <v>147</v>
      </c>
      <c r="P180" s="382" t="s">
        <v>192</v>
      </c>
      <c r="Q180" s="35" t="str">
        <f>B5</f>
        <v>SYS-002</v>
      </c>
      <c r="R180" s="39" t="s">
        <v>196</v>
      </c>
      <c r="S180" s="39" t="s">
        <v>154</v>
      </c>
      <c r="T180" s="39"/>
      <c r="U180" s="39"/>
      <c r="V180" s="39"/>
      <c r="W180" s="162"/>
      <c r="X180" s="252"/>
    </row>
    <row r="181" spans="1:37" ht="30" customHeight="1">
      <c r="N181" s="182" t="s">
        <v>199</v>
      </c>
      <c r="O181" s="37" t="s">
        <v>193</v>
      </c>
      <c r="P181" s="172" t="s">
        <v>194</v>
      </c>
      <c r="Q181" s="35" t="str">
        <f>B5</f>
        <v>SYS-002</v>
      </c>
      <c r="R181" s="39" t="s">
        <v>197</v>
      </c>
      <c r="S181" s="39"/>
      <c r="T181" s="39" t="s">
        <v>154</v>
      </c>
      <c r="U181" s="39"/>
      <c r="V181" s="39"/>
      <c r="W181" s="162"/>
      <c r="X181" s="252"/>
    </row>
    <row r="182" spans="1:37" ht="30" customHeight="1">
      <c r="N182" s="182" t="s">
        <v>200</v>
      </c>
      <c r="O182" s="37" t="s">
        <v>195</v>
      </c>
      <c r="P182" s="172" t="s">
        <v>646</v>
      </c>
      <c r="Q182" s="35" t="str">
        <f>B5</f>
        <v>SYS-002</v>
      </c>
      <c r="R182" s="39" t="s">
        <v>196</v>
      </c>
      <c r="S182" s="39" t="s">
        <v>154</v>
      </c>
      <c r="T182" s="39"/>
      <c r="U182" s="39"/>
      <c r="V182" s="39"/>
      <c r="W182" s="162"/>
      <c r="X182" s="252"/>
      <c r="AK182" s="40"/>
    </row>
    <row r="183" spans="1:37" ht="30" customHeight="1" thickBot="1">
      <c r="N183" s="184"/>
      <c r="O183" s="185"/>
      <c r="P183" s="332"/>
      <c r="Q183" s="331"/>
      <c r="R183" s="375"/>
      <c r="S183" s="376"/>
      <c r="T183" s="376"/>
      <c r="U183" s="376"/>
      <c r="V183" s="376"/>
      <c r="W183" s="221"/>
      <c r="X183" s="377"/>
      <c r="AK183" s="40"/>
    </row>
    <row r="184" spans="1:37" ht="30" customHeight="1">
      <c r="AK184" s="40"/>
    </row>
    <row r="185" spans="1:37" ht="30" customHeight="1">
      <c r="AK185" s="40"/>
    </row>
    <row r="186" spans="1:37" ht="30" customHeight="1">
      <c r="AK186" s="40"/>
    </row>
    <row r="187" spans="1:37" ht="30" customHeight="1">
      <c r="AK187" s="40"/>
    </row>
    <row r="188" spans="1:37" ht="30" customHeight="1">
      <c r="Y188" s="310"/>
      <c r="AK188" s="40"/>
    </row>
    <row r="189" spans="1:37" ht="30" customHeight="1">
      <c r="AK189" s="40"/>
    </row>
    <row r="190" spans="1:37" s="310" customFormat="1" ht="30" customHeight="1">
      <c r="A190" s="304"/>
      <c r="B190" s="157"/>
      <c r="C190" s="159"/>
      <c r="D190" s="171"/>
      <c r="E190" s="177"/>
      <c r="F190" s="157"/>
      <c r="G190" s="157"/>
      <c r="H190" s="157"/>
      <c r="I190" s="157"/>
      <c r="J190" s="157"/>
      <c r="K190" s="157"/>
      <c r="L190" s="156"/>
      <c r="M190" s="304"/>
      <c r="N190" s="157"/>
      <c r="O190" s="157"/>
      <c r="P190" s="159"/>
      <c r="Q190" s="159"/>
      <c r="R190" s="159"/>
      <c r="S190" s="159"/>
      <c r="T190" s="159"/>
      <c r="U190" s="159"/>
      <c r="V190" s="159"/>
      <c r="W190" s="159"/>
      <c r="X190" s="157"/>
      <c r="Y190" s="157"/>
      <c r="Z190" s="157"/>
      <c r="AA190" s="157"/>
      <c r="AB190" s="157"/>
      <c r="AC190" s="157"/>
      <c r="AD190" s="157"/>
      <c r="AE190" s="157"/>
      <c r="AF190" s="157"/>
      <c r="AG190" s="157"/>
      <c r="AH190" s="157"/>
      <c r="AI190" s="157"/>
      <c r="AJ190" s="157"/>
    </row>
    <row r="192" spans="1:37" ht="30" customHeight="1">
      <c r="B192" s="310"/>
      <c r="C192" s="311"/>
      <c r="D192" s="312"/>
      <c r="E192" s="313"/>
      <c r="F192" s="310"/>
      <c r="G192" s="310"/>
      <c r="H192" s="310"/>
      <c r="I192" s="310"/>
      <c r="J192" s="310"/>
      <c r="K192" s="310"/>
      <c r="L192" s="304"/>
    </row>
    <row r="193" spans="2:36" ht="30" customHeight="1">
      <c r="B193" s="310"/>
      <c r="C193" s="311"/>
      <c r="D193" s="312"/>
      <c r="E193" s="313"/>
      <c r="F193" s="310"/>
      <c r="G193" s="310"/>
      <c r="H193" s="310"/>
      <c r="I193" s="310"/>
      <c r="J193" s="310"/>
      <c r="K193" s="310"/>
      <c r="L193" s="304"/>
    </row>
    <row r="194" spans="2:36" ht="30" customHeight="1" thickBot="1">
      <c r="N194" s="310"/>
      <c r="O194" s="310"/>
      <c r="P194" s="311"/>
      <c r="Q194" s="311"/>
      <c r="R194" s="311"/>
      <c r="S194" s="311"/>
      <c r="T194" s="311"/>
      <c r="U194" s="311"/>
      <c r="V194" s="311"/>
      <c r="W194" s="311"/>
      <c r="X194" s="310"/>
      <c r="Z194" s="310"/>
      <c r="AA194" s="310"/>
      <c r="AB194" s="310"/>
      <c r="AC194" s="310"/>
      <c r="AD194" s="310"/>
      <c r="AE194" s="310"/>
      <c r="AF194" s="310"/>
      <c r="AG194" s="310"/>
      <c r="AH194" s="310"/>
      <c r="AI194" s="310"/>
      <c r="AJ194" s="310"/>
    </row>
    <row r="195" spans="2:36" ht="30" customHeight="1">
      <c r="N195" s="253" t="s">
        <v>78</v>
      </c>
      <c r="O195" s="474" t="s">
        <v>92</v>
      </c>
      <c r="P195" s="475"/>
      <c r="Q195" s="475"/>
      <c r="R195" s="462" t="s">
        <v>62</v>
      </c>
      <c r="S195" s="464" t="s">
        <v>63</v>
      </c>
      <c r="T195" s="465"/>
      <c r="U195" s="465"/>
      <c r="V195" s="466"/>
      <c r="W195" s="472" t="s">
        <v>85</v>
      </c>
      <c r="X195" s="469" t="s">
        <v>64</v>
      </c>
      <c r="Z195" s="341" t="s">
        <v>81</v>
      </c>
      <c r="AA195" s="459" t="s">
        <v>90</v>
      </c>
      <c r="AB195" s="460"/>
      <c r="AC195" s="460"/>
      <c r="AD195" s="462" t="s">
        <v>62</v>
      </c>
      <c r="AE195" s="464" t="s">
        <v>63</v>
      </c>
      <c r="AF195" s="465"/>
      <c r="AG195" s="465"/>
      <c r="AH195" s="466"/>
      <c r="AI195" s="472" t="s">
        <v>85</v>
      </c>
      <c r="AJ195" s="469" t="s">
        <v>64</v>
      </c>
    </row>
    <row r="196" spans="2:36" ht="30" customHeight="1">
      <c r="N196" s="179" t="s">
        <v>80</v>
      </c>
      <c r="O196" s="400" t="s">
        <v>65</v>
      </c>
      <c r="P196" s="400" t="s">
        <v>66</v>
      </c>
      <c r="Q196" s="338" t="s">
        <v>67</v>
      </c>
      <c r="R196" s="463"/>
      <c r="S196" s="400" t="s">
        <v>68</v>
      </c>
      <c r="T196" s="400" t="s">
        <v>69</v>
      </c>
      <c r="U196" s="400" t="s">
        <v>70</v>
      </c>
      <c r="V196" s="400" t="s">
        <v>71</v>
      </c>
      <c r="W196" s="482"/>
      <c r="X196" s="470"/>
      <c r="Z196" s="179" t="s">
        <v>80</v>
      </c>
      <c r="AA196" s="335" t="s">
        <v>65</v>
      </c>
      <c r="AB196" s="335" t="s">
        <v>66</v>
      </c>
      <c r="AC196" s="338" t="s">
        <v>67</v>
      </c>
      <c r="AD196" s="463"/>
      <c r="AE196" s="335" t="s">
        <v>68</v>
      </c>
      <c r="AF196" s="335" t="s">
        <v>69</v>
      </c>
      <c r="AG196" s="335" t="s">
        <v>70</v>
      </c>
      <c r="AH196" s="335" t="s">
        <v>71</v>
      </c>
      <c r="AI196" s="482"/>
      <c r="AJ196" s="470"/>
    </row>
    <row r="197" spans="2:36" ht="30" customHeight="1">
      <c r="N197" s="182" t="s">
        <v>716</v>
      </c>
      <c r="O197" s="99" t="s">
        <v>432</v>
      </c>
      <c r="P197" s="172" t="s">
        <v>294</v>
      </c>
      <c r="Q197" s="162" t="str">
        <f>B17</f>
        <v>SYS-014</v>
      </c>
      <c r="R197" s="30" t="s">
        <v>437</v>
      </c>
      <c r="S197" s="43"/>
      <c r="T197" s="43"/>
      <c r="U197" s="163"/>
      <c r="V197" s="43" t="s">
        <v>399</v>
      </c>
      <c r="W197" s="172"/>
      <c r="X197" s="229"/>
      <c r="Z197" s="182" t="s">
        <v>540</v>
      </c>
      <c r="AA197" s="162"/>
      <c r="AB197" s="38"/>
      <c r="AC197" s="37"/>
      <c r="AD197" s="37"/>
      <c r="AE197" s="163"/>
      <c r="AF197" s="43"/>
      <c r="AG197" s="43"/>
      <c r="AH197" s="163"/>
      <c r="AI197" s="175"/>
      <c r="AJ197" s="183"/>
    </row>
    <row r="198" spans="2:36" ht="30" customHeight="1">
      <c r="N198" s="182" t="s">
        <v>717</v>
      </c>
      <c r="O198" s="35" t="s">
        <v>430</v>
      </c>
      <c r="P198" s="163" t="s">
        <v>634</v>
      </c>
      <c r="Q198" s="131" t="str">
        <f>B16</f>
        <v>SYS-013</v>
      </c>
      <c r="R198" s="34" t="s">
        <v>434</v>
      </c>
      <c r="S198" s="163"/>
      <c r="T198" s="43"/>
      <c r="U198" s="43"/>
      <c r="V198" s="162" t="s">
        <v>399</v>
      </c>
      <c r="W198" s="172"/>
      <c r="X198" s="229"/>
      <c r="Z198" s="182" t="s">
        <v>541</v>
      </c>
      <c r="AA198" s="35"/>
      <c r="AB198" s="137"/>
      <c r="AC198" s="43"/>
      <c r="AD198" s="37"/>
      <c r="AE198" s="163"/>
      <c r="AF198" s="43"/>
      <c r="AG198" s="137"/>
      <c r="AH198" s="43"/>
      <c r="AI198" s="172"/>
      <c r="AJ198" s="261"/>
    </row>
    <row r="199" spans="2:36" ht="30" customHeight="1">
      <c r="N199" s="182" t="s">
        <v>256</v>
      </c>
      <c r="O199" s="35" t="s">
        <v>604</v>
      </c>
      <c r="P199" s="160" t="s">
        <v>292</v>
      </c>
      <c r="Q199" s="162" t="str">
        <f>B18</f>
        <v>SYS-015</v>
      </c>
      <c r="R199" s="329" t="s">
        <v>435</v>
      </c>
      <c r="S199" s="43"/>
      <c r="T199" s="43"/>
      <c r="U199" s="163"/>
      <c r="V199" s="43" t="s">
        <v>399</v>
      </c>
      <c r="W199" s="35"/>
      <c r="X199" s="229"/>
      <c r="Z199" s="182" t="s">
        <v>542</v>
      </c>
      <c r="AA199" s="35"/>
      <c r="AB199" s="138"/>
      <c r="AC199" s="37"/>
      <c r="AD199" s="37"/>
      <c r="AE199" s="163"/>
      <c r="AF199" s="163"/>
      <c r="AG199" s="163"/>
      <c r="AH199" s="43"/>
      <c r="AI199" s="172"/>
      <c r="AJ199" s="261"/>
    </row>
    <row r="200" spans="2:36" ht="30" customHeight="1">
      <c r="N200" s="182" t="s">
        <v>257</v>
      </c>
      <c r="O200" s="35" t="s">
        <v>712</v>
      </c>
      <c r="P200" s="122" t="s">
        <v>713</v>
      </c>
      <c r="Q200" s="162" t="str">
        <f>B18</f>
        <v>SYS-015</v>
      </c>
      <c r="R200" s="329" t="s">
        <v>764</v>
      </c>
      <c r="S200" s="43"/>
      <c r="T200" s="43"/>
      <c r="U200" s="163"/>
      <c r="V200" s="43"/>
      <c r="W200" s="172"/>
      <c r="X200" s="229"/>
      <c r="Y200" s="302" t="s">
        <v>266</v>
      </c>
      <c r="Z200" s="182" t="s">
        <v>543</v>
      </c>
      <c r="AA200" s="35"/>
      <c r="AB200" s="137"/>
      <c r="AC200" s="43"/>
      <c r="AD200" s="43"/>
      <c r="AE200" s="163"/>
      <c r="AF200" s="162"/>
      <c r="AG200" s="43"/>
      <c r="AH200" s="43"/>
      <c r="AI200" s="172"/>
      <c r="AJ200" s="261"/>
    </row>
    <row r="201" spans="2:36" ht="30" customHeight="1">
      <c r="N201" s="182" t="s">
        <v>258</v>
      </c>
      <c r="O201" s="35" t="s">
        <v>714</v>
      </c>
      <c r="P201" s="122" t="s">
        <v>767</v>
      </c>
      <c r="Q201" s="162" t="str">
        <f>B10</f>
        <v>SYS-007</v>
      </c>
      <c r="R201" s="30" t="s">
        <v>766</v>
      </c>
      <c r="S201" s="163"/>
      <c r="T201" s="43" t="s">
        <v>399</v>
      </c>
      <c r="U201" s="43" t="s">
        <v>399</v>
      </c>
      <c r="V201" s="163"/>
      <c r="W201" s="172"/>
      <c r="X201" s="254"/>
      <c r="Z201" s="182" t="s">
        <v>544</v>
      </c>
      <c r="AA201" s="35"/>
      <c r="AB201" s="137"/>
      <c r="AC201" s="43"/>
      <c r="AD201" s="43"/>
      <c r="AE201" s="163"/>
      <c r="AF201" s="162"/>
      <c r="AG201" s="43"/>
      <c r="AH201" s="43"/>
      <c r="AI201" s="172"/>
      <c r="AJ201" s="261"/>
    </row>
    <row r="202" spans="2:36" ht="30" customHeight="1">
      <c r="M202" s="302"/>
      <c r="N202" s="182" t="s">
        <v>259</v>
      </c>
      <c r="O202" s="328" t="s">
        <v>715</v>
      </c>
      <c r="P202" s="392" t="s">
        <v>763</v>
      </c>
      <c r="Q202" s="35" t="str">
        <f>B15</f>
        <v>SYS-012</v>
      </c>
      <c r="R202" s="35" t="s">
        <v>765</v>
      </c>
      <c r="S202" s="35"/>
      <c r="T202" s="35"/>
      <c r="U202" s="35"/>
      <c r="V202" s="43" t="s">
        <v>399</v>
      </c>
      <c r="W202" s="172"/>
      <c r="X202" s="229"/>
      <c r="Z202" s="182" t="s">
        <v>545</v>
      </c>
      <c r="AA202" s="35"/>
      <c r="AB202" s="75"/>
      <c r="AC202" s="37"/>
      <c r="AD202" s="43"/>
      <c r="AE202" s="163"/>
      <c r="AF202" s="163"/>
      <c r="AG202" s="43"/>
      <c r="AH202" s="43"/>
      <c r="AI202" s="172"/>
      <c r="AJ202" s="183"/>
    </row>
    <row r="203" spans="2:36" ht="30" customHeight="1">
      <c r="N203" s="182" t="s">
        <v>260</v>
      </c>
      <c r="O203" s="35" t="s">
        <v>431</v>
      </c>
      <c r="P203" s="160" t="s">
        <v>293</v>
      </c>
      <c r="Q203" s="162" t="str">
        <f>B16</f>
        <v>SYS-013</v>
      </c>
      <c r="R203" s="30" t="s">
        <v>436</v>
      </c>
      <c r="S203" s="43"/>
      <c r="T203" s="163"/>
      <c r="U203" s="163"/>
      <c r="V203" s="43" t="s">
        <v>399</v>
      </c>
      <c r="W203" s="172"/>
      <c r="X203" s="229"/>
      <c r="Z203" s="182" t="s">
        <v>546</v>
      </c>
      <c r="AA203" s="35"/>
      <c r="AB203" s="137"/>
      <c r="AC203" s="43"/>
      <c r="AD203" s="37"/>
      <c r="AE203" s="163"/>
      <c r="AF203" s="43"/>
      <c r="AG203" s="163"/>
      <c r="AH203" s="163"/>
      <c r="AI203" s="172"/>
      <c r="AJ203" s="261"/>
    </row>
    <row r="204" spans="2:36" ht="30" customHeight="1">
      <c r="N204" s="182" t="s">
        <v>261</v>
      </c>
      <c r="O204" s="30" t="s">
        <v>433</v>
      </c>
      <c r="P204" s="160" t="s">
        <v>450</v>
      </c>
      <c r="Q204" s="162" t="str">
        <f>B17</f>
        <v>SYS-014</v>
      </c>
      <c r="R204" s="394" t="s">
        <v>438</v>
      </c>
      <c r="S204" s="43"/>
      <c r="T204" s="162"/>
      <c r="U204" s="162"/>
      <c r="V204" s="43" t="s">
        <v>399</v>
      </c>
      <c r="W204" s="172"/>
      <c r="X204" s="229"/>
      <c r="Z204" s="182" t="s">
        <v>547</v>
      </c>
      <c r="AA204" s="35"/>
      <c r="AB204" s="137"/>
      <c r="AC204" s="43"/>
      <c r="AD204" s="37"/>
      <c r="AE204" s="43"/>
      <c r="AF204" s="43"/>
      <c r="AG204" s="43"/>
      <c r="AH204" s="43"/>
      <c r="AI204" s="172"/>
      <c r="AJ204" s="261"/>
    </row>
    <row r="205" spans="2:36" ht="30" customHeight="1" thickBot="1">
      <c r="M205" s="302" t="s">
        <v>266</v>
      </c>
      <c r="N205" s="225"/>
      <c r="O205" s="222"/>
      <c r="P205" s="331"/>
      <c r="Q205" s="331"/>
      <c r="R205" s="331"/>
      <c r="S205" s="331"/>
      <c r="T205" s="331"/>
      <c r="U205" s="331"/>
      <c r="V205" s="331"/>
      <c r="W205" s="331"/>
      <c r="X205" s="409"/>
      <c r="Z205" s="182" t="s">
        <v>548</v>
      </c>
      <c r="AA205" s="35"/>
      <c r="AB205" s="137"/>
      <c r="AC205" s="43"/>
      <c r="AD205" s="37"/>
      <c r="AE205" s="43"/>
      <c r="AF205" s="43"/>
      <c r="AG205" s="43"/>
      <c r="AH205" s="43"/>
      <c r="AI205" s="172"/>
      <c r="AJ205" s="261"/>
    </row>
    <row r="206" spans="2:36" ht="30" customHeight="1" thickBot="1">
      <c r="N206" s="43"/>
      <c r="O206" s="30"/>
      <c r="P206" s="172"/>
      <c r="Q206" s="35"/>
      <c r="R206" s="30"/>
      <c r="S206" s="43"/>
      <c r="T206" s="43"/>
      <c r="U206" s="163"/>
      <c r="V206" s="43"/>
      <c r="W206" s="172"/>
      <c r="X206" s="162"/>
      <c r="Z206" s="184"/>
      <c r="AA206" s="331"/>
      <c r="AB206" s="342"/>
      <c r="AC206" s="343"/>
      <c r="AD206" s="185"/>
      <c r="AE206" s="187"/>
      <c r="AF206" s="187"/>
      <c r="AG206" s="187"/>
      <c r="AH206" s="187"/>
      <c r="AI206" s="332"/>
      <c r="AJ206" s="344"/>
    </row>
    <row r="207" spans="2:36" ht="30" customHeight="1" thickBot="1">
      <c r="N207" s="43"/>
      <c r="O207" s="328"/>
      <c r="P207" s="160"/>
      <c r="Q207" s="35"/>
      <c r="R207" s="30"/>
      <c r="S207" s="43"/>
      <c r="T207" s="43"/>
      <c r="U207" s="163"/>
      <c r="V207" s="43"/>
      <c r="W207" s="172"/>
      <c r="X207" s="162"/>
      <c r="AA207" s="156"/>
      <c r="AB207" s="171"/>
      <c r="AC207" s="159"/>
      <c r="AJ207" s="156"/>
    </row>
    <row r="208" spans="2:36" ht="30" customHeight="1">
      <c r="N208" s="43"/>
      <c r="O208" s="163"/>
      <c r="P208" s="35"/>
      <c r="Q208" s="35"/>
      <c r="R208" s="35"/>
      <c r="S208" s="35"/>
      <c r="T208" s="35"/>
      <c r="U208" s="35"/>
      <c r="V208" s="35"/>
      <c r="W208" s="43"/>
      <c r="X208" s="162"/>
      <c r="Z208" s="341" t="s">
        <v>81</v>
      </c>
      <c r="AA208" s="360" t="s">
        <v>91</v>
      </c>
      <c r="AB208" s="360"/>
      <c r="AC208" s="360"/>
      <c r="AD208" s="361" t="s">
        <v>62</v>
      </c>
      <c r="AE208" s="359" t="s">
        <v>63</v>
      </c>
      <c r="AF208" s="359"/>
      <c r="AG208" s="359"/>
      <c r="AH208" s="359"/>
      <c r="AI208" s="362" t="s">
        <v>85</v>
      </c>
      <c r="AJ208" s="363" t="s">
        <v>64</v>
      </c>
    </row>
    <row r="209" spans="1:37" ht="30" customHeight="1">
      <c r="N209" s="43"/>
      <c r="O209" s="320"/>
      <c r="P209" s="160"/>
      <c r="Q209" s="162"/>
      <c r="R209" s="35"/>
      <c r="S209" s="43"/>
      <c r="T209" s="43"/>
      <c r="U209" s="162"/>
      <c r="V209" s="43"/>
      <c r="W209" s="43"/>
      <c r="X209" s="162"/>
      <c r="Z209" s="179" t="s">
        <v>80</v>
      </c>
      <c r="AA209" s="364" t="s">
        <v>65</v>
      </c>
      <c r="AB209" s="364" t="s">
        <v>66</v>
      </c>
      <c r="AC209" s="364" t="s">
        <v>67</v>
      </c>
      <c r="AD209" s="365"/>
      <c r="AE209" s="364" t="s">
        <v>68</v>
      </c>
      <c r="AF209" s="364" t="s">
        <v>69</v>
      </c>
      <c r="AG209" s="364" t="s">
        <v>70</v>
      </c>
      <c r="AH209" s="364" t="s">
        <v>71</v>
      </c>
      <c r="AI209" s="366"/>
      <c r="AJ209" s="367"/>
    </row>
    <row r="210" spans="1:37" ht="30" customHeight="1">
      <c r="N210" s="43"/>
      <c r="O210" s="320"/>
      <c r="P210" s="160"/>
      <c r="Q210" s="162"/>
      <c r="R210" s="35"/>
      <c r="S210" s="43"/>
      <c r="T210" s="43"/>
      <c r="U210" s="162"/>
      <c r="V210" s="43"/>
      <c r="W210" s="43"/>
      <c r="X210" s="162"/>
      <c r="Z210" s="182" t="s">
        <v>549</v>
      </c>
      <c r="AA210" s="35"/>
      <c r="AB210" s="75"/>
      <c r="AC210" s="37"/>
      <c r="AD210" s="37"/>
      <c r="AE210" s="43"/>
      <c r="AF210" s="43"/>
      <c r="AG210" s="137"/>
      <c r="AH210" s="43"/>
      <c r="AI210" s="172"/>
      <c r="AJ210" s="261"/>
      <c r="AK210" s="40"/>
    </row>
    <row r="211" spans="1:37" ht="30" customHeight="1">
      <c r="N211" s="43"/>
      <c r="O211" s="320"/>
      <c r="P211" s="160"/>
      <c r="Q211" s="162"/>
      <c r="R211" s="35"/>
      <c r="S211" s="43"/>
      <c r="T211" s="43"/>
      <c r="U211" s="162"/>
      <c r="V211" s="43"/>
      <c r="W211" s="43"/>
      <c r="X211" s="162"/>
      <c r="Z211" s="182" t="s">
        <v>550</v>
      </c>
      <c r="AA211" s="35"/>
      <c r="AB211" s="75"/>
      <c r="AC211" s="37"/>
      <c r="AD211" s="37"/>
      <c r="AE211" s="43"/>
      <c r="AF211" s="43"/>
      <c r="AG211" s="137"/>
      <c r="AH211" s="43"/>
      <c r="AI211" s="172"/>
      <c r="AJ211" s="261"/>
      <c r="AK211" s="40"/>
    </row>
    <row r="212" spans="1:37" ht="30" customHeight="1">
      <c r="N212" s="43"/>
      <c r="O212" s="320"/>
      <c r="P212" s="110"/>
      <c r="Q212" s="162"/>
      <c r="R212" s="35"/>
      <c r="S212" s="43"/>
      <c r="T212" s="43"/>
      <c r="U212" s="162"/>
      <c r="V212" s="43"/>
      <c r="W212" s="43"/>
      <c r="X212" s="162"/>
      <c r="Y212" s="302" t="s">
        <v>266</v>
      </c>
      <c r="Z212" s="182" t="s">
        <v>551</v>
      </c>
      <c r="AA212" s="35"/>
      <c r="AB212" s="137"/>
      <c r="AC212" s="43"/>
      <c r="AD212" s="43"/>
      <c r="AE212" s="163"/>
      <c r="AF212" s="43"/>
      <c r="AG212" s="43"/>
      <c r="AH212" s="43"/>
      <c r="AI212" s="172"/>
      <c r="AJ212" s="261"/>
      <c r="AK212" s="40"/>
    </row>
    <row r="213" spans="1:37" ht="30" customHeight="1">
      <c r="N213" s="43"/>
      <c r="O213" s="163"/>
      <c r="P213" s="35"/>
      <c r="Q213" s="162"/>
      <c r="R213" s="35"/>
      <c r="S213" s="43"/>
      <c r="T213" s="43"/>
      <c r="U213" s="162"/>
      <c r="V213" s="43"/>
      <c r="W213" s="43"/>
      <c r="X213" s="162"/>
      <c r="Z213" s="182" t="s">
        <v>552</v>
      </c>
      <c r="AA213" s="35"/>
      <c r="AB213" s="137"/>
      <c r="AC213" s="43"/>
      <c r="AD213" s="43"/>
      <c r="AE213" s="163"/>
      <c r="AF213" s="43"/>
      <c r="AG213" s="43"/>
      <c r="AH213" s="43"/>
      <c r="AI213" s="172"/>
      <c r="AJ213" s="261"/>
      <c r="AK213" s="40"/>
    </row>
    <row r="214" spans="1:37" ht="30" customHeight="1">
      <c r="N214" s="43"/>
      <c r="O214" s="30"/>
      <c r="P214" s="163"/>
      <c r="Q214" s="162"/>
      <c r="R214" s="30"/>
      <c r="S214" s="43"/>
      <c r="T214" s="43"/>
      <c r="U214" s="162"/>
      <c r="V214" s="43"/>
      <c r="W214" s="43"/>
      <c r="X214" s="162"/>
      <c r="Z214" s="182" t="s">
        <v>553</v>
      </c>
      <c r="AA214" s="35"/>
      <c r="AB214" s="75"/>
      <c r="AC214" s="37"/>
      <c r="AD214" s="43"/>
      <c r="AE214" s="43"/>
      <c r="AF214" s="163"/>
      <c r="AG214" s="43"/>
      <c r="AH214" s="43"/>
      <c r="AI214" s="172"/>
      <c r="AJ214" s="183"/>
      <c r="AK214" s="40"/>
    </row>
    <row r="215" spans="1:37" ht="30" customHeight="1">
      <c r="Z215" s="182" t="s">
        <v>554</v>
      </c>
      <c r="AA215" s="35"/>
      <c r="AB215" s="137"/>
      <c r="AC215" s="43"/>
      <c r="AD215" s="37"/>
      <c r="AE215" s="43"/>
      <c r="AF215" s="43"/>
      <c r="AG215" s="163"/>
      <c r="AH215" s="163"/>
      <c r="AI215" s="172"/>
      <c r="AJ215" s="261"/>
      <c r="AK215" s="40"/>
    </row>
    <row r="216" spans="1:37" ht="30" customHeight="1">
      <c r="Z216" s="182" t="s">
        <v>555</v>
      </c>
      <c r="AA216" s="35"/>
      <c r="AB216" s="137"/>
      <c r="AC216" s="43"/>
      <c r="AD216" s="37"/>
      <c r="AE216" s="43"/>
      <c r="AF216" s="43"/>
      <c r="AG216" s="43"/>
      <c r="AH216" s="43"/>
      <c r="AI216" s="172"/>
      <c r="AJ216" s="261"/>
      <c r="AK216" s="40"/>
    </row>
    <row r="217" spans="1:37" ht="30" customHeight="1">
      <c r="Z217" s="182" t="s">
        <v>556</v>
      </c>
      <c r="AA217" s="35"/>
      <c r="AB217" s="137"/>
      <c r="AC217" s="43"/>
      <c r="AD217" s="37"/>
      <c r="AE217" s="43"/>
      <c r="AF217" s="43"/>
      <c r="AG217" s="43"/>
      <c r="AH217" s="43"/>
      <c r="AI217" s="172"/>
      <c r="AJ217" s="261"/>
      <c r="AK217" s="40"/>
    </row>
    <row r="218" spans="1:37" ht="30" customHeight="1" thickBot="1">
      <c r="Z218" s="184"/>
      <c r="AA218" s="331"/>
      <c r="AB218" s="342"/>
      <c r="AC218" s="343"/>
      <c r="AD218" s="185"/>
      <c r="AE218" s="187"/>
      <c r="AF218" s="187"/>
      <c r="AG218" s="187"/>
      <c r="AH218" s="187"/>
      <c r="AI218" s="332"/>
      <c r="AJ218" s="344"/>
      <c r="AK218" s="40"/>
    </row>
    <row r="219" spans="1:37" s="310" customFormat="1" ht="30" customHeight="1">
      <c r="A219" s="304"/>
      <c r="B219" s="157"/>
      <c r="C219" s="159"/>
      <c r="D219" s="171"/>
      <c r="E219" s="177"/>
      <c r="F219" s="157"/>
      <c r="G219" s="157"/>
      <c r="H219" s="157"/>
      <c r="I219" s="157"/>
      <c r="J219" s="157"/>
      <c r="K219" s="157"/>
      <c r="L219" s="156"/>
      <c r="M219" s="304"/>
      <c r="N219" s="157"/>
      <c r="O219" s="157"/>
      <c r="P219" s="159"/>
      <c r="Q219" s="159"/>
      <c r="R219" s="159"/>
      <c r="S219" s="159"/>
      <c r="T219" s="159"/>
      <c r="U219" s="159"/>
      <c r="V219" s="159"/>
      <c r="W219" s="159"/>
      <c r="X219" s="157"/>
      <c r="Y219" s="157"/>
      <c r="Z219" s="368"/>
      <c r="AA219" s="368"/>
      <c r="AB219" s="368"/>
      <c r="AC219" s="368"/>
      <c r="AD219" s="368"/>
      <c r="AE219" s="368"/>
      <c r="AF219" s="368"/>
      <c r="AG219" s="368"/>
      <c r="AH219" s="368"/>
      <c r="AI219" s="368"/>
      <c r="AJ219" s="368"/>
    </row>
    <row r="220" spans="1:37" ht="30" customHeight="1">
      <c r="Z220" s="163"/>
      <c r="AA220" s="163"/>
      <c r="AB220" s="163"/>
      <c r="AC220" s="163"/>
      <c r="AD220" s="163"/>
      <c r="AE220" s="163"/>
      <c r="AF220" s="163"/>
      <c r="AG220" s="163"/>
      <c r="AH220" s="163"/>
      <c r="AI220" s="163"/>
      <c r="AJ220" s="163"/>
    </row>
    <row r="221" spans="1:37" ht="30" customHeight="1">
      <c r="B221" s="310"/>
      <c r="C221" s="311"/>
      <c r="D221" s="312"/>
      <c r="E221" s="313"/>
      <c r="F221" s="310"/>
      <c r="G221" s="310"/>
      <c r="H221" s="310"/>
      <c r="I221" s="310"/>
      <c r="J221" s="310"/>
      <c r="K221" s="310"/>
      <c r="L221" s="304"/>
    </row>
    <row r="222" spans="1:37" ht="30" customHeight="1" thickBot="1">
      <c r="B222" s="310"/>
      <c r="C222" s="311"/>
      <c r="D222" s="312"/>
      <c r="E222" s="313"/>
      <c r="F222" s="310"/>
      <c r="G222" s="310"/>
      <c r="H222" s="310"/>
      <c r="I222" s="310"/>
      <c r="J222" s="310"/>
      <c r="K222" s="310"/>
      <c r="L222" s="304"/>
      <c r="N222" s="310"/>
      <c r="O222" s="310"/>
      <c r="P222" s="311"/>
      <c r="Q222" s="311"/>
      <c r="R222" s="311"/>
      <c r="S222" s="311"/>
      <c r="T222" s="311"/>
      <c r="U222" s="311"/>
      <c r="V222" s="311"/>
      <c r="W222" s="311"/>
      <c r="X222" s="310"/>
      <c r="Z222" s="310"/>
      <c r="AA222" s="310"/>
      <c r="AB222" s="310"/>
      <c r="AC222" s="310"/>
      <c r="AD222" s="310"/>
      <c r="AE222" s="310"/>
      <c r="AF222" s="310"/>
      <c r="AG222" s="310"/>
      <c r="AH222" s="310"/>
      <c r="AI222" s="310"/>
      <c r="AJ222" s="310"/>
    </row>
    <row r="223" spans="1:37" ht="30" customHeight="1">
      <c r="N223" s="253" t="s">
        <v>78</v>
      </c>
      <c r="O223" s="483" t="s">
        <v>86</v>
      </c>
      <c r="P223" s="483"/>
      <c r="Q223" s="483"/>
      <c r="R223" s="451" t="s">
        <v>62</v>
      </c>
      <c r="S223" s="453" t="s">
        <v>63</v>
      </c>
      <c r="T223" s="453"/>
      <c r="U223" s="453"/>
      <c r="V223" s="453"/>
      <c r="W223" s="472" t="s">
        <v>85</v>
      </c>
      <c r="X223" s="454" t="s">
        <v>64</v>
      </c>
      <c r="Z223" s="341" t="s">
        <v>87</v>
      </c>
      <c r="AA223" s="459" t="s">
        <v>101</v>
      </c>
      <c r="AB223" s="460"/>
      <c r="AC223" s="460"/>
      <c r="AD223" s="462" t="s">
        <v>62</v>
      </c>
      <c r="AE223" s="464" t="s">
        <v>63</v>
      </c>
      <c r="AF223" s="465"/>
      <c r="AG223" s="465"/>
      <c r="AH223" s="466"/>
      <c r="AI223" s="472" t="s">
        <v>85</v>
      </c>
      <c r="AJ223" s="469" t="s">
        <v>64</v>
      </c>
    </row>
    <row r="224" spans="1:37" ht="30" customHeight="1">
      <c r="N224" s="179" t="s">
        <v>80</v>
      </c>
      <c r="O224" s="400" t="s">
        <v>65</v>
      </c>
      <c r="P224" s="397" t="s">
        <v>66</v>
      </c>
      <c r="Q224" s="338" t="s">
        <v>67</v>
      </c>
      <c r="R224" s="478"/>
      <c r="S224" s="400" t="s">
        <v>68</v>
      </c>
      <c r="T224" s="400" t="s">
        <v>69</v>
      </c>
      <c r="U224" s="400" t="s">
        <v>70</v>
      </c>
      <c r="V224" s="400" t="s">
        <v>71</v>
      </c>
      <c r="W224" s="482"/>
      <c r="X224" s="481"/>
      <c r="Z224" s="179" t="s">
        <v>80</v>
      </c>
      <c r="AA224" s="335" t="s">
        <v>65</v>
      </c>
      <c r="AB224" s="334" t="s">
        <v>66</v>
      </c>
      <c r="AC224" s="338" t="s">
        <v>67</v>
      </c>
      <c r="AD224" s="463"/>
      <c r="AE224" s="335" t="s">
        <v>68</v>
      </c>
      <c r="AF224" s="335" t="s">
        <v>69</v>
      </c>
      <c r="AG224" s="335" t="s">
        <v>70</v>
      </c>
      <c r="AH224" s="335" t="s">
        <v>71</v>
      </c>
      <c r="AI224" s="482"/>
      <c r="AJ224" s="470"/>
    </row>
    <row r="225" spans="13:37" ht="30" customHeight="1">
      <c r="N225" s="182" t="s">
        <v>773</v>
      </c>
      <c r="O225" s="32" t="s">
        <v>439</v>
      </c>
      <c r="P225" s="130" t="s">
        <v>448</v>
      </c>
      <c r="Q225" s="173" t="str">
        <f>B26 &amp; " " &amp; B27</f>
        <v>SYS-023 SYS-024</v>
      </c>
      <c r="R225" s="67" t="s">
        <v>444</v>
      </c>
      <c r="S225" s="67" t="s">
        <v>399</v>
      </c>
      <c r="T225" s="67"/>
      <c r="U225" s="67"/>
      <c r="V225" s="67" t="s">
        <v>399</v>
      </c>
      <c r="W225" s="70"/>
      <c r="X225" s="256"/>
      <c r="Z225" s="182" t="s">
        <v>557</v>
      </c>
      <c r="AA225" s="59"/>
      <c r="AB225" s="55"/>
      <c r="AC225" s="106"/>
      <c r="AD225" s="70"/>
      <c r="AE225" s="67"/>
      <c r="AF225" s="67"/>
      <c r="AG225" s="67"/>
      <c r="AH225" s="67"/>
      <c r="AI225" s="17"/>
      <c r="AJ225" s="256"/>
    </row>
    <row r="226" spans="13:37" ht="30" customHeight="1">
      <c r="M226" s="302"/>
      <c r="N226" s="182" t="s">
        <v>774</v>
      </c>
      <c r="O226" s="34" t="s">
        <v>718</v>
      </c>
      <c r="P226" s="61" t="s">
        <v>723</v>
      </c>
      <c r="Q226" s="173" t="str">
        <f>B20</f>
        <v>SYS-017</v>
      </c>
      <c r="R226" s="70" t="s">
        <v>445</v>
      </c>
      <c r="S226" s="137"/>
      <c r="T226" s="70" t="s">
        <v>399</v>
      </c>
      <c r="U226" s="43" t="s">
        <v>399</v>
      </c>
      <c r="V226" s="67"/>
      <c r="W226" s="70"/>
      <c r="X226" s="256"/>
      <c r="Y226" s="302" t="s">
        <v>266</v>
      </c>
      <c r="Z226" s="182" t="s">
        <v>558</v>
      </c>
      <c r="AA226" s="30"/>
      <c r="AB226" s="345"/>
      <c r="AC226" s="173"/>
      <c r="AD226" s="70"/>
      <c r="AE226" s="67"/>
      <c r="AF226" s="67"/>
      <c r="AG226" s="67"/>
      <c r="AH226" s="67"/>
      <c r="AI226" s="70"/>
      <c r="AJ226" s="256"/>
    </row>
    <row r="227" spans="13:37" ht="30" customHeight="1">
      <c r="N227" s="182" t="s">
        <v>262</v>
      </c>
      <c r="O227" s="34" t="s">
        <v>719</v>
      </c>
      <c r="P227" s="61" t="s">
        <v>724</v>
      </c>
      <c r="Q227" s="173" t="str">
        <f>B20</f>
        <v>SYS-017</v>
      </c>
      <c r="R227" s="70" t="s">
        <v>445</v>
      </c>
      <c r="S227" s="137"/>
      <c r="T227" s="70" t="s">
        <v>399</v>
      </c>
      <c r="U227" s="43" t="s">
        <v>399</v>
      </c>
      <c r="V227" s="67"/>
      <c r="W227" s="70"/>
      <c r="X227" s="256"/>
      <c r="Z227" s="182" t="s">
        <v>559</v>
      </c>
      <c r="AA227" s="67"/>
      <c r="AB227" s="346"/>
      <c r="AC227" s="173"/>
      <c r="AD227" s="70"/>
      <c r="AE227" s="67"/>
      <c r="AF227" s="67"/>
      <c r="AG227" s="137"/>
      <c r="AH227" s="67"/>
      <c r="AI227" s="70"/>
      <c r="AJ227" s="256"/>
    </row>
    <row r="228" spans="13:37" ht="30" customHeight="1">
      <c r="N228" s="182" t="s">
        <v>263</v>
      </c>
      <c r="O228" s="30" t="s">
        <v>440</v>
      </c>
      <c r="P228" s="174" t="s">
        <v>449</v>
      </c>
      <c r="Q228" s="30" t="str">
        <f>B21</f>
        <v>SYS-018</v>
      </c>
      <c r="R228" s="70" t="s">
        <v>320</v>
      </c>
      <c r="S228" s="70"/>
      <c r="T228" s="70"/>
      <c r="U228" s="137"/>
      <c r="V228" s="70" t="s">
        <v>399</v>
      </c>
      <c r="W228" s="70"/>
      <c r="X228" s="256"/>
      <c r="Z228" s="182" t="s">
        <v>560</v>
      </c>
      <c r="AA228" s="31"/>
      <c r="AB228" s="345"/>
      <c r="AC228" s="173"/>
      <c r="AD228" s="70"/>
      <c r="AE228" s="137"/>
      <c r="AF228" s="67"/>
      <c r="AG228" s="137"/>
      <c r="AH228" s="137"/>
      <c r="AI228" s="70"/>
      <c r="AJ228" s="183"/>
    </row>
    <row r="229" spans="13:37" ht="30" customHeight="1">
      <c r="N229" s="182" t="s">
        <v>264</v>
      </c>
      <c r="O229" s="30" t="s">
        <v>440</v>
      </c>
      <c r="P229" s="174" t="s">
        <v>720</v>
      </c>
      <c r="Q229" s="30" t="str">
        <f>B21</f>
        <v>SYS-018</v>
      </c>
      <c r="R229" s="70" t="s">
        <v>320</v>
      </c>
      <c r="S229" s="70"/>
      <c r="T229" s="70"/>
      <c r="U229" s="137"/>
      <c r="V229" s="70" t="s">
        <v>399</v>
      </c>
      <c r="W229" s="70"/>
      <c r="X229" s="256"/>
      <c r="Z229" s="182" t="s">
        <v>561</v>
      </c>
      <c r="AA229" s="67"/>
      <c r="AB229" s="346"/>
      <c r="AC229" s="173"/>
      <c r="AD229" s="70"/>
      <c r="AE229" s="67"/>
      <c r="AF229" s="137"/>
      <c r="AG229" s="67"/>
      <c r="AH229" s="67"/>
      <c r="AI229" s="70"/>
      <c r="AJ229" s="256"/>
      <c r="AK229" s="40"/>
    </row>
    <row r="230" spans="13:37" ht="30" customHeight="1">
      <c r="N230" s="182" t="s">
        <v>265</v>
      </c>
      <c r="O230" s="132" t="s">
        <v>441</v>
      </c>
      <c r="P230" s="62" t="s">
        <v>721</v>
      </c>
      <c r="Q230" s="30" t="str">
        <f>B26</f>
        <v>SYS-023</v>
      </c>
      <c r="R230" s="70" t="s">
        <v>320</v>
      </c>
      <c r="S230" s="67"/>
      <c r="T230" s="67"/>
      <c r="U230" s="137"/>
      <c r="V230" s="67" t="s">
        <v>399</v>
      </c>
      <c r="W230" s="70"/>
      <c r="X230" s="256"/>
      <c r="Z230" s="182" t="s">
        <v>562</v>
      </c>
      <c r="AA230" s="67"/>
      <c r="AB230" s="345"/>
      <c r="AC230" s="173"/>
      <c r="AD230" s="70"/>
      <c r="AE230" s="67"/>
      <c r="AF230" s="137"/>
      <c r="AG230" s="67"/>
      <c r="AH230" s="67"/>
      <c r="AI230" s="70"/>
      <c r="AJ230" s="256"/>
      <c r="AK230" s="40"/>
    </row>
    <row r="231" spans="13:37" ht="30" customHeight="1">
      <c r="N231" s="182" t="s">
        <v>775</v>
      </c>
      <c r="O231" s="132" t="s">
        <v>441</v>
      </c>
      <c r="P231" s="62" t="s">
        <v>722</v>
      </c>
      <c r="Q231" s="30" t="str">
        <f>B27</f>
        <v>SYS-024</v>
      </c>
      <c r="R231" s="70" t="s">
        <v>320</v>
      </c>
      <c r="S231" s="67"/>
      <c r="T231" s="67"/>
      <c r="U231" s="137"/>
      <c r="V231" s="67" t="s">
        <v>399</v>
      </c>
      <c r="W231" s="70"/>
      <c r="X231" s="256"/>
      <c r="Z231" s="182" t="s">
        <v>563</v>
      </c>
      <c r="AA231" s="70"/>
      <c r="AB231" s="174"/>
      <c r="AC231" s="173"/>
      <c r="AD231" s="70"/>
      <c r="AE231" s="67"/>
      <c r="AF231" s="67"/>
      <c r="AG231" s="67"/>
      <c r="AH231" s="67"/>
      <c r="AI231" s="70"/>
      <c r="AJ231" s="256"/>
      <c r="AK231" s="40"/>
    </row>
    <row r="232" spans="13:37" ht="30" customHeight="1" thickBot="1">
      <c r="N232" s="182">
        <f>B29</f>
        <v>0</v>
      </c>
      <c r="O232" s="132" t="s">
        <v>159</v>
      </c>
      <c r="P232" s="66" t="s">
        <v>647</v>
      </c>
      <c r="Q232" s="30">
        <f>B29</f>
        <v>0</v>
      </c>
      <c r="R232" s="70" t="s">
        <v>447</v>
      </c>
      <c r="S232" s="35"/>
      <c r="T232" s="67" t="s">
        <v>399</v>
      </c>
      <c r="U232" s="35"/>
      <c r="V232" s="35"/>
      <c r="W232" s="35"/>
      <c r="X232" s="391"/>
      <c r="Z232" s="184"/>
      <c r="AA232" s="257"/>
      <c r="AB232" s="269"/>
      <c r="AC232" s="347"/>
      <c r="AD232" s="257"/>
      <c r="AE232" s="269"/>
      <c r="AF232" s="258"/>
      <c r="AG232" s="258"/>
      <c r="AH232" s="258"/>
      <c r="AI232" s="257"/>
      <c r="AJ232" s="348"/>
      <c r="AK232" s="40"/>
    </row>
    <row r="233" spans="13:37" ht="30" customHeight="1">
      <c r="N233" s="182">
        <f>B28</f>
        <v>0</v>
      </c>
      <c r="O233" s="132" t="s">
        <v>442</v>
      </c>
      <c r="P233" s="66" t="s">
        <v>443</v>
      </c>
      <c r="Q233" s="30">
        <f>B28</f>
        <v>0</v>
      </c>
      <c r="R233" s="70" t="s">
        <v>446</v>
      </c>
      <c r="S233" s="67" t="s">
        <v>399</v>
      </c>
      <c r="T233" s="67" t="s">
        <v>399</v>
      </c>
      <c r="U233" s="137"/>
      <c r="V233" s="67"/>
      <c r="W233" s="70"/>
      <c r="X233" s="256"/>
      <c r="Z233" s="46"/>
      <c r="AA233" s="16"/>
      <c r="AB233" s="26"/>
      <c r="AC233" s="107"/>
      <c r="AD233" s="16"/>
      <c r="AE233" s="176"/>
      <c r="AF233" s="21"/>
      <c r="AG233" s="117"/>
      <c r="AH233" s="176"/>
      <c r="AI233" s="176"/>
      <c r="AJ233" s="28"/>
      <c r="AK233" s="40"/>
    </row>
    <row r="234" spans="13:37" ht="30" customHeight="1" thickBot="1">
      <c r="M234" s="302" t="s">
        <v>266</v>
      </c>
      <c r="N234" s="393"/>
      <c r="O234" s="163"/>
      <c r="P234" s="35"/>
      <c r="Q234" s="35"/>
      <c r="R234" s="35"/>
      <c r="S234" s="35"/>
      <c r="T234" s="35"/>
      <c r="U234" s="137"/>
      <c r="V234" s="137"/>
      <c r="W234" s="137"/>
      <c r="X234" s="261"/>
      <c r="Z234" s="56"/>
      <c r="AA234" s="16"/>
      <c r="AB234" s="57"/>
      <c r="AC234" s="108"/>
      <c r="AD234" s="16"/>
      <c r="AE234" s="176"/>
      <c r="AF234" s="176"/>
      <c r="AG234" s="117"/>
      <c r="AH234" s="176"/>
      <c r="AI234" s="176"/>
      <c r="AJ234" s="21"/>
      <c r="AK234" s="40"/>
    </row>
    <row r="235" spans="13:37" ht="30" customHeight="1">
      <c r="N235" s="416"/>
      <c r="O235" s="417"/>
      <c r="P235" s="368"/>
      <c r="Q235" s="417"/>
      <c r="R235" s="368"/>
      <c r="S235" s="368"/>
      <c r="T235" s="368"/>
      <c r="U235" s="368"/>
      <c r="V235" s="368"/>
      <c r="W235" s="368"/>
      <c r="X235" s="416"/>
      <c r="AA235" s="156"/>
      <c r="AC235" s="156"/>
      <c r="AJ235" s="46"/>
      <c r="AK235" s="40"/>
    </row>
    <row r="236" spans="13:37" ht="30" customHeight="1" thickBot="1">
      <c r="N236" s="43"/>
      <c r="O236" s="162"/>
      <c r="P236" s="163"/>
      <c r="Q236" s="162"/>
      <c r="R236" s="163"/>
      <c r="S236" s="163"/>
      <c r="T236" s="163"/>
      <c r="U236" s="163"/>
      <c r="V236" s="163"/>
      <c r="W236" s="163"/>
      <c r="X236" s="43"/>
      <c r="AA236" s="156"/>
      <c r="AC236" s="156"/>
      <c r="AJ236" s="46"/>
      <c r="AK236" s="40"/>
    </row>
    <row r="237" spans="13:37" ht="30" customHeight="1">
      <c r="N237" s="43"/>
      <c r="O237" s="162"/>
      <c r="P237" s="163"/>
      <c r="Q237" s="162"/>
      <c r="R237" s="163"/>
      <c r="S237" s="163"/>
      <c r="T237" s="163"/>
      <c r="U237" s="163"/>
      <c r="V237" s="163"/>
      <c r="W237" s="163"/>
      <c r="X237" s="43"/>
      <c r="Z237" s="341" t="s">
        <v>87</v>
      </c>
      <c r="AA237" s="459" t="s">
        <v>102</v>
      </c>
      <c r="AB237" s="460"/>
      <c r="AC237" s="460"/>
      <c r="AD237" s="462" t="s">
        <v>62</v>
      </c>
      <c r="AE237" s="464" t="s">
        <v>63</v>
      </c>
      <c r="AF237" s="465"/>
      <c r="AG237" s="465"/>
      <c r="AH237" s="466"/>
      <c r="AI237" s="472" t="s">
        <v>85</v>
      </c>
      <c r="AJ237" s="469" t="s">
        <v>64</v>
      </c>
      <c r="AK237" s="40"/>
    </row>
    <row r="238" spans="13:37" ht="30" customHeight="1">
      <c r="N238" s="43"/>
      <c r="O238" s="162"/>
      <c r="P238" s="163"/>
      <c r="Q238" s="162"/>
      <c r="R238" s="163"/>
      <c r="S238" s="163"/>
      <c r="T238" s="163"/>
      <c r="U238" s="163"/>
      <c r="V238" s="163"/>
      <c r="W238" s="163"/>
      <c r="X238" s="43"/>
      <c r="Z238" s="179" t="s">
        <v>80</v>
      </c>
      <c r="AA238" s="335" t="s">
        <v>65</v>
      </c>
      <c r="AB238" s="334" t="s">
        <v>66</v>
      </c>
      <c r="AC238" s="338" t="s">
        <v>67</v>
      </c>
      <c r="AD238" s="463"/>
      <c r="AE238" s="335" t="s">
        <v>68</v>
      </c>
      <c r="AF238" s="335" t="s">
        <v>69</v>
      </c>
      <c r="AG238" s="335" t="s">
        <v>70</v>
      </c>
      <c r="AH238" s="335" t="s">
        <v>71</v>
      </c>
      <c r="AI238" s="482"/>
      <c r="AJ238" s="470"/>
      <c r="AK238" s="40"/>
    </row>
    <row r="239" spans="13:37" ht="30" customHeight="1">
      <c r="N239" s="43"/>
      <c r="O239" s="162"/>
      <c r="P239" s="163"/>
      <c r="Q239" s="162"/>
      <c r="R239" s="163"/>
      <c r="S239" s="163"/>
      <c r="T239" s="163"/>
      <c r="U239" s="163"/>
      <c r="V239" s="163"/>
      <c r="W239" s="163"/>
      <c r="X239" s="43"/>
      <c r="Z239" s="182" t="s">
        <v>564</v>
      </c>
      <c r="AA239" s="59"/>
      <c r="AB239" s="109"/>
      <c r="AC239" s="106"/>
      <c r="AD239" s="349"/>
      <c r="AE239" s="350"/>
      <c r="AF239" s="67"/>
      <c r="AG239" s="350"/>
      <c r="AH239" s="350"/>
      <c r="AI239" s="17"/>
      <c r="AJ239" s="255"/>
      <c r="AK239" s="40"/>
    </row>
    <row r="240" spans="13:37" ht="30" customHeight="1">
      <c r="N240" s="163"/>
      <c r="O240" s="162"/>
      <c r="P240" s="163"/>
      <c r="Q240" s="162"/>
      <c r="R240" s="163"/>
      <c r="S240" s="163"/>
      <c r="T240" s="163"/>
      <c r="U240" s="163"/>
      <c r="V240" s="163"/>
      <c r="W240" s="163"/>
      <c r="X240" s="43"/>
      <c r="Z240" s="182" t="s">
        <v>565</v>
      </c>
      <c r="AA240" s="30"/>
      <c r="AB240" s="174"/>
      <c r="AC240" s="173"/>
      <c r="AD240" s="349"/>
      <c r="AE240" s="350"/>
      <c r="AF240" s="67"/>
      <c r="AG240" s="350"/>
      <c r="AH240" s="350"/>
      <c r="AI240" s="70"/>
      <c r="AJ240" s="256"/>
      <c r="AK240" s="40"/>
    </row>
    <row r="241" spans="1:38" ht="30" customHeight="1">
      <c r="O241" s="156"/>
      <c r="P241" s="157"/>
      <c r="Q241" s="156"/>
      <c r="R241" s="157"/>
      <c r="S241" s="157"/>
      <c r="T241" s="157"/>
      <c r="U241" s="157"/>
      <c r="V241" s="157"/>
      <c r="W241" s="157"/>
      <c r="X241" s="46"/>
      <c r="Z241" s="182" t="s">
        <v>566</v>
      </c>
      <c r="AA241" s="67"/>
      <c r="AB241" s="174"/>
      <c r="AC241" s="173"/>
      <c r="AD241" s="349"/>
      <c r="AE241" s="350"/>
      <c r="AF241" s="67"/>
      <c r="AG241" s="163"/>
      <c r="AH241" s="350"/>
      <c r="AI241" s="70"/>
      <c r="AJ241" s="256"/>
      <c r="AK241" s="40"/>
    </row>
    <row r="242" spans="1:38" ht="30" customHeight="1">
      <c r="O242" s="156"/>
      <c r="P242" s="157"/>
      <c r="Q242" s="156"/>
      <c r="R242" s="157"/>
      <c r="S242" s="157"/>
      <c r="T242" s="157"/>
      <c r="U242" s="157"/>
      <c r="V242" s="157"/>
      <c r="W242" s="157"/>
      <c r="X242" s="46"/>
      <c r="Y242" s="302" t="s">
        <v>266</v>
      </c>
      <c r="Z242" s="182" t="s">
        <v>567</v>
      </c>
      <c r="AA242" s="31"/>
      <c r="AB242" s="174"/>
      <c r="AC242" s="173"/>
      <c r="AD242" s="349"/>
      <c r="AE242" s="163"/>
      <c r="AF242" s="67"/>
      <c r="AG242" s="163"/>
      <c r="AH242" s="163"/>
      <c r="AI242" s="70"/>
      <c r="AJ242" s="256"/>
      <c r="AK242" s="40"/>
    </row>
    <row r="243" spans="1:38" ht="30" customHeight="1">
      <c r="Z243" s="182" t="s">
        <v>568</v>
      </c>
      <c r="AA243" s="67"/>
      <c r="AB243" s="174"/>
      <c r="AC243" s="173"/>
      <c r="AD243" s="349"/>
      <c r="AE243" s="350"/>
      <c r="AF243" s="163"/>
      <c r="AG243" s="67"/>
      <c r="AH243" s="351"/>
      <c r="AI243" s="70"/>
      <c r="AJ243" s="256"/>
      <c r="AK243" s="40"/>
    </row>
    <row r="244" spans="1:38" ht="30" customHeight="1">
      <c r="Z244" s="182" t="s">
        <v>569</v>
      </c>
      <c r="AA244" s="67"/>
      <c r="AB244" s="174"/>
      <c r="AC244" s="173"/>
      <c r="AD244" s="70"/>
      <c r="AE244" s="67"/>
      <c r="AF244" s="137"/>
      <c r="AG244" s="67"/>
      <c r="AH244" s="67"/>
      <c r="AI244" s="70"/>
      <c r="AJ244" s="256"/>
      <c r="AK244" s="40"/>
    </row>
    <row r="245" spans="1:38" ht="30" customHeight="1">
      <c r="Z245" s="182" t="s">
        <v>570</v>
      </c>
      <c r="AA245" s="70"/>
      <c r="AB245" s="174"/>
      <c r="AC245" s="173"/>
      <c r="AD245" s="70"/>
      <c r="AE245" s="67"/>
      <c r="AF245" s="137"/>
      <c r="AG245" s="67"/>
      <c r="AH245" s="67"/>
      <c r="AI245" s="70"/>
      <c r="AJ245" s="256"/>
      <c r="AK245" s="40"/>
    </row>
    <row r="246" spans="1:38" ht="30" customHeight="1">
      <c r="Z246" s="182" t="s">
        <v>571</v>
      </c>
      <c r="AA246" s="31"/>
      <c r="AB246" s="174"/>
      <c r="AC246" s="173"/>
      <c r="AD246" s="70"/>
      <c r="AE246" s="137"/>
      <c r="AF246" s="137"/>
      <c r="AG246" s="137"/>
      <c r="AH246" s="67"/>
      <c r="AI246" s="70"/>
      <c r="AJ246" s="256"/>
      <c r="AK246" s="40"/>
    </row>
    <row r="247" spans="1:38" ht="30" customHeight="1">
      <c r="M247" s="304"/>
      <c r="Z247" s="182" t="s">
        <v>572</v>
      </c>
      <c r="AA247" s="31"/>
      <c r="AB247" s="174"/>
      <c r="AC247" s="173"/>
      <c r="AD247" s="70"/>
      <c r="AE247" s="137"/>
      <c r="AF247" s="137"/>
      <c r="AG247" s="137"/>
      <c r="AH247" s="67"/>
      <c r="AI247" s="70"/>
      <c r="AJ247" s="256"/>
      <c r="AK247" s="310"/>
    </row>
    <row r="248" spans="1:38" ht="30" customHeight="1" thickBot="1">
      <c r="Z248" s="184"/>
      <c r="AA248" s="207"/>
      <c r="AB248" s="352"/>
      <c r="AC248" s="347"/>
      <c r="AD248" s="257"/>
      <c r="AE248" s="208"/>
      <c r="AF248" s="258"/>
      <c r="AG248" s="187"/>
      <c r="AH248" s="208"/>
      <c r="AI248" s="257"/>
      <c r="AJ248" s="270"/>
    </row>
    <row r="249" spans="1:38" ht="30" customHeight="1" thickBot="1">
      <c r="Z249" s="43"/>
      <c r="AA249" s="162"/>
      <c r="AB249" s="163"/>
      <c r="AC249" s="162"/>
      <c r="AD249" s="16"/>
      <c r="AE249" s="163"/>
      <c r="AF249" s="67"/>
      <c r="AG249" s="163"/>
      <c r="AH249" s="163"/>
      <c r="AI249" s="350"/>
      <c r="AJ249" s="46"/>
    </row>
    <row r="250" spans="1:38" ht="30" customHeight="1">
      <c r="Z250" s="341" t="s">
        <v>87</v>
      </c>
      <c r="AA250" s="459" t="s">
        <v>121</v>
      </c>
      <c r="AB250" s="460"/>
      <c r="AC250" s="460"/>
      <c r="AD250" s="462" t="s">
        <v>62</v>
      </c>
      <c r="AE250" s="464" t="s">
        <v>63</v>
      </c>
      <c r="AF250" s="465"/>
      <c r="AG250" s="465"/>
      <c r="AH250" s="466"/>
      <c r="AI250" s="472" t="s">
        <v>85</v>
      </c>
      <c r="AJ250" s="469" t="s">
        <v>64</v>
      </c>
    </row>
    <row r="251" spans="1:38" ht="30" customHeight="1">
      <c r="Z251" s="179" t="s">
        <v>80</v>
      </c>
      <c r="AA251" s="335" t="s">
        <v>65</v>
      </c>
      <c r="AB251" s="334" t="s">
        <v>66</v>
      </c>
      <c r="AC251" s="338" t="s">
        <v>67</v>
      </c>
      <c r="AD251" s="463"/>
      <c r="AE251" s="335" t="s">
        <v>68</v>
      </c>
      <c r="AF251" s="335" t="s">
        <v>69</v>
      </c>
      <c r="AG251" s="335" t="s">
        <v>70</v>
      </c>
      <c r="AH251" s="335" t="s">
        <v>71</v>
      </c>
      <c r="AI251" s="482"/>
      <c r="AJ251" s="470"/>
    </row>
    <row r="252" spans="1:38" ht="30" customHeight="1">
      <c r="Z252" s="216" t="s">
        <v>573</v>
      </c>
      <c r="AA252" s="59"/>
      <c r="AB252" s="55"/>
      <c r="AC252" s="106"/>
      <c r="AD252" s="349"/>
      <c r="AE252" s="67"/>
      <c r="AF252" s="67"/>
      <c r="AG252" s="67"/>
      <c r="AH252" s="67"/>
      <c r="AI252" s="17"/>
      <c r="AJ252" s="256"/>
    </row>
    <row r="253" spans="1:38" ht="30" customHeight="1">
      <c r="Y253" s="302" t="s">
        <v>266</v>
      </c>
      <c r="Z253" s="216" t="s">
        <v>574</v>
      </c>
      <c r="AA253" s="30"/>
      <c r="AB253" s="345"/>
      <c r="AC253" s="173"/>
      <c r="AD253" s="349"/>
      <c r="AE253" s="67"/>
      <c r="AF253" s="67"/>
      <c r="AG253" s="67"/>
      <c r="AH253" s="67"/>
      <c r="AI253" s="70"/>
      <c r="AJ253" s="256"/>
    </row>
    <row r="254" spans="1:38" ht="30" customHeight="1">
      <c r="Z254" s="216" t="s">
        <v>575</v>
      </c>
      <c r="AA254" s="67"/>
      <c r="AB254" s="346"/>
      <c r="AC254" s="173"/>
      <c r="AD254" s="349"/>
      <c r="AE254" s="67"/>
      <c r="AF254" s="67"/>
      <c r="AG254" s="67"/>
      <c r="AH254" s="67"/>
      <c r="AI254" s="70"/>
      <c r="AJ254" s="256"/>
    </row>
    <row r="255" spans="1:38" s="310" customFormat="1" ht="30" customHeight="1">
      <c r="A255" s="304"/>
      <c r="B255" s="157"/>
      <c r="C255" s="159"/>
      <c r="D255" s="171"/>
      <c r="E255" s="177"/>
      <c r="F255" s="157"/>
      <c r="G255" s="157"/>
      <c r="H255" s="157"/>
      <c r="I255" s="157"/>
      <c r="J255" s="157"/>
      <c r="K255" s="157"/>
      <c r="L255" s="156"/>
      <c r="M255" s="156"/>
      <c r="N255" s="157"/>
      <c r="O255" s="157"/>
      <c r="P255" s="159"/>
      <c r="Q255" s="159"/>
      <c r="R255" s="159"/>
      <c r="S255" s="159"/>
      <c r="T255" s="159"/>
      <c r="U255" s="159"/>
      <c r="V255" s="159"/>
      <c r="W255" s="159"/>
      <c r="X255" s="157"/>
      <c r="Y255" s="157"/>
      <c r="Z255" s="216" t="s">
        <v>576</v>
      </c>
      <c r="AA255" s="31"/>
      <c r="AB255" s="345"/>
      <c r="AC255" s="173"/>
      <c r="AD255" s="349"/>
      <c r="AE255" s="137"/>
      <c r="AF255" s="43"/>
      <c r="AG255" s="163"/>
      <c r="AH255" s="137"/>
      <c r="AI255" s="70"/>
      <c r="AJ255" s="256"/>
      <c r="AK255" s="315"/>
      <c r="AL255" s="157"/>
    </row>
    <row r="256" spans="1:38" ht="30" customHeight="1">
      <c r="Z256" s="216" t="s">
        <v>577</v>
      </c>
      <c r="AA256" s="67"/>
      <c r="AB256" s="346"/>
      <c r="AC256" s="173"/>
      <c r="AD256" s="70"/>
      <c r="AE256" s="67"/>
      <c r="AF256" s="137"/>
      <c r="AG256" s="67"/>
      <c r="AH256" s="353"/>
      <c r="AI256" s="70"/>
      <c r="AJ256" s="256"/>
    </row>
    <row r="257" spans="2:38" ht="30" customHeight="1">
      <c r="B257" s="310"/>
      <c r="C257" s="311"/>
      <c r="D257" s="312"/>
      <c r="E257" s="313"/>
      <c r="F257" s="310"/>
      <c r="Z257" s="216" t="s">
        <v>578</v>
      </c>
      <c r="AA257" s="67"/>
      <c r="AB257" s="345"/>
      <c r="AC257" s="173"/>
      <c r="AD257" s="70"/>
      <c r="AE257" s="67"/>
      <c r="AF257" s="137"/>
      <c r="AG257" s="67"/>
      <c r="AH257" s="67"/>
      <c r="AI257" s="70"/>
      <c r="AJ257" s="256"/>
    </row>
    <row r="258" spans="2:38" ht="30" customHeight="1">
      <c r="B258" s="310"/>
      <c r="C258" s="311"/>
      <c r="D258" s="312"/>
      <c r="E258" s="313"/>
      <c r="F258" s="310"/>
      <c r="Z258" s="216" t="s">
        <v>579</v>
      </c>
      <c r="AA258" s="70"/>
      <c r="AB258" s="174"/>
      <c r="AC258" s="173"/>
      <c r="AD258" s="70"/>
      <c r="AE258" s="67"/>
      <c r="AF258" s="137"/>
      <c r="AG258" s="67"/>
      <c r="AH258" s="67"/>
      <c r="AI258" s="70"/>
      <c r="AJ258" s="256"/>
    </row>
    <row r="259" spans="2:38" ht="30" customHeight="1" thickBot="1">
      <c r="Z259" s="354"/>
      <c r="AA259" s="257"/>
      <c r="AB259" s="355"/>
      <c r="AC259" s="347"/>
      <c r="AD259" s="257"/>
      <c r="AE259" s="208"/>
      <c r="AF259" s="208"/>
      <c r="AG259" s="208"/>
      <c r="AH259" s="258"/>
      <c r="AI259" s="257"/>
      <c r="AJ259" s="270"/>
      <c r="AL259" s="310"/>
    </row>
    <row r="260" spans="2:38" ht="30" customHeight="1">
      <c r="Z260" s="46"/>
      <c r="AA260" s="16"/>
      <c r="AB260" s="25"/>
      <c r="AC260" s="21"/>
      <c r="AE260" s="28"/>
      <c r="AF260" s="28"/>
      <c r="AG260" s="21"/>
      <c r="AH260" s="25"/>
      <c r="AI260" s="21"/>
      <c r="AJ260" s="21"/>
    </row>
    <row r="261" spans="2:38" ht="30" customHeight="1">
      <c r="G261" s="310"/>
      <c r="H261" s="310"/>
      <c r="I261" s="310"/>
      <c r="J261" s="310"/>
      <c r="K261" s="310"/>
      <c r="L261" s="304"/>
      <c r="Z261" s="56"/>
      <c r="AA261" s="16"/>
      <c r="AB261" s="57"/>
      <c r="AC261" s="108"/>
      <c r="AD261" s="16"/>
      <c r="AE261" s="25"/>
      <c r="AF261" s="25"/>
      <c r="AG261" s="21"/>
      <c r="AH261" s="25"/>
      <c r="AI261" s="25"/>
      <c r="AJ261" s="21"/>
    </row>
    <row r="262" spans="2:38" ht="30" customHeight="1">
      <c r="G262" s="310"/>
      <c r="H262" s="310"/>
      <c r="I262" s="310"/>
      <c r="J262" s="310"/>
      <c r="K262" s="310"/>
      <c r="L262" s="304"/>
      <c r="AA262" s="156"/>
      <c r="AC262" s="156"/>
      <c r="AJ262" s="46"/>
    </row>
    <row r="263" spans="2:38" ht="30" customHeight="1" thickBot="1">
      <c r="AA263" s="156"/>
      <c r="AC263" s="156"/>
      <c r="AJ263" s="46"/>
    </row>
    <row r="264" spans="2:38" ht="30" customHeight="1">
      <c r="Z264" s="341" t="s">
        <v>87</v>
      </c>
      <c r="AA264" s="459" t="s">
        <v>103</v>
      </c>
      <c r="AB264" s="460"/>
      <c r="AC264" s="460"/>
      <c r="AD264" s="462" t="s">
        <v>62</v>
      </c>
      <c r="AE264" s="464" t="s">
        <v>63</v>
      </c>
      <c r="AF264" s="465"/>
      <c r="AG264" s="465"/>
      <c r="AH264" s="466"/>
      <c r="AI264" s="472" t="s">
        <v>85</v>
      </c>
      <c r="AJ264" s="469" t="s">
        <v>64</v>
      </c>
    </row>
    <row r="265" spans="2:38" ht="30" customHeight="1">
      <c r="M265" s="302" t="s">
        <v>266</v>
      </c>
      <c r="Y265" s="302" t="s">
        <v>266</v>
      </c>
      <c r="Z265" s="179" t="s">
        <v>80</v>
      </c>
      <c r="AA265" s="335" t="s">
        <v>65</v>
      </c>
      <c r="AB265" s="334" t="s">
        <v>66</v>
      </c>
      <c r="AC265" s="338" t="s">
        <v>67</v>
      </c>
      <c r="AD265" s="463"/>
      <c r="AE265" s="335" t="s">
        <v>68</v>
      </c>
      <c r="AF265" s="335" t="s">
        <v>69</v>
      </c>
      <c r="AG265" s="335" t="s">
        <v>70</v>
      </c>
      <c r="AH265" s="335" t="s">
        <v>71</v>
      </c>
      <c r="AI265" s="482"/>
      <c r="AJ265" s="470"/>
    </row>
    <row r="266" spans="2:38" ht="30" customHeight="1">
      <c r="Z266" s="182" t="s">
        <v>580</v>
      </c>
      <c r="AA266" s="59"/>
      <c r="AB266" s="55"/>
      <c r="AC266" s="106"/>
      <c r="AD266" s="349"/>
      <c r="AE266" s="67"/>
      <c r="AF266" s="67"/>
      <c r="AG266" s="67"/>
      <c r="AH266" s="67"/>
      <c r="AI266" s="17"/>
      <c r="AJ266" s="256"/>
    </row>
    <row r="267" spans="2:38" ht="30" customHeight="1">
      <c r="Z267" s="182" t="s">
        <v>581</v>
      </c>
      <c r="AA267" s="30"/>
      <c r="AB267" s="345"/>
      <c r="AC267" s="173"/>
      <c r="AD267" s="70"/>
      <c r="AE267" s="67"/>
      <c r="AF267" s="67"/>
      <c r="AG267" s="67"/>
      <c r="AH267" s="67"/>
      <c r="AI267" s="70"/>
      <c r="AJ267" s="256"/>
    </row>
    <row r="268" spans="2:38" ht="30" customHeight="1">
      <c r="Z268" s="182" t="s">
        <v>582</v>
      </c>
      <c r="AA268" s="67"/>
      <c r="AB268" s="346"/>
      <c r="AC268" s="173"/>
      <c r="AD268" s="70"/>
      <c r="AE268" s="67"/>
      <c r="AF268" s="67"/>
      <c r="AG268" s="67"/>
      <c r="AH268" s="67"/>
      <c r="AI268" s="70"/>
      <c r="AJ268" s="256"/>
    </row>
    <row r="269" spans="2:38" ht="30" customHeight="1">
      <c r="Z269" s="182" t="s">
        <v>583</v>
      </c>
      <c r="AA269" s="70"/>
      <c r="AB269" s="346"/>
      <c r="AC269" s="173"/>
      <c r="AD269" s="70"/>
      <c r="AE269" s="67"/>
      <c r="AF269" s="137"/>
      <c r="AG269" s="67"/>
      <c r="AH269" s="67"/>
      <c r="AI269" s="70"/>
      <c r="AJ269" s="256"/>
    </row>
    <row r="270" spans="2:38" ht="30" customHeight="1">
      <c r="Z270" s="182" t="s">
        <v>584</v>
      </c>
      <c r="AA270" s="31"/>
      <c r="AB270" s="345"/>
      <c r="AC270" s="173"/>
      <c r="AD270" s="70"/>
      <c r="AE270" s="137"/>
      <c r="AF270" s="137"/>
      <c r="AG270" s="137"/>
      <c r="AH270" s="67"/>
      <c r="AI270" s="70"/>
      <c r="AJ270" s="256"/>
    </row>
    <row r="271" spans="2:38" ht="30" customHeight="1" thickBot="1">
      <c r="Z271" s="184"/>
      <c r="AA271" s="207"/>
      <c r="AB271" s="356"/>
      <c r="AC271" s="347"/>
      <c r="AD271" s="257"/>
      <c r="AE271" s="208"/>
      <c r="AF271" s="208"/>
      <c r="AG271" s="208"/>
      <c r="AH271" s="258"/>
      <c r="AI271" s="257"/>
      <c r="AJ271" s="270"/>
    </row>
  </sheetData>
  <mergeCells count="137">
    <mergeCell ref="AA100:AC100"/>
    <mergeCell ref="AD100:AD101"/>
    <mergeCell ref="AE100:AH100"/>
    <mergeCell ref="AI100:AI101"/>
    <mergeCell ref="AJ100:AJ101"/>
    <mergeCell ref="AA130:AC130"/>
    <mergeCell ref="AD130:AD131"/>
    <mergeCell ref="AE130:AH130"/>
    <mergeCell ref="AI130:AI131"/>
    <mergeCell ref="AI123:AI124"/>
    <mergeCell ref="AJ130:AJ131"/>
    <mergeCell ref="AA123:AC123"/>
    <mergeCell ref="AD123:AD124"/>
    <mergeCell ref="AE123:AH123"/>
    <mergeCell ref="AJ123:AJ124"/>
    <mergeCell ref="AJ237:AJ238"/>
    <mergeCell ref="AA223:AC223"/>
    <mergeCell ref="AD223:AD224"/>
    <mergeCell ref="AE223:AH223"/>
    <mergeCell ref="AI223:AI224"/>
    <mergeCell ref="AJ223:AJ224"/>
    <mergeCell ref="AA264:AC264"/>
    <mergeCell ref="AD264:AD265"/>
    <mergeCell ref="AE264:AH264"/>
    <mergeCell ref="AI264:AI265"/>
    <mergeCell ref="AJ264:AJ265"/>
    <mergeCell ref="AA250:AC250"/>
    <mergeCell ref="AD250:AD251"/>
    <mergeCell ref="AE250:AH250"/>
    <mergeCell ref="AI250:AI251"/>
    <mergeCell ref="AJ250:AJ251"/>
    <mergeCell ref="AA237:AC237"/>
    <mergeCell ref="AD237:AD238"/>
    <mergeCell ref="AE237:AH237"/>
    <mergeCell ref="AI237:AI238"/>
    <mergeCell ref="O223:Q223"/>
    <mergeCell ref="R223:R224"/>
    <mergeCell ref="S223:V223"/>
    <mergeCell ref="W223:W224"/>
    <mergeCell ref="X223:X224"/>
    <mergeCell ref="AJ195:AJ196"/>
    <mergeCell ref="O195:Q195"/>
    <mergeCell ref="R195:R196"/>
    <mergeCell ref="S195:V195"/>
    <mergeCell ref="W195:W196"/>
    <mergeCell ref="X195:X196"/>
    <mergeCell ref="AA195:AC195"/>
    <mergeCell ref="AD195:AD196"/>
    <mergeCell ref="AE195:AH195"/>
    <mergeCell ref="AI195:AI196"/>
    <mergeCell ref="X178:X179"/>
    <mergeCell ref="O178:Q178"/>
    <mergeCell ref="R178:R179"/>
    <mergeCell ref="S178:V178"/>
    <mergeCell ref="W178:W179"/>
    <mergeCell ref="AJ143:AJ144"/>
    <mergeCell ref="AA143:AC143"/>
    <mergeCell ref="AD143:AD144"/>
    <mergeCell ref="AE143:AH143"/>
    <mergeCell ref="AI143:AI144"/>
    <mergeCell ref="O143:P143"/>
    <mergeCell ref="R143:R144"/>
    <mergeCell ref="AA154:AC154"/>
    <mergeCell ref="AD154:AD155"/>
    <mergeCell ref="AE154:AH154"/>
    <mergeCell ref="AI154:AI155"/>
    <mergeCell ref="AJ154:AJ155"/>
    <mergeCell ref="AA165:AC165"/>
    <mergeCell ref="AD165:AD166"/>
    <mergeCell ref="AE165:AH165"/>
    <mergeCell ref="AI165:AI166"/>
    <mergeCell ref="AJ165:AJ166"/>
    <mergeCell ref="AI12:AI13"/>
    <mergeCell ref="AJ114:AJ115"/>
    <mergeCell ref="O114:Q114"/>
    <mergeCell ref="R114:R115"/>
    <mergeCell ref="S114:V114"/>
    <mergeCell ref="W114:W115"/>
    <mergeCell ref="X114:X115"/>
    <mergeCell ref="AA114:AC114"/>
    <mergeCell ref="AD114:AD115"/>
    <mergeCell ref="AE114:AH114"/>
    <mergeCell ref="AI114:AI115"/>
    <mergeCell ref="AJ73:AJ74"/>
    <mergeCell ref="AJ90:AJ91"/>
    <mergeCell ref="AA73:AC73"/>
    <mergeCell ref="AD73:AD74"/>
    <mergeCell ref="AE73:AH73"/>
    <mergeCell ref="AI73:AI74"/>
    <mergeCell ref="AA90:AC90"/>
    <mergeCell ref="AD90:AD91"/>
    <mergeCell ref="AE90:AH90"/>
    <mergeCell ref="AI90:AI91"/>
    <mergeCell ref="AJ49:AJ50"/>
    <mergeCell ref="AJ61:AJ62"/>
    <mergeCell ref="AA61:AC61"/>
    <mergeCell ref="AD61:AD62"/>
    <mergeCell ref="AE61:AH61"/>
    <mergeCell ref="AI61:AI62"/>
    <mergeCell ref="AA49:AC49"/>
    <mergeCell ref="AJ31:AJ32"/>
    <mergeCell ref="AJ40:AJ41"/>
    <mergeCell ref="AA31:AC31"/>
    <mergeCell ref="AD31:AD32"/>
    <mergeCell ref="AE31:AH31"/>
    <mergeCell ref="AI31:AI32"/>
    <mergeCell ref="AA40:AC40"/>
    <mergeCell ref="AD40:AD41"/>
    <mergeCell ref="AE40:AH40"/>
    <mergeCell ref="AI40:AI41"/>
    <mergeCell ref="AD49:AD50"/>
    <mergeCell ref="AE49:AH49"/>
    <mergeCell ref="AI49:AI50"/>
    <mergeCell ref="L2:L3"/>
    <mergeCell ref="K2:K3"/>
    <mergeCell ref="C2:E2"/>
    <mergeCell ref="F2:F3"/>
    <mergeCell ref="G2:J2"/>
    <mergeCell ref="AJ12:AJ13"/>
    <mergeCell ref="AJ22:AJ23"/>
    <mergeCell ref="AA22:AC22"/>
    <mergeCell ref="AD22:AD23"/>
    <mergeCell ref="AE22:AH22"/>
    <mergeCell ref="AI22:AI23"/>
    <mergeCell ref="AA12:AC12"/>
    <mergeCell ref="X2:X3"/>
    <mergeCell ref="AJ2:AJ3"/>
    <mergeCell ref="O2:Q2"/>
    <mergeCell ref="R2:R3"/>
    <mergeCell ref="S2:V2"/>
    <mergeCell ref="W2:W3"/>
    <mergeCell ref="AA2:AC2"/>
    <mergeCell ref="AD2:AD3"/>
    <mergeCell ref="AE2:AH2"/>
    <mergeCell ref="AI2:AI3"/>
    <mergeCell ref="AD12:AD13"/>
    <mergeCell ref="AE12:AH12"/>
  </mergeCells>
  <phoneticPr fontId="1" type="noConversion"/>
  <conditionalFormatting sqref="L52:L53 L62:L63 L72:L73 L81:L82 L32:L33 L2:L29 L151:L1048576">
    <cfRule type="expression" dxfId="207" priority="57">
      <formula>EXACT("P",$L2)</formula>
    </cfRule>
    <cfRule type="expression" dxfId="206" priority="64">
      <formula>EXACT("C",$L2)</formula>
    </cfRule>
  </conditionalFormatting>
  <conditionalFormatting sqref="AJ117:AJ118 AJ127:AJ128 AJ137">
    <cfRule type="expression" dxfId="205" priority="69">
      <formula>EXACT("P",$L52)</formula>
    </cfRule>
    <cfRule type="expression" dxfId="204" priority="70">
      <formula>EXACT("C",$L52)</formula>
    </cfRule>
  </conditionalFormatting>
  <conditionalFormatting sqref="AJ148:AJ149">
    <cfRule type="expression" dxfId="203" priority="97">
      <formula>EXACT("P",$L52)</formula>
    </cfRule>
    <cfRule type="expression" dxfId="202" priority="98">
      <formula>EXACT("C",$L52)</formula>
    </cfRule>
  </conditionalFormatting>
  <conditionalFormatting sqref="AJ229:AJ230 AJ239:AJ240 AJ249:AJ250 AJ258:AJ259">
    <cfRule type="expression" dxfId="201" priority="105">
      <formula>EXACT("P",$L52)</formula>
    </cfRule>
    <cfRule type="expression" dxfId="200" priority="106">
      <formula>EXACT("C",$L52)</formula>
    </cfRule>
  </conditionalFormatting>
  <conditionalFormatting sqref="BH48">
    <cfRule type="expression" dxfId="199" priority="212">
      <formula>EXACT("P",$L53)</formula>
    </cfRule>
    <cfRule type="expression" dxfId="198" priority="213">
      <formula>EXACT("C",$L53)</formula>
    </cfRule>
  </conditionalFormatting>
  <conditionalFormatting sqref="X223:X224 X230">
    <cfRule type="expression" dxfId="197" priority="214">
      <formula>EXACT("P",$X2)</formula>
    </cfRule>
    <cfRule type="expression" dxfId="196" priority="215">
      <formula>EXACT("C",$X2)</formula>
    </cfRule>
  </conditionalFormatting>
  <conditionalFormatting sqref="X18:X19 X2:X4 X6:X7 X9:X15">
    <cfRule type="expression" dxfId="195" priority="226">
      <formula>EXACT("P",$X2)</formula>
    </cfRule>
    <cfRule type="expression" dxfId="194" priority="227">
      <formula>EXACT("C",$X2)</formula>
    </cfRule>
  </conditionalFormatting>
  <conditionalFormatting sqref="X225">
    <cfRule type="expression" dxfId="193" priority="248">
      <formula>EXACT("P",$X4)</formula>
    </cfRule>
    <cfRule type="expression" dxfId="192" priority="249">
      <formula>EXACT("C",$X4)</formula>
    </cfRule>
  </conditionalFormatting>
  <conditionalFormatting sqref="AJ2:AJ9 AJ12:AJ19 AJ22:AJ28 AJ31:AJ98">
    <cfRule type="expression" dxfId="191" priority="276">
      <formula>EXACT("P",$AJ2)</formula>
    </cfRule>
    <cfRule type="expression" dxfId="190" priority="277">
      <formula>EXACT("C",$AJ2)</formula>
    </cfRule>
  </conditionalFormatting>
  <conditionalFormatting sqref="AJ119:AJ126 AJ129:AJ136">
    <cfRule type="expression" dxfId="189" priority="280">
      <formula>EXACT("P",$AJ2)</formula>
    </cfRule>
    <cfRule type="expression" dxfId="188" priority="281">
      <formula>EXACT("C",$AJ2)</formula>
    </cfRule>
  </conditionalFormatting>
  <conditionalFormatting sqref="AJ150:AJ152">
    <cfRule type="expression" dxfId="187" priority="284">
      <formula>EXACT("P",$AJ2)</formula>
    </cfRule>
    <cfRule type="expression" dxfId="186" priority="285">
      <formula>EXACT("C",$AJ2)</formula>
    </cfRule>
  </conditionalFormatting>
  <conditionalFormatting sqref="AJ231:AJ238 AJ241:AJ248 AJ251:AJ257 AJ260:AJ271">
    <cfRule type="expression" dxfId="185" priority="288">
      <formula>EXACT("P",$AJ2)</formula>
    </cfRule>
    <cfRule type="expression" dxfId="184" priority="289">
      <formula>EXACT("C",$AJ2)</formula>
    </cfRule>
  </conditionalFormatting>
  <conditionalFormatting sqref="AJ204:AJ211 AJ195:AJ201 AJ214:AJ218">
    <cfRule type="expression" dxfId="183" priority="292">
      <formula>EXACT("P",$AJ3)</formula>
    </cfRule>
    <cfRule type="expression" dxfId="182" priority="293">
      <formula>EXACT("C",$AJ3)</formula>
    </cfRule>
  </conditionalFormatting>
  <conditionalFormatting sqref="X143:X144 X150:X152">
    <cfRule type="expression" dxfId="181" priority="296">
      <formula>EXACT("P",$X2)</formula>
    </cfRule>
    <cfRule type="expression" dxfId="180" priority="297">
      <formula>EXACT("C",$X2)</formula>
    </cfRule>
  </conditionalFormatting>
  <conditionalFormatting sqref="X158:X160">
    <cfRule type="expression" dxfId="179" priority="298">
      <formula>EXACT("P",$X12)</formula>
    </cfRule>
    <cfRule type="expression" dxfId="178" priority="299">
      <formula>EXACT("C",$X12)</formula>
    </cfRule>
  </conditionalFormatting>
  <conditionalFormatting sqref="X156">
    <cfRule type="expression" dxfId="177" priority="300">
      <formula>EXACT("P",$X12)</formula>
    </cfRule>
    <cfRule type="expression" dxfId="176" priority="301">
      <formula>EXACT("C",$X12)</formula>
    </cfRule>
  </conditionalFormatting>
  <conditionalFormatting sqref="X147 X155">
    <cfRule type="expression" dxfId="175" priority="302">
      <formula>EXACT("P",$X4)</formula>
    </cfRule>
    <cfRule type="expression" dxfId="174" priority="303">
      <formula>EXACT("C",$X4)</formula>
    </cfRule>
  </conditionalFormatting>
  <conditionalFormatting sqref="AJ146:AJ147">
    <cfRule type="expression" dxfId="173" priority="310">
      <formula>EXACT("P",$X18)</formula>
    </cfRule>
    <cfRule type="expression" dxfId="172" priority="311">
      <formula>EXACT("C",$X18)</formula>
    </cfRule>
  </conditionalFormatting>
  <conditionalFormatting sqref="X114:X115 X124:X125">
    <cfRule type="expression" dxfId="171" priority="318">
      <formula>EXACT("P",$X2)</formula>
    </cfRule>
    <cfRule type="expression" dxfId="170" priority="319">
      <formula>EXACT("C",$X2)</formula>
    </cfRule>
  </conditionalFormatting>
  <conditionalFormatting sqref="X131">
    <cfRule type="expression" dxfId="169" priority="320">
      <formula>EXACT("P",$X14)</formula>
    </cfRule>
    <cfRule type="expression" dxfId="168" priority="321">
      <formula>EXACT("C",$X14)</formula>
    </cfRule>
  </conditionalFormatting>
  <conditionalFormatting sqref="X130">
    <cfRule type="expression" dxfId="167" priority="322">
      <formula>EXACT("P",$X14)</formula>
    </cfRule>
    <cfRule type="expression" dxfId="166" priority="323">
      <formula>EXACT("C",$X14)</formula>
    </cfRule>
  </conditionalFormatting>
  <conditionalFormatting sqref="X129">
    <cfRule type="expression" dxfId="165" priority="324">
      <formula>EXACT("P",$X14)</formula>
    </cfRule>
    <cfRule type="expression" dxfId="164" priority="325">
      <formula>EXACT("C",$X14)</formula>
    </cfRule>
  </conditionalFormatting>
  <conditionalFormatting sqref="X118 X128">
    <cfRule type="expression" dxfId="163" priority="326">
      <formula>EXACT("P",$X4)</formula>
    </cfRule>
    <cfRule type="expression" dxfId="162" priority="327">
      <formula>EXACT("C",$X4)</formula>
    </cfRule>
  </conditionalFormatting>
  <conditionalFormatting sqref="AJ115:AJ116">
    <cfRule type="expression" dxfId="161" priority="340">
      <formula>EXACT("P",$X18)</formula>
    </cfRule>
    <cfRule type="expression" dxfId="160" priority="341">
      <formula>EXACT("C",$X18)</formula>
    </cfRule>
  </conditionalFormatting>
  <conditionalFormatting sqref="X178:X179">
    <cfRule type="expression" dxfId="159" priority="344">
      <formula>EXACT("P",$X2)</formula>
    </cfRule>
    <cfRule type="expression" dxfId="158" priority="345">
      <formula>EXACT("C",$X2)</formula>
    </cfRule>
  </conditionalFormatting>
  <conditionalFormatting sqref="X214">
    <cfRule type="expression" dxfId="157" priority="350">
      <formula>EXACT("P",$L52)</formula>
    </cfRule>
    <cfRule type="expression" dxfId="156" priority="351">
      <formula>EXACT("C",$L52)</formula>
    </cfRule>
  </conditionalFormatting>
  <conditionalFormatting sqref="X195:X196 X211:X212 X200">
    <cfRule type="expression" dxfId="155" priority="352">
      <formula>EXACT("P",$X2)</formula>
    </cfRule>
    <cfRule type="expression" dxfId="154" priority="353">
      <formula>EXACT("C",$X2)</formula>
    </cfRule>
  </conditionalFormatting>
  <conditionalFormatting sqref="AJ212:AJ213 AJ202:AJ203">
    <cfRule type="expression" dxfId="153" priority="356">
      <formula>EXACT("P",$L62)</formula>
    </cfRule>
    <cfRule type="expression" dxfId="152" priority="357">
      <formula>EXACT("C",$L62)</formula>
    </cfRule>
  </conditionalFormatting>
  <conditionalFormatting sqref="BH49">
    <cfRule type="expression" dxfId="151" priority="360">
      <formula>EXACT("P",$AJ2)</formula>
    </cfRule>
    <cfRule type="expression" dxfId="150" priority="361">
      <formula>EXACT("C",$AJ2)</formula>
    </cfRule>
  </conditionalFormatting>
  <conditionalFormatting sqref="AJ227:AJ228">
    <cfRule type="expression" dxfId="149" priority="372">
      <formula>EXACT("P",$X18)</formula>
    </cfRule>
    <cfRule type="expression" dxfId="148" priority="373">
      <formula>EXACT("C",$X18)</formula>
    </cfRule>
  </conditionalFormatting>
  <conditionalFormatting sqref="X161:X162">
    <cfRule type="expression" dxfId="147" priority="436">
      <formula>EXACT("P",$X13)</formula>
    </cfRule>
    <cfRule type="expression" dxfId="146" priority="437">
      <formula>EXACT("C",$X13)</formula>
    </cfRule>
  </conditionalFormatting>
  <conditionalFormatting sqref="X39">
    <cfRule type="expression" dxfId="145" priority="39">
      <formula>EXACT("P",$X1048468)</formula>
    </cfRule>
    <cfRule type="expression" dxfId="144" priority="40">
      <formula>EXACT("C",$X1048468)</formula>
    </cfRule>
  </conditionalFormatting>
  <conditionalFormatting sqref="X38">
    <cfRule type="expression" dxfId="143" priority="41">
      <formula>EXACT("P",$X1048468)</formula>
    </cfRule>
    <cfRule type="expression" dxfId="142" priority="42">
      <formula>EXACT("C",$X1048468)</formula>
    </cfRule>
  </conditionalFormatting>
  <conditionalFormatting sqref="X37">
    <cfRule type="expression" dxfId="141" priority="43">
      <formula>EXACT("P",$X1048468)</formula>
    </cfRule>
    <cfRule type="expression" dxfId="140" priority="44">
      <formula>EXACT("C",$X1048468)</formula>
    </cfRule>
  </conditionalFormatting>
  <conditionalFormatting sqref="X22:X24 X148:X149">
    <cfRule type="expression" dxfId="139" priority="476">
      <formula>EXACT("P",$X1048456)</formula>
    </cfRule>
    <cfRule type="expression" dxfId="138" priority="477">
      <formula>EXACT("C",$X1048456)</formula>
    </cfRule>
  </conditionalFormatting>
  <conditionalFormatting sqref="X25:X36">
    <cfRule type="expression" dxfId="137" priority="530">
      <formula>EXACT("P",$X1048457)</formula>
    </cfRule>
    <cfRule type="expression" dxfId="136" priority="531">
      <formula>EXACT("C",$X1048457)</formula>
    </cfRule>
  </conditionalFormatting>
  <conditionalFormatting sqref="X225:X226">
    <cfRule type="expression" dxfId="135" priority="625">
      <formula>EXACT("P",#REF!)</formula>
    </cfRule>
    <cfRule type="expression" dxfId="134" priority="626">
      <formula>EXACT("C",#REF!)</formula>
    </cfRule>
  </conditionalFormatting>
  <conditionalFormatting sqref="X145:X146">
    <cfRule type="expression" dxfId="133" priority="653">
      <formula>EXACT("P",#REF!)</formula>
    </cfRule>
    <cfRule type="expression" dxfId="132" priority="654">
      <formula>EXACT("C",#REF!)</formula>
    </cfRule>
  </conditionalFormatting>
  <conditionalFormatting sqref="X157">
    <cfRule type="expression" dxfId="131" priority="659">
      <formula>EXACT("P",$X12)</formula>
    </cfRule>
    <cfRule type="expression" dxfId="130" priority="660">
      <formula>EXACT("C",$X12)</formula>
    </cfRule>
  </conditionalFormatting>
  <conditionalFormatting sqref="AJ143:AJ145">
    <cfRule type="expression" dxfId="129" priority="665">
      <formula>EXACT("P",$X13)</formula>
    </cfRule>
    <cfRule type="expression" dxfId="128" priority="666">
      <formula>EXACT("C",$X13)</formula>
    </cfRule>
  </conditionalFormatting>
  <conditionalFormatting sqref="X116:X117">
    <cfRule type="expression" dxfId="127" priority="671">
      <formula>EXACT("P",#REF!)</formula>
    </cfRule>
    <cfRule type="expression" dxfId="126" priority="672">
      <formula>EXACT("C",#REF!)</formula>
    </cfRule>
  </conditionalFormatting>
  <conditionalFormatting sqref="X133">
    <cfRule type="expression" dxfId="125" priority="673">
      <formula>EXACT("P",$X14)</formula>
    </cfRule>
    <cfRule type="expression" dxfId="124" priority="674">
      <formula>EXACT("C",$X14)</formula>
    </cfRule>
  </conditionalFormatting>
  <conditionalFormatting sqref="X132">
    <cfRule type="expression" dxfId="123" priority="675">
      <formula>EXACT("P",$X14)</formula>
    </cfRule>
    <cfRule type="expression" dxfId="122" priority="676">
      <formula>EXACT("C",$X14)</formula>
    </cfRule>
  </conditionalFormatting>
  <conditionalFormatting sqref="AJ114">
    <cfRule type="expression" dxfId="121" priority="685">
      <formula>EXACT("P",$X15)</formula>
    </cfRule>
    <cfRule type="expression" dxfId="120" priority="686">
      <formula>EXACT("C",$X15)</formula>
    </cfRule>
  </conditionalFormatting>
  <conditionalFormatting sqref="X182">
    <cfRule type="expression" dxfId="119" priority="689">
      <formula>EXACT("P",$X4)</formula>
    </cfRule>
    <cfRule type="expression" dxfId="118" priority="690">
      <formula>EXACT("C",$X4)</formula>
    </cfRule>
  </conditionalFormatting>
  <conditionalFormatting sqref="X180:X181">
    <cfRule type="expression" dxfId="117" priority="691">
      <formula>EXACT("P",#REF!)</formula>
    </cfRule>
    <cfRule type="expression" dxfId="116" priority="692">
      <formula>EXACT("C",#REF!)</formula>
    </cfRule>
  </conditionalFormatting>
  <conditionalFormatting sqref="X199 X207:X210">
    <cfRule type="expression" dxfId="115" priority="695">
      <formula>EXACT("P",$X4)</formula>
    </cfRule>
    <cfRule type="expression" dxfId="114" priority="696">
      <formula>EXACT("C",$X4)</formula>
    </cfRule>
  </conditionalFormatting>
  <conditionalFormatting sqref="X197:X198">
    <cfRule type="expression" dxfId="113" priority="697">
      <formula>EXACT("P",#REF!)</formula>
    </cfRule>
    <cfRule type="expression" dxfId="112" priority="698">
      <formula>EXACT("C",#REF!)</formula>
    </cfRule>
  </conditionalFormatting>
  <conditionalFormatting sqref="AJ223:AJ226">
    <cfRule type="expression" dxfId="111" priority="703">
      <formula>EXACT("P",$X12)</formula>
    </cfRule>
    <cfRule type="expression" dxfId="110" priority="704">
      <formula>EXACT("C",$X12)</formula>
    </cfRule>
  </conditionalFormatting>
  <conditionalFormatting sqref="X164">
    <cfRule type="expression" dxfId="109" priority="705">
      <formula>EXACT("P",$X14)</formula>
    </cfRule>
    <cfRule type="expression" dxfId="108" priority="706">
      <formula>EXACT("C",$X14)</formula>
    </cfRule>
  </conditionalFormatting>
  <conditionalFormatting sqref="X163">
    <cfRule type="expression" dxfId="107" priority="707">
      <formula>EXACT("P",$X14)</formula>
    </cfRule>
    <cfRule type="expression" dxfId="106" priority="708">
      <formula>EXACT("C",$X14)</formula>
    </cfRule>
  </conditionalFormatting>
  <conditionalFormatting sqref="Y16">
    <cfRule type="expression" dxfId="105" priority="35">
      <formula>EXACT("P",$X16)</formula>
    </cfRule>
    <cfRule type="expression" dxfId="104" priority="36">
      <formula>EXACT("C",$X16)</formula>
    </cfRule>
  </conditionalFormatting>
  <conditionalFormatting sqref="X16">
    <cfRule type="expression" dxfId="103" priority="33">
      <formula>EXACT("P",$X16)</formula>
    </cfRule>
    <cfRule type="expression" dxfId="102" priority="34">
      <formula>EXACT("C",$X16)</formula>
    </cfRule>
  </conditionalFormatting>
  <conditionalFormatting sqref="X17">
    <cfRule type="expression" dxfId="101" priority="31">
      <formula>EXACT("P",$X17)</formula>
    </cfRule>
    <cfRule type="expression" dxfId="100" priority="32">
      <formula>EXACT("C",$X17)</formula>
    </cfRule>
  </conditionalFormatting>
  <conditionalFormatting sqref="X213">
    <cfRule type="expression" dxfId="99" priority="713">
      <formula>EXACT("P",$X19)</formula>
    </cfRule>
    <cfRule type="expression" dxfId="98" priority="714">
      <formula>EXACT("C",$X19)</formula>
    </cfRule>
  </conditionalFormatting>
  <conditionalFormatting sqref="AJ159:AJ160">
    <cfRule type="expression" dxfId="97" priority="19">
      <formula>EXACT("P",$L63)</formula>
    </cfRule>
    <cfRule type="expression" dxfId="96" priority="20">
      <formula>EXACT("C",$L63)</formula>
    </cfRule>
  </conditionalFormatting>
  <conditionalFormatting sqref="AJ161:AJ163">
    <cfRule type="expression" dxfId="95" priority="21">
      <formula>EXACT("P",$AJ13)</formula>
    </cfRule>
    <cfRule type="expression" dxfId="94" priority="22">
      <formula>EXACT("C",$AJ13)</formula>
    </cfRule>
  </conditionalFormatting>
  <conditionalFormatting sqref="AJ157:AJ158">
    <cfRule type="expression" dxfId="93" priority="23">
      <formula>EXACT("P",$X29)</formula>
    </cfRule>
    <cfRule type="expression" dxfId="92" priority="24">
      <formula>EXACT("C",$X29)</formula>
    </cfRule>
  </conditionalFormatting>
  <conditionalFormatting sqref="AJ154:AJ156">
    <cfRule type="expression" dxfId="91" priority="25">
      <formula>EXACT("P",$X24)</formula>
    </cfRule>
    <cfRule type="expression" dxfId="90" priority="26">
      <formula>EXACT("C",$X24)</formula>
    </cfRule>
  </conditionalFormatting>
  <conditionalFormatting sqref="AJ170:AJ171">
    <cfRule type="expression" dxfId="89" priority="11">
      <formula>EXACT("P",$L74)</formula>
    </cfRule>
    <cfRule type="expression" dxfId="88" priority="12">
      <formula>EXACT("C",$L74)</formula>
    </cfRule>
  </conditionalFormatting>
  <conditionalFormatting sqref="AJ172:AJ174">
    <cfRule type="expression" dxfId="87" priority="13">
      <formula>EXACT("P",$AJ24)</formula>
    </cfRule>
    <cfRule type="expression" dxfId="86" priority="14">
      <formula>EXACT("C",$AJ24)</formula>
    </cfRule>
  </conditionalFormatting>
  <conditionalFormatting sqref="AJ168:AJ169">
    <cfRule type="expression" dxfId="85" priority="15">
      <formula>EXACT("P",$X40)</formula>
    </cfRule>
    <cfRule type="expression" dxfId="84" priority="16">
      <formula>EXACT("C",$X40)</formula>
    </cfRule>
  </conditionalFormatting>
  <conditionalFormatting sqref="AJ165:AJ167">
    <cfRule type="expression" dxfId="83" priority="17">
      <formula>EXACT("P",$X35)</formula>
    </cfRule>
    <cfRule type="expression" dxfId="82" priority="18">
      <formula>EXACT("C",$X35)</formula>
    </cfRule>
  </conditionalFormatting>
  <conditionalFormatting sqref="AJ100:AJ108">
    <cfRule type="expression" dxfId="81" priority="9">
      <formula>EXACT("P",$AJ100)</formula>
    </cfRule>
    <cfRule type="expression" dxfId="80" priority="10">
      <formula>EXACT("C",$AJ100)</formula>
    </cfRule>
  </conditionalFormatting>
  <conditionalFormatting sqref="X229">
    <cfRule type="expression" dxfId="79" priority="792">
      <formula>EXACT("P",$X7)</formula>
    </cfRule>
    <cfRule type="expression" dxfId="78" priority="793">
      <formula>EXACT("C",$X7)</formula>
    </cfRule>
  </conditionalFormatting>
  <conditionalFormatting sqref="X153:X154">
    <cfRule type="expression" dxfId="77" priority="800">
      <formula>EXACT("P",#REF!)</formula>
    </cfRule>
    <cfRule type="expression" dxfId="76" priority="801">
      <formula>EXACT("C",#REF!)</formula>
    </cfRule>
  </conditionalFormatting>
  <conditionalFormatting sqref="X119:X120">
    <cfRule type="expression" dxfId="75" priority="806">
      <formula>EXACT("P",$X6)</formula>
    </cfRule>
    <cfRule type="expression" dxfId="74" priority="807">
      <formula>EXACT("C",$X6)</formula>
    </cfRule>
  </conditionalFormatting>
  <conditionalFormatting sqref="X122:X123">
    <cfRule type="expression" dxfId="73" priority="808">
      <formula>EXACT("P",#REF!)</formula>
    </cfRule>
    <cfRule type="expression" dxfId="72" priority="809">
      <formula>EXACT("C",#REF!)</formula>
    </cfRule>
  </conditionalFormatting>
  <conditionalFormatting sqref="X183">
    <cfRule type="expression" dxfId="71" priority="814">
      <formula>EXACT("P",$X6)</formula>
    </cfRule>
    <cfRule type="expression" dxfId="70" priority="815">
      <formula>EXACT("C",$X6)</formula>
    </cfRule>
  </conditionalFormatting>
  <conditionalFormatting sqref="X206 X204">
    <cfRule type="expression" dxfId="69" priority="820">
      <formula>EXACT("P",#REF!)</formula>
    </cfRule>
    <cfRule type="expression" dxfId="68" priority="821">
      <formula>EXACT("C",#REF!)</formula>
    </cfRule>
  </conditionalFormatting>
  <conditionalFormatting sqref="X237">
    <cfRule type="expression" dxfId="67" priority="830">
      <formula>EXACT("P",#REF!)</formula>
    </cfRule>
    <cfRule type="expression" dxfId="66" priority="831">
      <formula>EXACT("C",#REF!)</formula>
    </cfRule>
  </conditionalFormatting>
  <conditionalFormatting sqref="X236">
    <cfRule type="expression" dxfId="65" priority="832">
      <formula>EXACT("P",#REF!)</formula>
    </cfRule>
    <cfRule type="expression" dxfId="64" priority="833">
      <formula>EXACT("C",#REF!)</formula>
    </cfRule>
  </conditionalFormatting>
  <conditionalFormatting sqref="X235">
    <cfRule type="expression" dxfId="63" priority="834">
      <formula>EXACT("P",#REF!)</formula>
    </cfRule>
    <cfRule type="expression" dxfId="62" priority="835">
      <formula>EXACT("C",#REF!)</formula>
    </cfRule>
  </conditionalFormatting>
  <conditionalFormatting sqref="X239">
    <cfRule type="expression" dxfId="61" priority="838">
      <formula>EXACT("P",#REF!)</formula>
    </cfRule>
    <cfRule type="expression" dxfId="60" priority="839">
      <formula>EXACT("C",#REF!)</formula>
    </cfRule>
  </conditionalFormatting>
  <conditionalFormatting sqref="X240">
    <cfRule type="expression" dxfId="59" priority="840">
      <formula>EXACT("P",#REF!)</formula>
    </cfRule>
    <cfRule type="expression" dxfId="58" priority="841">
      <formula>EXACT("C",#REF!)</formula>
    </cfRule>
  </conditionalFormatting>
  <conditionalFormatting sqref="X238">
    <cfRule type="expression" dxfId="57" priority="842">
      <formula>EXACT("P",#REF!)</formula>
    </cfRule>
    <cfRule type="expression" dxfId="56" priority="843">
      <formula>EXACT("C",#REF!)</formula>
    </cfRule>
  </conditionalFormatting>
  <conditionalFormatting sqref="X241">
    <cfRule type="expression" dxfId="55" priority="856">
      <formula>EXACT("P",#REF!)</formula>
    </cfRule>
    <cfRule type="expression" dxfId="54" priority="857">
      <formula>EXACT("C",#REF!)</formula>
    </cfRule>
  </conditionalFormatting>
  <conditionalFormatting sqref="X242">
    <cfRule type="expression" dxfId="53" priority="858">
      <formula>EXACT("P",#REF!)</formula>
    </cfRule>
    <cfRule type="expression" dxfId="52" priority="859">
      <formula>EXACT("C",#REF!)</formula>
    </cfRule>
  </conditionalFormatting>
  <conditionalFormatting sqref="X121">
    <cfRule type="expression" dxfId="51" priority="864">
      <formula>EXACT("P",$X11)</formula>
    </cfRule>
    <cfRule type="expression" dxfId="50" priority="865">
      <formula>EXACT("C",$X11)</formula>
    </cfRule>
  </conditionalFormatting>
  <conditionalFormatting sqref="X226">
    <cfRule type="expression" dxfId="49" priority="870">
      <formula>EXACT("P",$X6)</formula>
    </cfRule>
    <cfRule type="expression" dxfId="48" priority="871">
      <formula>EXACT("C",$X6)</formula>
    </cfRule>
  </conditionalFormatting>
  <conditionalFormatting sqref="X227">
    <cfRule type="expression" dxfId="47" priority="5">
      <formula>EXACT("P",#REF!)</formula>
    </cfRule>
    <cfRule type="expression" dxfId="46" priority="6">
      <formula>EXACT("C",#REF!)</formula>
    </cfRule>
  </conditionalFormatting>
  <conditionalFormatting sqref="X227">
    <cfRule type="expression" dxfId="45" priority="7">
      <formula>EXACT("P",$X7)</formula>
    </cfRule>
    <cfRule type="expression" dxfId="44" priority="8">
      <formula>EXACT("C",$X7)</formula>
    </cfRule>
  </conditionalFormatting>
  <conditionalFormatting sqref="X201:X203">
    <cfRule type="expression" dxfId="43" priority="1118">
      <formula>EXACT("P",$X9)</formula>
    </cfRule>
    <cfRule type="expression" dxfId="42" priority="1119">
      <formula>EXACT("C",$X9)</formula>
    </cfRule>
  </conditionalFormatting>
  <conditionalFormatting sqref="X233:X234">
    <cfRule type="expression" dxfId="41" priority="1124">
      <formula>EXACT("P",$X10)</formula>
    </cfRule>
    <cfRule type="expression" dxfId="40" priority="1125">
      <formula>EXACT("C",$X10)</formula>
    </cfRule>
  </conditionalFormatting>
  <conditionalFormatting sqref="X228">
    <cfRule type="expression" dxfId="39" priority="3">
      <formula>EXACT("P",$X6)</formula>
    </cfRule>
    <cfRule type="expression" dxfId="38" priority="4">
      <formula>EXACT("C",$X6)</formula>
    </cfRule>
  </conditionalFormatting>
  <conditionalFormatting sqref="X231">
    <cfRule type="expression" dxfId="37" priority="1">
      <formula>EXACT("P",$X10)</formula>
    </cfRule>
    <cfRule type="expression" dxfId="36" priority="2">
      <formula>EXACT("C",$X10)</formula>
    </cfRule>
  </conditionalFormatting>
  <pageMargins left="0.25" right="0.25" top="0.75" bottom="0.75" header="0.3" footer="0.3"/>
  <pageSetup paperSize="9" scale="17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1:BT92"/>
  <sheetViews>
    <sheetView topLeftCell="C9" zoomScale="70" zoomScaleNormal="70" workbookViewId="0">
      <selection activeCell="C9" sqref="C9"/>
    </sheetView>
  </sheetViews>
  <sheetFormatPr defaultColWidth="8.625" defaultRowHeight="24.95" customHeight="1"/>
  <cols>
    <col min="1" max="1" width="8.625" style="157"/>
    <col min="2" max="2" width="10.625" style="157" customWidth="1"/>
    <col min="3" max="3" width="30.625" style="156" customWidth="1"/>
    <col min="4" max="4" width="100.625" style="157" customWidth="1"/>
    <col min="5" max="5" width="10.625" style="156" customWidth="1"/>
    <col min="6" max="6" width="30.625" style="157" customWidth="1"/>
    <col min="7" max="10" width="5.625" style="157" customWidth="1"/>
    <col min="11" max="11" width="20.625" style="156" customWidth="1"/>
    <col min="12" max="12" width="5.625" style="157" customWidth="1"/>
    <col min="13" max="13" width="8.625" style="157"/>
    <col min="14" max="14" width="10.625" style="157" customWidth="1"/>
    <col min="15" max="15" width="30.625" style="157" customWidth="1"/>
    <col min="16" max="16" width="100.625" style="157" customWidth="1"/>
    <col min="17" max="17" width="10.625" style="157" customWidth="1"/>
    <col min="18" max="18" width="30.625" style="157" customWidth="1"/>
    <col min="19" max="22" width="5.625" style="157" customWidth="1"/>
    <col min="23" max="23" width="20.625" style="157" customWidth="1"/>
    <col min="24" max="24" width="5.625" style="157" customWidth="1"/>
    <col min="25" max="25" width="8.625" style="157"/>
    <col min="26" max="26" width="10.625" style="157" customWidth="1"/>
    <col min="27" max="27" width="30.625" style="157" customWidth="1"/>
    <col min="28" max="28" width="100.625" style="157" customWidth="1"/>
    <col min="29" max="29" width="10.625" style="157" customWidth="1"/>
    <col min="30" max="30" width="30.625" style="157" customWidth="1"/>
    <col min="31" max="34" width="5.625" style="157" customWidth="1"/>
    <col min="35" max="35" width="20.625" style="157" customWidth="1"/>
    <col min="36" max="36" width="5.625" style="157" customWidth="1"/>
    <col min="37" max="39" width="8.625" style="157"/>
    <col min="40" max="40" width="44" style="157" customWidth="1"/>
    <col min="41" max="41" width="11.375" style="157" bestFit="1" customWidth="1"/>
    <col min="42" max="42" width="13.875" style="157" bestFit="1" customWidth="1"/>
    <col min="43" max="51" width="8.625" style="157"/>
    <col min="52" max="52" width="68.375" style="157" customWidth="1"/>
    <col min="53" max="53" width="11.375" style="157" bestFit="1" customWidth="1"/>
    <col min="54" max="16384" width="8.625" style="157"/>
  </cols>
  <sheetData>
    <row r="1" spans="2:72" s="153" customFormat="1" ht="24.95" customHeight="1" thickBot="1">
      <c r="B1" s="153" t="s">
        <v>226</v>
      </c>
      <c r="C1" s="154" t="s">
        <v>227</v>
      </c>
      <c r="D1" s="154" t="s">
        <v>228</v>
      </c>
      <c r="E1" s="155" t="s">
        <v>226</v>
      </c>
      <c r="F1" s="153" t="s">
        <v>227</v>
      </c>
      <c r="G1" s="153" t="s">
        <v>229</v>
      </c>
      <c r="H1" s="153" t="s">
        <v>229</v>
      </c>
      <c r="I1" s="153" t="s">
        <v>229</v>
      </c>
      <c r="J1" s="153" t="s">
        <v>229</v>
      </c>
      <c r="K1" s="153" t="s">
        <v>230</v>
      </c>
      <c r="L1" s="153" t="s">
        <v>229</v>
      </c>
      <c r="N1" s="153" t="s">
        <v>226</v>
      </c>
      <c r="O1" s="154" t="s">
        <v>227</v>
      </c>
      <c r="P1" s="154" t="s">
        <v>228</v>
      </c>
      <c r="Q1" s="155" t="s">
        <v>226</v>
      </c>
      <c r="R1" s="153" t="s">
        <v>227</v>
      </c>
      <c r="S1" s="153" t="s">
        <v>229</v>
      </c>
      <c r="T1" s="153" t="s">
        <v>229</v>
      </c>
      <c r="U1" s="153" t="s">
        <v>229</v>
      </c>
      <c r="V1" s="153" t="s">
        <v>229</v>
      </c>
      <c r="W1" s="153" t="s">
        <v>230</v>
      </c>
      <c r="X1" s="153" t="s">
        <v>229</v>
      </c>
      <c r="Z1" s="153" t="s">
        <v>226</v>
      </c>
      <c r="AA1" s="154" t="s">
        <v>227</v>
      </c>
      <c r="AB1" s="154" t="s">
        <v>228</v>
      </c>
      <c r="AC1" s="155" t="s">
        <v>226</v>
      </c>
      <c r="AD1" s="153" t="s">
        <v>227</v>
      </c>
      <c r="AE1" s="153" t="s">
        <v>229</v>
      </c>
      <c r="AF1" s="153" t="s">
        <v>229</v>
      </c>
      <c r="AG1" s="153" t="s">
        <v>229</v>
      </c>
      <c r="AH1" s="153" t="s">
        <v>229</v>
      </c>
      <c r="AI1" s="153" t="s">
        <v>230</v>
      </c>
      <c r="AJ1" s="153" t="s">
        <v>229</v>
      </c>
      <c r="AL1" s="153" t="s">
        <v>226</v>
      </c>
      <c r="AM1" s="154" t="s">
        <v>227</v>
      </c>
      <c r="AN1" s="154" t="s">
        <v>228</v>
      </c>
      <c r="AO1" s="155" t="s">
        <v>226</v>
      </c>
      <c r="AP1" s="153" t="s">
        <v>227</v>
      </c>
      <c r="AQ1" s="153" t="s">
        <v>229</v>
      </c>
      <c r="AR1" s="153" t="s">
        <v>229</v>
      </c>
      <c r="AS1" s="153" t="s">
        <v>229</v>
      </c>
      <c r="AT1" s="153" t="s">
        <v>229</v>
      </c>
      <c r="AU1" s="153" t="s">
        <v>230</v>
      </c>
      <c r="AV1" s="153" t="s">
        <v>229</v>
      </c>
      <c r="AX1" s="153" t="s">
        <v>226</v>
      </c>
      <c r="AY1" s="154" t="s">
        <v>227</v>
      </c>
      <c r="AZ1" s="154" t="s">
        <v>228</v>
      </c>
      <c r="BA1" s="155" t="s">
        <v>226</v>
      </c>
      <c r="BB1" s="153" t="s">
        <v>227</v>
      </c>
      <c r="BC1" s="153" t="s">
        <v>229</v>
      </c>
      <c r="BD1" s="153" t="s">
        <v>229</v>
      </c>
      <c r="BE1" s="153" t="s">
        <v>229</v>
      </c>
      <c r="BF1" s="153" t="s">
        <v>229</v>
      </c>
      <c r="BG1" s="153" t="s">
        <v>230</v>
      </c>
      <c r="BH1" s="153" t="s">
        <v>229</v>
      </c>
      <c r="BJ1" s="153" t="s">
        <v>226</v>
      </c>
      <c r="BK1" s="154" t="s">
        <v>227</v>
      </c>
      <c r="BL1" s="154" t="s">
        <v>228</v>
      </c>
      <c r="BM1" s="155" t="s">
        <v>226</v>
      </c>
      <c r="BN1" s="153" t="s">
        <v>227</v>
      </c>
      <c r="BO1" s="153" t="s">
        <v>229</v>
      </c>
      <c r="BP1" s="153" t="s">
        <v>229</v>
      </c>
      <c r="BQ1" s="153" t="s">
        <v>229</v>
      </c>
      <c r="BR1" s="153" t="s">
        <v>229</v>
      </c>
      <c r="BS1" s="153" t="s">
        <v>230</v>
      </c>
      <c r="BT1" s="153" t="s">
        <v>229</v>
      </c>
    </row>
    <row r="2" spans="2:72" s="20" customFormat="1" ht="24.95" customHeight="1">
      <c r="B2" s="442" t="s">
        <v>73</v>
      </c>
      <c r="C2" s="535" t="s">
        <v>120</v>
      </c>
      <c r="D2" s="535"/>
      <c r="E2" s="535"/>
      <c r="F2" s="462" t="s">
        <v>62</v>
      </c>
      <c r="G2" s="472" t="s">
        <v>63</v>
      </c>
      <c r="H2" s="472"/>
      <c r="I2" s="472"/>
      <c r="J2" s="472"/>
      <c r="K2" s="472" t="s">
        <v>85</v>
      </c>
      <c r="L2" s="469" t="s">
        <v>64</v>
      </c>
      <c r="N2" s="210" t="s">
        <v>78</v>
      </c>
      <c r="O2" s="483" t="s">
        <v>113</v>
      </c>
      <c r="P2" s="483"/>
      <c r="Q2" s="483"/>
      <c r="R2" s="451" t="s">
        <v>62</v>
      </c>
      <c r="S2" s="453" t="s">
        <v>63</v>
      </c>
      <c r="T2" s="453"/>
      <c r="U2" s="453"/>
      <c r="V2" s="453"/>
      <c r="W2" s="472" t="s">
        <v>85</v>
      </c>
      <c r="X2" s="454" t="s">
        <v>64</v>
      </c>
      <c r="Z2" s="214" t="s">
        <v>87</v>
      </c>
      <c r="AA2" s="477" t="s">
        <v>93</v>
      </c>
      <c r="AB2" s="477"/>
      <c r="AC2" s="477"/>
      <c r="AD2" s="451" t="s">
        <v>62</v>
      </c>
      <c r="AE2" s="453" t="s">
        <v>63</v>
      </c>
      <c r="AF2" s="453"/>
      <c r="AG2" s="453"/>
      <c r="AH2" s="453"/>
      <c r="AI2" s="453" t="s">
        <v>85</v>
      </c>
      <c r="AJ2" s="454" t="s">
        <v>64</v>
      </c>
    </row>
    <row r="3" spans="2:72" s="20" customFormat="1" ht="24.95" customHeight="1">
      <c r="B3" s="407" t="s">
        <v>80</v>
      </c>
      <c r="C3" s="441" t="s">
        <v>65</v>
      </c>
      <c r="D3" s="441" t="s">
        <v>66</v>
      </c>
      <c r="E3" s="443" t="s">
        <v>67</v>
      </c>
      <c r="F3" s="534"/>
      <c r="G3" s="441" t="s">
        <v>68</v>
      </c>
      <c r="H3" s="441" t="s">
        <v>69</v>
      </c>
      <c r="I3" s="441" t="s">
        <v>70</v>
      </c>
      <c r="J3" s="441" t="s">
        <v>71</v>
      </c>
      <c r="K3" s="473"/>
      <c r="L3" s="486"/>
      <c r="N3" s="194" t="s">
        <v>80</v>
      </c>
      <c r="O3" s="141" t="s">
        <v>65</v>
      </c>
      <c r="P3" s="141" t="s">
        <v>66</v>
      </c>
      <c r="Q3" s="146" t="s">
        <v>67</v>
      </c>
      <c r="R3" s="478"/>
      <c r="S3" s="141" t="s">
        <v>68</v>
      </c>
      <c r="T3" s="141" t="s">
        <v>69</v>
      </c>
      <c r="U3" s="141" t="s">
        <v>70</v>
      </c>
      <c r="V3" s="141" t="s">
        <v>71</v>
      </c>
      <c r="W3" s="482"/>
      <c r="X3" s="481"/>
      <c r="Z3" s="194" t="s">
        <v>80</v>
      </c>
      <c r="AA3" s="141" t="s">
        <v>65</v>
      </c>
      <c r="AB3" s="141" t="s">
        <v>66</v>
      </c>
      <c r="AC3" s="141" t="s">
        <v>67</v>
      </c>
      <c r="AD3" s="519"/>
      <c r="AE3" s="141" t="s">
        <v>68</v>
      </c>
      <c r="AF3" s="141" t="s">
        <v>69</v>
      </c>
      <c r="AG3" s="141" t="s">
        <v>70</v>
      </c>
      <c r="AH3" s="141" t="s">
        <v>71</v>
      </c>
      <c r="AI3" s="478"/>
      <c r="AJ3" s="481"/>
    </row>
    <row r="4" spans="2:72" ht="24.95" customHeight="1">
      <c r="B4" s="182" t="s">
        <v>982</v>
      </c>
      <c r="C4" s="43" t="s">
        <v>308</v>
      </c>
      <c r="D4" s="3" t="s">
        <v>973</v>
      </c>
      <c r="E4" s="43" t="str">
        <f>Mission!B30</f>
        <v>TSE-014</v>
      </c>
      <c r="F4" s="439"/>
      <c r="G4" s="124"/>
      <c r="H4" s="124"/>
      <c r="I4" s="124"/>
      <c r="J4" s="124"/>
      <c r="K4" s="124"/>
      <c r="L4" s="326"/>
      <c r="M4" s="156"/>
      <c r="N4" s="182" t="str">
        <f>B38</f>
        <v>ABP-001</v>
      </c>
      <c r="O4" s="31" t="s">
        <v>304</v>
      </c>
      <c r="P4" s="87" t="s">
        <v>303</v>
      </c>
      <c r="Q4" s="30" t="str">
        <f>B38</f>
        <v>ABP-001</v>
      </c>
      <c r="R4" s="59" t="s">
        <v>318</v>
      </c>
      <c r="S4" s="31"/>
      <c r="T4" s="129" t="s">
        <v>400</v>
      </c>
      <c r="U4" s="112"/>
      <c r="V4" s="112"/>
      <c r="W4" s="31"/>
      <c r="X4" s="192"/>
      <c r="Z4" s="182" t="s">
        <v>122</v>
      </c>
      <c r="AA4" s="30"/>
      <c r="AB4" s="112"/>
      <c r="AC4" s="31"/>
      <c r="AD4" s="70"/>
      <c r="AE4" s="67"/>
      <c r="AF4" s="67"/>
      <c r="AG4" s="67"/>
      <c r="AH4" s="67"/>
      <c r="AI4" s="67"/>
      <c r="AJ4" s="256"/>
    </row>
    <row r="5" spans="2:72" ht="24.95" customHeight="1">
      <c r="B5" s="182" t="s">
        <v>983</v>
      </c>
      <c r="C5" s="43" t="s">
        <v>718</v>
      </c>
      <c r="D5" s="440" t="s">
        <v>968</v>
      </c>
      <c r="E5" s="43" t="str">
        <f>Mission!B30</f>
        <v>TSE-014</v>
      </c>
      <c r="F5" s="37" t="s">
        <v>320</v>
      </c>
      <c r="G5" s="124"/>
      <c r="H5" s="124"/>
      <c r="I5" s="124"/>
      <c r="J5" s="124"/>
      <c r="K5" s="124"/>
      <c r="L5" s="326"/>
      <c r="M5" s="156"/>
      <c r="N5" s="182" t="str">
        <f>B39</f>
        <v>ABP-002</v>
      </c>
      <c r="O5" s="31" t="s">
        <v>411</v>
      </c>
      <c r="P5" s="87" t="s">
        <v>1011</v>
      </c>
      <c r="Q5" s="30" t="str">
        <f>B39</f>
        <v>ABP-002</v>
      </c>
      <c r="R5" s="30" t="s">
        <v>319</v>
      </c>
      <c r="S5" s="31"/>
      <c r="T5" s="31"/>
      <c r="U5" s="129" t="s">
        <v>400</v>
      </c>
      <c r="V5" s="31"/>
      <c r="W5" s="31"/>
      <c r="X5" s="192"/>
      <c r="Z5" s="182" t="s">
        <v>88</v>
      </c>
      <c r="AA5" s="30"/>
      <c r="AB5" s="74"/>
      <c r="AC5" s="30"/>
      <c r="AD5" s="70"/>
      <c r="AE5" s="67"/>
      <c r="AF5" s="111"/>
      <c r="AG5" s="67"/>
      <c r="AH5" s="67"/>
      <c r="AI5" s="67"/>
      <c r="AJ5" s="256"/>
    </row>
    <row r="6" spans="2:72" ht="24.95" customHeight="1">
      <c r="B6" s="182" t="s">
        <v>178</v>
      </c>
      <c r="C6" s="43" t="s">
        <v>976</v>
      </c>
      <c r="D6" s="440" t="s">
        <v>969</v>
      </c>
      <c r="E6" s="43" t="str">
        <f>Mission!B30</f>
        <v>TSE-014</v>
      </c>
      <c r="F6" s="37" t="s">
        <v>320</v>
      </c>
      <c r="G6" s="124"/>
      <c r="H6" s="124"/>
      <c r="I6" s="124"/>
      <c r="J6" s="124"/>
      <c r="K6" s="124"/>
      <c r="L6" s="326"/>
      <c r="M6" s="156"/>
      <c r="N6" s="182" t="s">
        <v>326</v>
      </c>
      <c r="O6" s="31" t="s">
        <v>412</v>
      </c>
      <c r="P6" s="87" t="s">
        <v>338</v>
      </c>
      <c r="Q6" s="30" t="str">
        <f>B27</f>
        <v>GRD-001</v>
      </c>
      <c r="R6" s="30" t="s">
        <v>324</v>
      </c>
      <c r="S6" s="31"/>
      <c r="T6" s="129" t="s">
        <v>400</v>
      </c>
      <c r="U6" s="31"/>
      <c r="V6" s="31"/>
      <c r="W6" s="31"/>
      <c r="X6" s="192"/>
      <c r="Z6" s="182" t="s">
        <v>88</v>
      </c>
      <c r="AA6" s="70"/>
      <c r="AB6" s="71"/>
      <c r="AC6" s="30"/>
      <c r="AD6" s="70"/>
      <c r="AE6" s="72"/>
      <c r="AF6" s="111"/>
      <c r="AG6" s="67"/>
      <c r="AH6" s="67"/>
      <c r="AI6" s="67"/>
      <c r="AJ6" s="256"/>
    </row>
    <row r="7" spans="2:72" ht="24.95" customHeight="1">
      <c r="B7" s="182" t="s">
        <v>179</v>
      </c>
      <c r="C7" s="43" t="s">
        <v>1003</v>
      </c>
      <c r="D7" s="440" t="s">
        <v>1005</v>
      </c>
      <c r="E7" s="43" t="str">
        <f>Mission!B30</f>
        <v>TSE-014</v>
      </c>
      <c r="F7" s="37" t="s">
        <v>320</v>
      </c>
      <c r="G7" s="124"/>
      <c r="H7" s="124"/>
      <c r="I7" s="124"/>
      <c r="J7" s="124"/>
      <c r="K7" s="124"/>
      <c r="L7" s="326"/>
      <c r="M7" s="156"/>
      <c r="N7" s="182" t="s">
        <v>327</v>
      </c>
      <c r="O7" s="31" t="s">
        <v>413</v>
      </c>
      <c r="P7" s="87" t="s">
        <v>339</v>
      </c>
      <c r="Q7" s="30" t="str">
        <f>B27</f>
        <v>GRD-001</v>
      </c>
      <c r="R7" s="31" t="s">
        <v>320</v>
      </c>
      <c r="S7" s="31"/>
      <c r="T7" s="31"/>
      <c r="U7" s="31"/>
      <c r="V7" s="129" t="s">
        <v>400</v>
      </c>
      <c r="W7" s="31"/>
      <c r="X7" s="192"/>
      <c r="Z7" s="182" t="s">
        <v>88</v>
      </c>
      <c r="AA7" s="70"/>
      <c r="AB7" s="71"/>
      <c r="AC7" s="70"/>
      <c r="AD7" s="70"/>
      <c r="AE7" s="72"/>
      <c r="AF7" s="111"/>
      <c r="AG7" s="67"/>
      <c r="AH7" s="67"/>
      <c r="AI7" s="67"/>
      <c r="AJ7" s="256"/>
    </row>
    <row r="8" spans="2:72" ht="24.95" customHeight="1">
      <c r="B8" s="182" t="s">
        <v>179</v>
      </c>
      <c r="C8" s="43" t="s">
        <v>1004</v>
      </c>
      <c r="D8" s="440" t="s">
        <v>1006</v>
      </c>
      <c r="E8" s="43" t="str">
        <f>Mission!B30</f>
        <v>TSE-014</v>
      </c>
      <c r="F8" s="37" t="s">
        <v>320</v>
      </c>
      <c r="G8" s="124"/>
      <c r="H8" s="124"/>
      <c r="I8" s="124"/>
      <c r="J8" s="124"/>
      <c r="K8" s="124"/>
      <c r="L8" s="326"/>
      <c r="M8" s="156"/>
      <c r="N8" s="182" t="s">
        <v>328</v>
      </c>
      <c r="O8" s="31" t="s">
        <v>414</v>
      </c>
      <c r="P8" s="87" t="s">
        <v>340</v>
      </c>
      <c r="Q8" s="30" t="str">
        <f>B27</f>
        <v>GRD-001</v>
      </c>
      <c r="R8" s="30" t="s">
        <v>320</v>
      </c>
      <c r="S8" s="31"/>
      <c r="T8" s="31"/>
      <c r="U8" s="31"/>
      <c r="V8" s="129" t="s">
        <v>400</v>
      </c>
      <c r="W8" s="31"/>
      <c r="X8" s="192"/>
      <c r="Z8" s="182" t="s">
        <v>88</v>
      </c>
      <c r="AA8" s="70"/>
      <c r="AB8" s="71"/>
      <c r="AC8" s="67"/>
      <c r="AD8" s="70"/>
      <c r="AE8" s="72"/>
      <c r="AF8" s="111"/>
      <c r="AG8" s="67"/>
      <c r="AH8" s="67"/>
      <c r="AI8" s="67"/>
      <c r="AJ8" s="256"/>
    </row>
    <row r="9" spans="2:72" s="20" customFormat="1" ht="24.95" customHeight="1" thickBot="1">
      <c r="B9" s="182" t="s">
        <v>180</v>
      </c>
      <c r="C9" s="43" t="s">
        <v>980</v>
      </c>
      <c r="D9" s="440" t="s">
        <v>996</v>
      </c>
      <c r="E9" s="43" t="str">
        <f>Mission!B30</f>
        <v>TSE-014</v>
      </c>
      <c r="F9" s="37" t="s">
        <v>320</v>
      </c>
      <c r="G9" s="124"/>
      <c r="H9" s="124"/>
      <c r="I9" s="124"/>
      <c r="J9" s="124"/>
      <c r="K9" s="124"/>
      <c r="L9" s="326"/>
      <c r="N9" s="182" t="s">
        <v>329</v>
      </c>
      <c r="O9" s="31" t="s">
        <v>415</v>
      </c>
      <c r="P9" s="87" t="s">
        <v>341</v>
      </c>
      <c r="Q9" s="30" t="str">
        <f>B27</f>
        <v>GRD-001</v>
      </c>
      <c r="R9" s="31" t="s">
        <v>320</v>
      </c>
      <c r="S9" s="31"/>
      <c r="T9" s="31"/>
      <c r="U9" s="31"/>
      <c r="V9" s="129" t="s">
        <v>400</v>
      </c>
      <c r="W9" s="31"/>
      <c r="X9" s="192"/>
      <c r="Y9" s="302" t="s">
        <v>266</v>
      </c>
      <c r="Z9" s="184"/>
      <c r="AA9" s="257"/>
      <c r="AB9" s="268"/>
      <c r="AC9" s="258"/>
      <c r="AD9" s="257"/>
      <c r="AE9" s="269"/>
      <c r="AF9" s="269"/>
      <c r="AG9" s="258"/>
      <c r="AH9" s="269"/>
      <c r="AI9" s="269"/>
      <c r="AJ9" s="270"/>
    </row>
    <row r="10" spans="2:72" s="20" customFormat="1" ht="24.95" customHeight="1">
      <c r="B10" s="182" t="s">
        <v>181</v>
      </c>
      <c r="C10" s="43" t="s">
        <v>997</v>
      </c>
      <c r="D10" s="440" t="s">
        <v>999</v>
      </c>
      <c r="E10" s="43" t="str">
        <f>Mission!B30</f>
        <v>TSE-014</v>
      </c>
      <c r="F10" s="37" t="s">
        <v>325</v>
      </c>
      <c r="G10" s="124"/>
      <c r="H10" s="124"/>
      <c r="I10" s="124"/>
      <c r="J10" s="124"/>
      <c r="K10" s="124"/>
      <c r="L10" s="326"/>
      <c r="N10" s="182" t="s">
        <v>330</v>
      </c>
      <c r="O10" s="31" t="s">
        <v>416</v>
      </c>
      <c r="P10" s="87" t="s">
        <v>342</v>
      </c>
      <c r="Q10" s="30" t="str">
        <f>B28</f>
        <v>GRD-002</v>
      </c>
      <c r="R10" s="30" t="s">
        <v>320</v>
      </c>
      <c r="S10" s="31"/>
      <c r="T10" s="31"/>
      <c r="U10" s="31"/>
      <c r="V10" s="129" t="s">
        <v>400</v>
      </c>
      <c r="W10" s="31"/>
      <c r="X10" s="192"/>
      <c r="Z10" s="22"/>
      <c r="AA10" s="272"/>
      <c r="AB10" s="273"/>
      <c r="AC10" s="117"/>
      <c r="AD10" s="272"/>
      <c r="AE10" s="176"/>
      <c r="AF10" s="176"/>
      <c r="AG10" s="117"/>
      <c r="AH10" s="176"/>
      <c r="AI10" s="176"/>
      <c r="AJ10" s="117"/>
    </row>
    <row r="11" spans="2:72" s="20" customFormat="1" ht="24.95" customHeight="1" thickBot="1">
      <c r="B11" s="182" t="s">
        <v>182</v>
      </c>
      <c r="C11" s="43" t="s">
        <v>998</v>
      </c>
      <c r="D11" s="440" t="s">
        <v>1000</v>
      </c>
      <c r="E11" s="43" t="str">
        <f>Mission!B30</f>
        <v>TSE-014</v>
      </c>
      <c r="F11" s="37"/>
      <c r="G11" s="124"/>
      <c r="H11" s="124"/>
      <c r="I11" s="124"/>
      <c r="J11" s="124"/>
      <c r="K11" s="124"/>
      <c r="L11" s="326"/>
      <c r="N11" s="182" t="s">
        <v>331</v>
      </c>
      <c r="O11" s="31" t="s">
        <v>417</v>
      </c>
      <c r="P11" s="63" t="s">
        <v>343</v>
      </c>
      <c r="Q11" s="30" t="str">
        <f>B28</f>
        <v>GRD-002</v>
      </c>
      <c r="R11" s="30" t="s">
        <v>320</v>
      </c>
      <c r="S11" s="31"/>
      <c r="T11" s="31"/>
      <c r="U11" s="31"/>
      <c r="V11" s="129" t="s">
        <v>400</v>
      </c>
      <c r="W11" s="31"/>
      <c r="X11" s="192"/>
      <c r="Z11" s="22"/>
      <c r="AA11" s="272"/>
      <c r="AB11" s="273"/>
      <c r="AC11" s="117"/>
      <c r="AD11" s="272"/>
      <c r="AE11" s="176"/>
      <c r="AF11" s="176"/>
      <c r="AG11" s="117"/>
      <c r="AH11" s="176"/>
      <c r="AI11" s="176"/>
      <c r="AJ11" s="117"/>
    </row>
    <row r="12" spans="2:72" s="20" customFormat="1" ht="24.95" customHeight="1">
      <c r="B12" s="182" t="s">
        <v>183</v>
      </c>
      <c r="C12" s="43" t="s">
        <v>981</v>
      </c>
      <c r="D12" s="440" t="s">
        <v>984</v>
      </c>
      <c r="E12" s="43" t="str">
        <f>Mission!B17</f>
        <v>TSE-001</v>
      </c>
      <c r="F12" s="39" t="s">
        <v>985</v>
      </c>
      <c r="G12" s="124"/>
      <c r="H12" s="124"/>
      <c r="I12" s="124"/>
      <c r="J12" s="124"/>
      <c r="K12" s="124"/>
      <c r="L12" s="228"/>
      <c r="N12" s="182" t="s">
        <v>332</v>
      </c>
      <c r="O12" s="30" t="s">
        <v>418</v>
      </c>
      <c r="P12" s="20" t="s">
        <v>420</v>
      </c>
      <c r="Q12" s="30" t="str">
        <f>B27</f>
        <v>GRD-001</v>
      </c>
      <c r="R12" s="30" t="s">
        <v>320</v>
      </c>
      <c r="S12" s="31"/>
      <c r="T12" s="31"/>
      <c r="U12" s="31"/>
      <c r="V12" s="129" t="s">
        <v>400</v>
      </c>
      <c r="W12" s="31"/>
      <c r="X12" s="192"/>
      <c r="Z12" s="214" t="s">
        <v>87</v>
      </c>
      <c r="AA12" s="477" t="s">
        <v>106</v>
      </c>
      <c r="AB12" s="477"/>
      <c r="AC12" s="477"/>
      <c r="AD12" s="451" t="s">
        <v>62</v>
      </c>
      <c r="AE12" s="453" t="s">
        <v>63</v>
      </c>
      <c r="AF12" s="453"/>
      <c r="AG12" s="453"/>
      <c r="AH12" s="453"/>
      <c r="AI12" s="453" t="s">
        <v>85</v>
      </c>
      <c r="AJ12" s="454" t="s">
        <v>64</v>
      </c>
    </row>
    <row r="13" spans="2:72" s="20" customFormat="1" ht="24.95" customHeight="1">
      <c r="B13" s="182" t="s">
        <v>184</v>
      </c>
      <c r="C13" s="43" t="s">
        <v>366</v>
      </c>
      <c r="D13" s="440" t="s">
        <v>990</v>
      </c>
      <c r="E13" s="43" t="str">
        <f>Mission!B17</f>
        <v>TSE-001</v>
      </c>
      <c r="F13" s="37"/>
      <c r="G13" s="124"/>
      <c r="H13" s="124"/>
      <c r="I13" s="124"/>
      <c r="J13" s="124"/>
      <c r="K13" s="124"/>
      <c r="L13" s="326"/>
      <c r="M13" s="121"/>
      <c r="N13" s="182" t="s">
        <v>333</v>
      </c>
      <c r="O13" s="30" t="s">
        <v>419</v>
      </c>
      <c r="P13" s="63" t="s">
        <v>344</v>
      </c>
      <c r="Q13" s="30" t="str">
        <f>B27</f>
        <v>GRD-001</v>
      </c>
      <c r="R13" s="30" t="s">
        <v>421</v>
      </c>
      <c r="S13" s="129" t="s">
        <v>400</v>
      </c>
      <c r="T13" s="31"/>
      <c r="U13" s="129" t="s">
        <v>400</v>
      </c>
      <c r="V13" s="31"/>
      <c r="W13" s="31"/>
      <c r="X13" s="261"/>
      <c r="Z13" s="194" t="s">
        <v>80</v>
      </c>
      <c r="AA13" s="141" t="s">
        <v>65</v>
      </c>
      <c r="AB13" s="141" t="s">
        <v>66</v>
      </c>
      <c r="AC13" s="141" t="s">
        <v>67</v>
      </c>
      <c r="AD13" s="519"/>
      <c r="AE13" s="141" t="s">
        <v>68</v>
      </c>
      <c r="AF13" s="141" t="s">
        <v>69</v>
      </c>
      <c r="AG13" s="141" t="s">
        <v>70</v>
      </c>
      <c r="AH13" s="141" t="s">
        <v>71</v>
      </c>
      <c r="AI13" s="478"/>
      <c r="AJ13" s="481"/>
    </row>
    <row r="14" spans="2:72" s="20" customFormat="1" ht="24.95" customHeight="1">
      <c r="B14" s="182" t="s">
        <v>185</v>
      </c>
      <c r="C14" s="324" t="s">
        <v>993</v>
      </c>
      <c r="D14" s="444" t="s">
        <v>991</v>
      </c>
      <c r="E14" s="43" t="str">
        <f>Mission!B17</f>
        <v>TSE-001</v>
      </c>
      <c r="F14" s="37"/>
      <c r="G14" s="124"/>
      <c r="H14" s="124"/>
      <c r="I14" s="124"/>
      <c r="J14" s="124"/>
      <c r="K14" s="124"/>
      <c r="L14" s="326"/>
      <c r="N14" s="182" t="s">
        <v>334</v>
      </c>
      <c r="O14" s="30" t="s">
        <v>307</v>
      </c>
      <c r="P14" s="87" t="s">
        <v>345</v>
      </c>
      <c r="Q14" s="30" t="str">
        <f>B31</f>
        <v>GRD-005</v>
      </c>
      <c r="R14" s="30" t="s">
        <v>422</v>
      </c>
      <c r="S14" s="31"/>
      <c r="T14" s="31"/>
      <c r="U14" s="129" t="s">
        <v>400</v>
      </c>
      <c r="V14" s="31"/>
      <c r="W14" s="31"/>
      <c r="X14" s="218"/>
      <c r="Z14" s="182" t="s">
        <v>124</v>
      </c>
      <c r="AA14" s="30"/>
      <c r="AB14" s="112"/>
      <c r="AC14" s="31"/>
      <c r="AD14" s="70"/>
      <c r="AE14" s="67"/>
      <c r="AF14" s="67"/>
      <c r="AG14" s="67"/>
      <c r="AH14" s="67"/>
      <c r="AI14" s="67"/>
      <c r="AJ14" s="256"/>
    </row>
    <row r="15" spans="2:72" s="20" customFormat="1" ht="24.95" customHeight="1">
      <c r="B15" s="182" t="s">
        <v>186</v>
      </c>
      <c r="C15" s="43" t="s">
        <v>979</v>
      </c>
      <c r="D15" s="440" t="s">
        <v>992</v>
      </c>
      <c r="E15" s="43" t="str">
        <f>Mission!B18</f>
        <v>TSE-002</v>
      </c>
      <c r="F15" s="37"/>
      <c r="G15" s="124"/>
      <c r="H15" s="124"/>
      <c r="I15" s="124"/>
      <c r="J15" s="124"/>
      <c r="K15" s="124"/>
      <c r="L15" s="326"/>
      <c r="N15" s="182" t="s">
        <v>335</v>
      </c>
      <c r="O15" s="30" t="s">
        <v>308</v>
      </c>
      <c r="P15" s="87" t="s">
        <v>346</v>
      </c>
      <c r="Q15" s="30" t="str">
        <f>B30</f>
        <v>GRD-004</v>
      </c>
      <c r="R15" s="30" t="s">
        <v>423</v>
      </c>
      <c r="S15" s="31"/>
      <c r="T15" s="129" t="s">
        <v>400</v>
      </c>
      <c r="U15" s="31"/>
      <c r="V15" s="31"/>
      <c r="W15" s="31"/>
      <c r="X15" s="218"/>
      <c r="Z15" s="182" t="s">
        <v>123</v>
      </c>
      <c r="AA15" s="70"/>
      <c r="AB15" s="74"/>
      <c r="AC15" s="31"/>
      <c r="AD15" s="70"/>
      <c r="AE15" s="67"/>
      <c r="AF15" s="111"/>
      <c r="AG15" s="67"/>
      <c r="AH15" s="67"/>
      <c r="AI15" s="67"/>
      <c r="AJ15" s="256"/>
    </row>
    <row r="16" spans="2:72" s="20" customFormat="1" ht="24.95" customHeight="1">
      <c r="B16" s="182" t="s">
        <v>187</v>
      </c>
      <c r="C16" s="43" t="s">
        <v>978</v>
      </c>
      <c r="D16" s="440" t="s">
        <v>988</v>
      </c>
      <c r="E16" s="43" t="str">
        <f>Mission!B17</f>
        <v>TSE-001</v>
      </c>
      <c r="F16" s="37"/>
      <c r="G16" s="124"/>
      <c r="H16" s="124"/>
      <c r="I16" s="124"/>
      <c r="J16" s="124"/>
      <c r="K16" s="124"/>
      <c r="L16" s="326"/>
      <c r="N16" s="182" t="s">
        <v>336</v>
      </c>
      <c r="O16" s="30" t="s">
        <v>310</v>
      </c>
      <c r="P16" s="87" t="s">
        <v>300</v>
      </c>
      <c r="Q16" s="30" t="str">
        <f>B33</f>
        <v>GRD-007</v>
      </c>
      <c r="R16" s="30" t="s">
        <v>324</v>
      </c>
      <c r="S16" s="31"/>
      <c r="T16" s="129" t="s">
        <v>400</v>
      </c>
      <c r="U16" s="31"/>
      <c r="V16" s="31"/>
      <c r="W16" s="31"/>
      <c r="X16" s="218"/>
      <c r="Z16" s="182" t="s">
        <v>123</v>
      </c>
      <c r="AA16" s="70"/>
      <c r="AB16" s="71"/>
      <c r="AC16" s="70"/>
      <c r="AD16" s="70"/>
      <c r="AE16" s="72"/>
      <c r="AF16" s="111"/>
      <c r="AG16" s="67"/>
      <c r="AH16" s="67"/>
      <c r="AI16" s="67"/>
      <c r="AJ16" s="256"/>
    </row>
    <row r="17" spans="1:36" s="20" customFormat="1" ht="24.95" customHeight="1" thickBot="1">
      <c r="B17" s="182" t="s">
        <v>188</v>
      </c>
      <c r="C17" s="43" t="s">
        <v>1007</v>
      </c>
      <c r="D17" s="440" t="s">
        <v>989</v>
      </c>
      <c r="E17" s="43" t="str">
        <f>Mission!B17</f>
        <v>TSE-001</v>
      </c>
      <c r="F17" s="37"/>
      <c r="G17" s="124"/>
      <c r="H17" s="124"/>
      <c r="I17" s="124"/>
      <c r="J17" s="124"/>
      <c r="K17" s="124"/>
      <c r="L17" s="326"/>
      <c r="N17" s="182" t="s">
        <v>337</v>
      </c>
      <c r="O17" s="30" t="s">
        <v>314</v>
      </c>
      <c r="P17" s="87" t="s">
        <v>316</v>
      </c>
      <c r="Q17" s="30" t="str">
        <f>B35</f>
        <v>GRD-009</v>
      </c>
      <c r="R17" s="30" t="s">
        <v>320</v>
      </c>
      <c r="S17" s="129" t="s">
        <v>400</v>
      </c>
      <c r="T17" s="31"/>
      <c r="U17" s="31"/>
      <c r="V17" s="129" t="s">
        <v>400</v>
      </c>
      <c r="W17" s="31"/>
      <c r="X17" s="218"/>
      <c r="Y17" s="302" t="s">
        <v>266</v>
      </c>
      <c r="Z17" s="184" t="s">
        <v>123</v>
      </c>
      <c r="AA17" s="257"/>
      <c r="AB17" s="268"/>
      <c r="AC17" s="258"/>
      <c r="AD17" s="257"/>
      <c r="AE17" s="269"/>
      <c r="AF17" s="271"/>
      <c r="AG17" s="258"/>
      <c r="AH17" s="258"/>
      <c r="AI17" s="258"/>
      <c r="AJ17" s="270"/>
    </row>
    <row r="18" spans="1:36" s="20" customFormat="1" ht="24.95" customHeight="1" thickBot="1">
      <c r="A18" s="302" t="s">
        <v>266</v>
      </c>
      <c r="B18" s="182" t="s">
        <v>1001</v>
      </c>
      <c r="C18" s="43" t="s">
        <v>977</v>
      </c>
      <c r="D18" s="440" t="s">
        <v>1010</v>
      </c>
      <c r="E18" s="43" t="str">
        <f>Mission!B17</f>
        <v>TSE-001</v>
      </c>
      <c r="F18" s="37"/>
      <c r="G18" s="124"/>
      <c r="H18" s="124"/>
      <c r="I18" s="124"/>
      <c r="J18" s="124"/>
      <c r="K18" s="124"/>
      <c r="L18" s="326"/>
      <c r="M18" s="302" t="s">
        <v>266</v>
      </c>
      <c r="N18" s="225"/>
      <c r="O18" s="219"/>
      <c r="P18" s="220"/>
      <c r="Q18" s="221"/>
      <c r="R18" s="222"/>
      <c r="S18" s="222"/>
      <c r="T18" s="222"/>
      <c r="U18" s="222"/>
      <c r="V18" s="222"/>
      <c r="W18" s="223"/>
      <c r="X18" s="224"/>
      <c r="Z18" s="22"/>
      <c r="AA18" s="115"/>
      <c r="AB18" s="26"/>
      <c r="AC18" s="116"/>
      <c r="AD18" s="24"/>
      <c r="AE18" s="117"/>
      <c r="AF18" s="117"/>
      <c r="AG18" s="117"/>
      <c r="AH18" s="117"/>
      <c r="AI18" s="117"/>
      <c r="AJ18" s="117"/>
    </row>
    <row r="19" spans="1:36" s="20" customFormat="1" ht="24.95" customHeight="1" thickBot="1">
      <c r="B19" s="182" t="s">
        <v>1002</v>
      </c>
      <c r="C19" s="43" t="s">
        <v>995</v>
      </c>
      <c r="D19" s="440" t="s">
        <v>1009</v>
      </c>
      <c r="E19" s="43" t="str">
        <f>Mission!B17</f>
        <v>TSE-001</v>
      </c>
      <c r="F19" s="37"/>
      <c r="G19" s="124"/>
      <c r="H19" s="124"/>
      <c r="I19" s="124"/>
      <c r="J19" s="124"/>
      <c r="K19" s="124"/>
      <c r="L19" s="326"/>
      <c r="AA19" s="22"/>
      <c r="AD19" s="23"/>
      <c r="AJ19" s="22"/>
    </row>
    <row r="20" spans="1:36" ht="24.95" customHeight="1">
      <c r="B20" s="226" t="s">
        <v>615</v>
      </c>
      <c r="C20" s="324" t="s">
        <v>304</v>
      </c>
      <c r="D20" s="444" t="s">
        <v>303</v>
      </c>
      <c r="E20" s="324" t="str">
        <f>Mission!B17</f>
        <v>TSE-001</v>
      </c>
      <c r="F20" s="445"/>
      <c r="G20" s="445"/>
      <c r="H20" s="445"/>
      <c r="I20" s="445"/>
      <c r="J20" s="445"/>
      <c r="K20" s="445"/>
      <c r="L20" s="446"/>
      <c r="Z20" s="214" t="s">
        <v>87</v>
      </c>
      <c r="AA20" s="477" t="s">
        <v>105</v>
      </c>
      <c r="AB20" s="477"/>
      <c r="AC20" s="477"/>
      <c r="AD20" s="451" t="s">
        <v>62</v>
      </c>
      <c r="AE20" s="453" t="s">
        <v>63</v>
      </c>
      <c r="AF20" s="453"/>
      <c r="AG20" s="453"/>
      <c r="AH20" s="453"/>
      <c r="AI20" s="453" t="s">
        <v>85</v>
      </c>
      <c r="AJ20" s="454" t="s">
        <v>64</v>
      </c>
    </row>
    <row r="21" spans="1:36" ht="24.95" customHeight="1">
      <c r="B21" s="226" t="s">
        <v>972</v>
      </c>
      <c r="C21" s="43" t="s">
        <v>159</v>
      </c>
      <c r="D21" s="440" t="s">
        <v>994</v>
      </c>
      <c r="E21" s="43" t="str">
        <f>Mission!B30</f>
        <v>TSE-014</v>
      </c>
      <c r="F21" s="37"/>
      <c r="G21" s="124"/>
      <c r="H21" s="124"/>
      <c r="I21" s="124"/>
      <c r="J21" s="124"/>
      <c r="K21" s="124"/>
      <c r="L21" s="228"/>
      <c r="Z21" s="194" t="s">
        <v>80</v>
      </c>
      <c r="AA21" s="141" t="s">
        <v>65</v>
      </c>
      <c r="AB21" s="141" t="s">
        <v>66</v>
      </c>
      <c r="AC21" s="141" t="s">
        <v>67</v>
      </c>
      <c r="AD21" s="519"/>
      <c r="AE21" s="141" t="s">
        <v>68</v>
      </c>
      <c r="AF21" s="141" t="s">
        <v>69</v>
      </c>
      <c r="AG21" s="141" t="s">
        <v>70</v>
      </c>
      <c r="AH21" s="141" t="s">
        <v>71</v>
      </c>
      <c r="AI21" s="478"/>
      <c r="AJ21" s="481"/>
    </row>
    <row r="22" spans="1:36" ht="24.95" customHeight="1">
      <c r="B22" s="182"/>
      <c r="C22" s="445"/>
      <c r="D22" s="445"/>
      <c r="E22" s="43"/>
      <c r="F22" s="439"/>
      <c r="G22" s="124"/>
      <c r="H22" s="124"/>
      <c r="I22" s="124"/>
      <c r="J22" s="124"/>
      <c r="K22" s="124"/>
      <c r="L22" s="228"/>
      <c r="Z22" s="182" t="s">
        <v>125</v>
      </c>
      <c r="AA22" s="67"/>
      <c r="AB22" s="72"/>
      <c r="AC22" s="70"/>
      <c r="AD22" s="70"/>
      <c r="AE22" s="67"/>
      <c r="AF22" s="111"/>
      <c r="AG22" s="67"/>
      <c r="AH22" s="112"/>
      <c r="AI22" s="67"/>
      <c r="AJ22" s="256"/>
    </row>
    <row r="23" spans="1:36" ht="24.95" customHeight="1">
      <c r="B23" s="182"/>
      <c r="C23" s="43"/>
      <c r="D23" s="440"/>
      <c r="E23" s="43"/>
      <c r="F23" s="439"/>
      <c r="G23" s="124"/>
      <c r="H23" s="124"/>
      <c r="I23" s="124"/>
      <c r="J23" s="124"/>
      <c r="K23" s="124"/>
      <c r="L23" s="183"/>
      <c r="Z23" s="182" t="s">
        <v>89</v>
      </c>
      <c r="AA23" s="67"/>
      <c r="AB23" s="72"/>
      <c r="AC23" s="70"/>
      <c r="AD23" s="70"/>
      <c r="AE23" s="67"/>
      <c r="AF23" s="67"/>
      <c r="AG23" s="67"/>
      <c r="AH23" s="112"/>
      <c r="AI23" s="31"/>
      <c r="AJ23" s="256"/>
    </row>
    <row r="24" spans="1:36" ht="24.95" customHeight="1">
      <c r="B24" s="438"/>
      <c r="C24" s="162"/>
      <c r="D24" s="163"/>
      <c r="E24" s="124"/>
      <c r="F24" s="439"/>
      <c r="G24" s="124"/>
      <c r="H24" s="124"/>
      <c r="I24" s="124"/>
      <c r="J24" s="124"/>
      <c r="K24" s="124"/>
      <c r="L24" s="183"/>
      <c r="Z24" s="182" t="s">
        <v>89</v>
      </c>
      <c r="AA24" s="67"/>
      <c r="AB24" s="72"/>
      <c r="AC24" s="67"/>
      <c r="AD24" s="70"/>
      <c r="AE24" s="67"/>
      <c r="AF24" s="111"/>
      <c r="AG24" s="67"/>
      <c r="AH24" s="67"/>
      <c r="AI24" s="67"/>
      <c r="AJ24" s="256"/>
    </row>
    <row r="25" spans="1:36" ht="24.95" customHeight="1">
      <c r="B25" s="438"/>
      <c r="C25" s="162"/>
      <c r="D25" s="163"/>
      <c r="E25" s="124"/>
      <c r="F25" s="439"/>
      <c r="G25" s="124"/>
      <c r="H25" s="124"/>
      <c r="I25" s="124"/>
      <c r="J25" s="124"/>
      <c r="K25" s="124"/>
      <c r="L25" s="229"/>
      <c r="Z25" s="182" t="s">
        <v>89</v>
      </c>
      <c r="AA25" s="67"/>
      <c r="AB25" s="72"/>
      <c r="AC25" s="70"/>
      <c r="AD25" s="70"/>
      <c r="AE25" s="112"/>
      <c r="AF25" s="111"/>
      <c r="AG25" s="112"/>
      <c r="AH25" s="67"/>
      <c r="AI25" s="67"/>
      <c r="AJ25" s="256"/>
    </row>
    <row r="26" spans="1:36" ht="24.95" customHeight="1" thickBot="1">
      <c r="B26" s="438"/>
      <c r="C26" s="43"/>
      <c r="D26" s="440"/>
      <c r="E26" s="124"/>
      <c r="F26" s="439"/>
      <c r="G26" s="124"/>
      <c r="H26" s="124"/>
      <c r="I26" s="124"/>
      <c r="J26" s="124"/>
      <c r="K26" s="124"/>
      <c r="L26" s="229"/>
      <c r="Y26" s="302" t="s">
        <v>266</v>
      </c>
      <c r="Z26" s="184" t="s">
        <v>89</v>
      </c>
      <c r="AA26" s="258"/>
      <c r="AB26" s="268"/>
      <c r="AC26" s="257"/>
      <c r="AD26" s="257"/>
      <c r="AE26" s="207"/>
      <c r="AF26" s="207"/>
      <c r="AG26" s="207"/>
      <c r="AH26" s="223"/>
      <c r="AI26" s="258"/>
      <c r="AJ26" s="270"/>
    </row>
    <row r="27" spans="1:36" ht="24.95" customHeight="1">
      <c r="B27" s="226" t="s">
        <v>982</v>
      </c>
      <c r="C27" s="162" t="s">
        <v>305</v>
      </c>
      <c r="D27" s="66" t="s">
        <v>296</v>
      </c>
      <c r="E27" s="128"/>
      <c r="F27" s="132" t="s">
        <v>320</v>
      </c>
      <c r="G27" s="133"/>
      <c r="H27" s="133"/>
      <c r="I27" s="133"/>
      <c r="J27" s="133" t="s">
        <v>44</v>
      </c>
      <c r="K27" s="133"/>
      <c r="L27" s="254"/>
    </row>
    <row r="28" spans="1:36" ht="24.95" customHeight="1">
      <c r="B28" s="226" t="s">
        <v>983</v>
      </c>
      <c r="C28" s="132" t="s">
        <v>306</v>
      </c>
      <c r="D28" s="66" t="s">
        <v>297</v>
      </c>
      <c r="E28" s="128"/>
      <c r="F28" s="65" t="s">
        <v>320</v>
      </c>
      <c r="G28" s="133"/>
      <c r="H28" s="133"/>
      <c r="I28" s="133"/>
      <c r="J28" s="133" t="s">
        <v>44</v>
      </c>
      <c r="K28" s="133"/>
      <c r="L28" s="256"/>
    </row>
    <row r="29" spans="1:36" ht="24.95" customHeight="1">
      <c r="B29" s="226" t="s">
        <v>178</v>
      </c>
      <c r="C29" s="132" t="s">
        <v>307</v>
      </c>
      <c r="D29" s="62" t="s">
        <v>1008</v>
      </c>
      <c r="E29" s="127"/>
      <c r="F29" s="132" t="s">
        <v>321</v>
      </c>
      <c r="G29" s="133"/>
      <c r="H29" s="133"/>
      <c r="I29" s="133" t="s">
        <v>44</v>
      </c>
      <c r="J29" s="133"/>
      <c r="K29" s="133"/>
      <c r="L29" s="256"/>
    </row>
    <row r="30" spans="1:36" ht="24.95" customHeight="1">
      <c r="B30" s="226" t="s">
        <v>179</v>
      </c>
      <c r="C30" s="67" t="s">
        <v>308</v>
      </c>
      <c r="D30" s="120" t="s">
        <v>298</v>
      </c>
      <c r="E30" s="128"/>
      <c r="F30" s="70" t="s">
        <v>322</v>
      </c>
      <c r="G30" s="67"/>
      <c r="H30" s="133" t="s">
        <v>44</v>
      </c>
      <c r="I30" s="112"/>
      <c r="J30" s="67"/>
      <c r="K30" s="67"/>
      <c r="L30" s="256"/>
    </row>
    <row r="31" spans="1:36" ht="24.95" customHeight="1">
      <c r="B31" s="226" t="s">
        <v>180</v>
      </c>
      <c r="C31" s="31" t="s">
        <v>309</v>
      </c>
      <c r="D31" s="120" t="s">
        <v>299</v>
      </c>
      <c r="E31" s="128"/>
      <c r="F31" s="30" t="s">
        <v>323</v>
      </c>
      <c r="G31" s="67"/>
      <c r="H31" s="111"/>
      <c r="I31" s="133" t="s">
        <v>44</v>
      </c>
      <c r="J31" s="31"/>
      <c r="K31" s="67"/>
      <c r="L31" s="228"/>
    </row>
    <row r="32" spans="1:36" ht="24.95" customHeight="1">
      <c r="B32" s="226" t="s">
        <v>181</v>
      </c>
      <c r="C32" s="30" t="s">
        <v>312</v>
      </c>
      <c r="D32" s="114" t="s">
        <v>468</v>
      </c>
      <c r="E32" s="31"/>
      <c r="F32" s="30" t="s">
        <v>324</v>
      </c>
      <c r="G32" s="113"/>
      <c r="H32" s="133" t="s">
        <v>44</v>
      </c>
      <c r="I32" s="113"/>
      <c r="J32" s="113"/>
      <c r="K32" s="67"/>
      <c r="L32" s="228"/>
    </row>
    <row r="33" spans="2:36" ht="24.95" customHeight="1">
      <c r="B33" s="226" t="s">
        <v>182</v>
      </c>
      <c r="C33" s="31" t="s">
        <v>310</v>
      </c>
      <c r="D33" s="114" t="s">
        <v>469</v>
      </c>
      <c r="E33" s="31"/>
      <c r="F33" s="30" t="s">
        <v>324</v>
      </c>
      <c r="G33" s="113"/>
      <c r="H33" s="133" t="s">
        <v>44</v>
      </c>
      <c r="I33" s="113"/>
      <c r="J33" s="113"/>
      <c r="K33" s="119"/>
      <c r="L33" s="229"/>
    </row>
    <row r="34" spans="2:36" ht="24.95" customHeight="1">
      <c r="B34" s="226" t="s">
        <v>183</v>
      </c>
      <c r="C34" s="31" t="s">
        <v>311</v>
      </c>
      <c r="D34" s="113" t="s">
        <v>301</v>
      </c>
      <c r="E34" s="31"/>
      <c r="F34" s="70" t="s">
        <v>320</v>
      </c>
      <c r="G34" s="113"/>
      <c r="H34" s="31"/>
      <c r="I34" s="133" t="s">
        <v>44</v>
      </c>
      <c r="J34" s="113"/>
      <c r="K34" s="67"/>
      <c r="L34" s="183"/>
    </row>
    <row r="35" spans="2:36" ht="24.95" customHeight="1" thickBot="1">
      <c r="B35" s="226" t="s">
        <v>184</v>
      </c>
      <c r="C35" s="31" t="s">
        <v>314</v>
      </c>
      <c r="D35" s="445" t="s">
        <v>316</v>
      </c>
      <c r="E35" s="133"/>
      <c r="F35" s="70" t="s">
        <v>320</v>
      </c>
      <c r="G35" s="67"/>
      <c r="H35" s="111"/>
      <c r="I35" s="67"/>
      <c r="J35" s="133" t="s">
        <v>44</v>
      </c>
      <c r="K35" s="67"/>
      <c r="L35" s="446"/>
    </row>
    <row r="36" spans="2:36" ht="24.95" customHeight="1">
      <c r="B36" s="226" t="s">
        <v>185</v>
      </c>
      <c r="C36" s="31" t="s">
        <v>315</v>
      </c>
      <c r="D36" s="118" t="s">
        <v>302</v>
      </c>
      <c r="E36" s="133"/>
      <c r="F36" s="70" t="s">
        <v>322</v>
      </c>
      <c r="G36" s="112"/>
      <c r="H36" s="112"/>
      <c r="I36" s="133" t="s">
        <v>44</v>
      </c>
      <c r="J36" s="70"/>
      <c r="K36" s="70"/>
      <c r="L36" s="391"/>
      <c r="N36" s="210" t="s">
        <v>78</v>
      </c>
      <c r="O36" s="474" t="s">
        <v>116</v>
      </c>
      <c r="P36" s="476"/>
      <c r="Q36" s="262"/>
      <c r="R36" s="462" t="s">
        <v>62</v>
      </c>
      <c r="S36" s="464" t="s">
        <v>63</v>
      </c>
      <c r="T36" s="465"/>
      <c r="U36" s="465"/>
      <c r="V36" s="466"/>
      <c r="W36" s="267" t="s">
        <v>85</v>
      </c>
      <c r="X36" s="263" t="s">
        <v>64</v>
      </c>
      <c r="Z36" s="214" t="s">
        <v>87</v>
      </c>
      <c r="AA36" s="477" t="s">
        <v>114</v>
      </c>
      <c r="AB36" s="477"/>
      <c r="AC36" s="477"/>
      <c r="AD36" s="451" t="s">
        <v>62</v>
      </c>
      <c r="AE36" s="453" t="s">
        <v>63</v>
      </c>
      <c r="AF36" s="453"/>
      <c r="AG36" s="453"/>
      <c r="AH36" s="453"/>
      <c r="AI36" s="453" t="s">
        <v>85</v>
      </c>
      <c r="AJ36" s="454" t="s">
        <v>64</v>
      </c>
    </row>
    <row r="37" spans="2:36" ht="24.95" customHeight="1">
      <c r="B37" s="226" t="s">
        <v>186</v>
      </c>
      <c r="C37" s="31" t="s">
        <v>317</v>
      </c>
      <c r="D37" s="114" t="s">
        <v>313</v>
      </c>
      <c r="E37" s="133"/>
      <c r="F37" s="70" t="s">
        <v>325</v>
      </c>
      <c r="G37" s="112"/>
      <c r="H37" s="112"/>
      <c r="I37" s="133" t="s">
        <v>44</v>
      </c>
      <c r="J37" s="70"/>
      <c r="K37" s="70"/>
      <c r="L37" s="391"/>
      <c r="N37" s="194" t="s">
        <v>80</v>
      </c>
      <c r="O37" s="141" t="s">
        <v>65</v>
      </c>
      <c r="P37" s="141" t="s">
        <v>66</v>
      </c>
      <c r="Q37" s="146" t="s">
        <v>67</v>
      </c>
      <c r="R37" s="463"/>
      <c r="S37" s="141" t="s">
        <v>68</v>
      </c>
      <c r="T37" s="141" t="s">
        <v>69</v>
      </c>
      <c r="U37" s="141" t="s">
        <v>70</v>
      </c>
      <c r="V37" s="141" t="s">
        <v>71</v>
      </c>
      <c r="W37" s="147"/>
      <c r="X37" s="201"/>
      <c r="Z37" s="194" t="s">
        <v>80</v>
      </c>
      <c r="AA37" s="141" t="s">
        <v>65</v>
      </c>
      <c r="AB37" s="141" t="s">
        <v>66</v>
      </c>
      <c r="AC37" s="141" t="s">
        <v>67</v>
      </c>
      <c r="AD37" s="519"/>
      <c r="AE37" s="141" t="s">
        <v>68</v>
      </c>
      <c r="AF37" s="141" t="s">
        <v>69</v>
      </c>
      <c r="AG37" s="141" t="s">
        <v>70</v>
      </c>
      <c r="AH37" s="141" t="s">
        <v>71</v>
      </c>
      <c r="AI37" s="478"/>
      <c r="AJ37" s="481"/>
    </row>
    <row r="38" spans="2:36" ht="24.95" customHeight="1">
      <c r="B38" s="226" t="s">
        <v>615</v>
      </c>
      <c r="C38" s="132" t="s">
        <v>304</v>
      </c>
      <c r="D38" s="66" t="s">
        <v>303</v>
      </c>
      <c r="E38" s="128"/>
      <c r="F38" s="132" t="s">
        <v>318</v>
      </c>
      <c r="G38" s="133"/>
      <c r="H38" s="133" t="s">
        <v>44</v>
      </c>
      <c r="I38" s="163"/>
      <c r="J38" s="133"/>
      <c r="K38" s="133"/>
      <c r="L38" s="391"/>
      <c r="N38" s="182" t="s">
        <v>354</v>
      </c>
      <c r="O38" s="31" t="s">
        <v>362</v>
      </c>
      <c r="P38" s="87" t="s">
        <v>347</v>
      </c>
      <c r="Q38" s="30" t="str">
        <f>B31</f>
        <v>GRD-005</v>
      </c>
      <c r="R38" s="59" t="s">
        <v>407</v>
      </c>
      <c r="S38" s="31"/>
      <c r="T38" s="31"/>
      <c r="U38" s="129" t="s">
        <v>400</v>
      </c>
      <c r="V38" s="112"/>
      <c r="W38" s="31"/>
      <c r="X38" s="192"/>
      <c r="Z38" s="182" t="s">
        <v>115</v>
      </c>
      <c r="AA38" s="43"/>
      <c r="AB38" s="71"/>
      <c r="AC38" s="70"/>
      <c r="AD38" s="70"/>
      <c r="AE38" s="72"/>
      <c r="AF38" s="111"/>
      <c r="AG38" s="67"/>
      <c r="AH38" s="67"/>
      <c r="AI38" s="67"/>
      <c r="AJ38" s="256"/>
    </row>
    <row r="39" spans="2:36" ht="24.95" customHeight="1">
      <c r="B39" s="226" t="s">
        <v>972</v>
      </c>
      <c r="C39" s="132" t="s">
        <v>159</v>
      </c>
      <c r="D39" s="66" t="s">
        <v>635</v>
      </c>
      <c r="E39" s="128"/>
      <c r="F39" s="320" t="s">
        <v>319</v>
      </c>
      <c r="G39" s="133"/>
      <c r="H39" s="133"/>
      <c r="I39" s="133" t="s">
        <v>44</v>
      </c>
      <c r="J39" s="133"/>
      <c r="K39" s="133"/>
      <c r="L39" s="391"/>
      <c r="N39" s="182" t="s">
        <v>355</v>
      </c>
      <c r="O39" s="31" t="s">
        <v>363</v>
      </c>
      <c r="P39" s="87" t="s">
        <v>348</v>
      </c>
      <c r="Q39" s="30" t="str">
        <f>B36</f>
        <v>GRD-010</v>
      </c>
      <c r="R39" s="30" t="s">
        <v>408</v>
      </c>
      <c r="S39" s="31"/>
      <c r="T39" s="31"/>
      <c r="U39" s="129" t="s">
        <v>400</v>
      </c>
      <c r="V39" s="31"/>
      <c r="W39" s="31"/>
      <c r="X39" s="192"/>
      <c r="Z39" s="182" t="s">
        <v>115</v>
      </c>
      <c r="AA39" s="43"/>
      <c r="AB39" s="72"/>
      <c r="AC39" s="30"/>
      <c r="AD39" s="70"/>
      <c r="AE39" s="72"/>
      <c r="AF39" s="111"/>
      <c r="AG39" s="67"/>
      <c r="AH39" s="67"/>
      <c r="AI39" s="67"/>
      <c r="AJ39" s="256"/>
    </row>
    <row r="40" spans="2:36" ht="24.95" customHeight="1" thickBot="1">
      <c r="B40" s="230"/>
      <c r="C40" s="221"/>
      <c r="D40" s="222"/>
      <c r="E40" s="221"/>
      <c r="F40" s="222"/>
      <c r="G40" s="222"/>
      <c r="H40" s="222"/>
      <c r="I40" s="222"/>
      <c r="J40" s="222"/>
      <c r="K40" s="222"/>
      <c r="L40" s="409"/>
      <c r="N40" s="182" t="s">
        <v>356</v>
      </c>
      <c r="O40" s="31" t="s">
        <v>364</v>
      </c>
      <c r="P40" s="87" t="s">
        <v>349</v>
      </c>
      <c r="Q40" s="30" t="str">
        <f>B34</f>
        <v>GRD-008</v>
      </c>
      <c r="R40" s="30" t="s">
        <v>408</v>
      </c>
      <c r="S40" s="31"/>
      <c r="T40" s="31"/>
      <c r="U40" s="129" t="s">
        <v>400</v>
      </c>
      <c r="V40" s="31"/>
      <c r="W40" s="31"/>
      <c r="X40" s="192"/>
      <c r="Z40" s="182" t="s">
        <v>115</v>
      </c>
      <c r="AA40" s="43"/>
      <c r="AB40" s="71"/>
      <c r="AC40" s="70"/>
      <c r="AD40" s="70"/>
      <c r="AE40" s="72"/>
      <c r="AF40" s="111"/>
      <c r="AG40" s="67"/>
      <c r="AH40" s="67"/>
      <c r="AI40" s="67"/>
      <c r="AJ40" s="256"/>
    </row>
    <row r="41" spans="2:36" ht="24.95" customHeight="1">
      <c r="B41" s="28"/>
      <c r="C41" s="46"/>
      <c r="D41" s="28"/>
      <c r="E41" s="46"/>
      <c r="F41" s="29"/>
      <c r="G41" s="28"/>
      <c r="H41" s="28"/>
      <c r="I41" s="28"/>
      <c r="J41" s="28"/>
      <c r="K41" s="28"/>
      <c r="N41" s="182" t="s">
        <v>357</v>
      </c>
      <c r="O41" s="30" t="s">
        <v>365</v>
      </c>
      <c r="P41" s="87" t="s">
        <v>350</v>
      </c>
      <c r="Q41" s="322" t="str">
        <f>B36</f>
        <v>GRD-010</v>
      </c>
      <c r="R41" s="30" t="s">
        <v>408</v>
      </c>
      <c r="S41" s="31"/>
      <c r="T41" s="31"/>
      <c r="U41" s="129" t="s">
        <v>400</v>
      </c>
      <c r="V41" s="31"/>
      <c r="W41" s="31"/>
      <c r="X41" s="192"/>
      <c r="Z41" s="182" t="s">
        <v>115</v>
      </c>
      <c r="AA41" s="67"/>
      <c r="AB41" s="72"/>
      <c r="AC41" s="67"/>
      <c r="AD41" s="70"/>
      <c r="AE41" s="72"/>
      <c r="AF41" s="111"/>
      <c r="AG41" s="67"/>
      <c r="AH41" s="67"/>
      <c r="AI41" s="67"/>
      <c r="AJ41" s="256"/>
    </row>
    <row r="42" spans="2:36" ht="24.95" customHeight="1">
      <c r="B42" s="20" t="s">
        <v>614</v>
      </c>
      <c r="C42" s="20"/>
      <c r="D42" s="20"/>
      <c r="E42" s="20"/>
      <c r="F42" s="20"/>
      <c r="G42" s="20"/>
      <c r="H42" s="20"/>
      <c r="I42" s="20"/>
      <c r="J42" s="20"/>
      <c r="K42" s="20"/>
      <c r="N42" s="182" t="s">
        <v>358</v>
      </c>
      <c r="O42" s="30" t="s">
        <v>366</v>
      </c>
      <c r="P42" s="87" t="s">
        <v>351</v>
      </c>
      <c r="Q42" s="30" t="str">
        <f>B36</f>
        <v>GRD-010</v>
      </c>
      <c r="R42" s="30" t="s">
        <v>409</v>
      </c>
      <c r="S42" s="31"/>
      <c r="T42" s="31"/>
      <c r="U42" s="129" t="s">
        <v>400</v>
      </c>
      <c r="V42" s="31"/>
      <c r="W42" s="31"/>
      <c r="X42" s="192"/>
      <c r="Z42" s="182" t="s">
        <v>115</v>
      </c>
      <c r="AA42" s="67"/>
      <c r="AB42" s="72"/>
      <c r="AC42" s="67"/>
      <c r="AD42" s="70"/>
      <c r="AE42" s="72"/>
      <c r="AF42" s="111"/>
      <c r="AG42" s="67"/>
      <c r="AH42" s="67"/>
      <c r="AI42" s="67"/>
      <c r="AJ42" s="256"/>
    </row>
    <row r="43" spans="2:36" ht="24.95" customHeight="1">
      <c r="B43" s="386" t="s">
        <v>986</v>
      </c>
      <c r="N43" s="182" t="s">
        <v>359</v>
      </c>
      <c r="O43" s="30" t="s">
        <v>367</v>
      </c>
      <c r="P43" s="87" t="s">
        <v>352</v>
      </c>
      <c r="Q43" s="30" t="str">
        <f>B30</f>
        <v>GRD-004</v>
      </c>
      <c r="R43" s="31" t="s">
        <v>410</v>
      </c>
      <c r="S43" s="31"/>
      <c r="T43" s="31"/>
      <c r="U43" s="129" t="s">
        <v>400</v>
      </c>
      <c r="V43" s="129" t="s">
        <v>400</v>
      </c>
      <c r="W43" s="31"/>
      <c r="X43" s="192"/>
      <c r="Z43" s="182" t="s">
        <v>115</v>
      </c>
      <c r="AA43" s="70"/>
      <c r="AB43" s="71"/>
      <c r="AC43" s="67"/>
      <c r="AD43" s="70"/>
      <c r="AE43" s="72"/>
      <c r="AF43" s="111"/>
      <c r="AG43" s="67"/>
      <c r="AH43" s="67"/>
      <c r="AI43" s="67"/>
      <c r="AJ43" s="256"/>
    </row>
    <row r="44" spans="2:36" ht="24.95" customHeight="1">
      <c r="B44" s="157" t="s">
        <v>987</v>
      </c>
      <c r="N44" s="182" t="s">
        <v>360</v>
      </c>
      <c r="O44" s="30" t="s">
        <v>368</v>
      </c>
      <c r="P44" s="87" t="s">
        <v>353</v>
      </c>
      <c r="Q44" s="30" t="str">
        <f>B33</f>
        <v>GRD-007</v>
      </c>
      <c r="R44" s="31" t="s">
        <v>410</v>
      </c>
      <c r="S44" s="31"/>
      <c r="T44" s="31"/>
      <c r="U44" s="129" t="s">
        <v>400</v>
      </c>
      <c r="V44" s="31"/>
      <c r="W44" s="31"/>
      <c r="X44" s="192"/>
      <c r="Z44" s="182" t="s">
        <v>115</v>
      </c>
      <c r="AA44" s="70"/>
      <c r="AB44" s="71"/>
      <c r="AC44" s="67"/>
      <c r="AD44" s="70"/>
      <c r="AE44" s="72"/>
      <c r="AF44" s="111"/>
      <c r="AG44" s="67"/>
      <c r="AH44" s="67"/>
      <c r="AI44" s="67"/>
      <c r="AJ44" s="256"/>
    </row>
    <row r="45" spans="2:36" ht="24.95" customHeight="1">
      <c r="N45" s="182" t="s">
        <v>361</v>
      </c>
      <c r="O45" s="31" t="s">
        <v>310</v>
      </c>
      <c r="P45" s="114" t="s">
        <v>300</v>
      </c>
      <c r="Q45" s="30"/>
      <c r="R45" s="30" t="s">
        <v>324</v>
      </c>
      <c r="S45" s="113"/>
      <c r="T45" s="129" t="s">
        <v>400</v>
      </c>
      <c r="U45" s="113"/>
      <c r="V45" s="113"/>
      <c r="W45" s="119"/>
      <c r="X45" s="229"/>
      <c r="Z45" s="182" t="s">
        <v>115</v>
      </c>
      <c r="AA45" s="70"/>
      <c r="AB45" s="74"/>
      <c r="AC45" s="67"/>
      <c r="AD45" s="70"/>
      <c r="AE45" s="72"/>
      <c r="AF45" s="67"/>
      <c r="AG45" s="67"/>
      <c r="AH45" s="67"/>
      <c r="AI45" s="67"/>
      <c r="AJ45" s="256"/>
    </row>
    <row r="46" spans="2:36" s="20" customFormat="1" ht="24.95" customHeight="1" thickBot="1">
      <c r="B46" s="157"/>
      <c r="C46" s="156"/>
      <c r="D46" s="157"/>
      <c r="E46" s="156"/>
      <c r="F46" s="157"/>
      <c r="G46" s="157"/>
      <c r="H46" s="157"/>
      <c r="I46" s="157"/>
      <c r="J46" s="157"/>
      <c r="K46" s="156"/>
      <c r="L46" s="157"/>
      <c r="M46" s="302" t="s">
        <v>266</v>
      </c>
      <c r="N46" s="225"/>
      <c r="O46" s="219"/>
      <c r="P46" s="220"/>
      <c r="Q46" s="221"/>
      <c r="R46" s="222"/>
      <c r="S46" s="222"/>
      <c r="T46" s="222"/>
      <c r="U46" s="222"/>
      <c r="V46" s="222"/>
      <c r="W46" s="223"/>
      <c r="X46" s="224"/>
      <c r="Z46" s="182" t="s">
        <v>115</v>
      </c>
      <c r="AA46" s="43"/>
      <c r="AB46" s="71"/>
      <c r="AC46" s="67"/>
      <c r="AD46" s="70"/>
      <c r="AE46" s="72"/>
      <c r="AF46" s="111"/>
      <c r="AG46" s="67"/>
      <c r="AH46" s="67"/>
      <c r="AI46" s="67"/>
      <c r="AJ46" s="256"/>
    </row>
    <row r="47" spans="2:36" s="20" customFormat="1" ht="24.95" customHeight="1">
      <c r="B47" s="157"/>
      <c r="C47" s="156"/>
      <c r="D47" s="157"/>
      <c r="E47" s="156"/>
      <c r="F47" s="157"/>
      <c r="G47" s="157"/>
      <c r="H47" s="157"/>
      <c r="I47" s="157"/>
      <c r="J47" s="157"/>
      <c r="K47" s="156"/>
      <c r="L47" s="157"/>
      <c r="N47" s="157"/>
      <c r="O47" s="156"/>
      <c r="P47" s="157"/>
      <c r="Q47" s="156"/>
      <c r="R47" s="157"/>
      <c r="S47" s="157"/>
      <c r="T47" s="157"/>
      <c r="U47" s="157"/>
      <c r="V47" s="157"/>
      <c r="W47" s="33"/>
      <c r="X47" s="156"/>
      <c r="Z47" s="182" t="s">
        <v>115</v>
      </c>
      <c r="AA47" s="43"/>
      <c r="AB47" s="71"/>
      <c r="AC47" s="67"/>
      <c r="AD47" s="70"/>
      <c r="AE47" s="72"/>
      <c r="AF47" s="111"/>
      <c r="AG47" s="67"/>
      <c r="AH47" s="67"/>
      <c r="AI47" s="67"/>
      <c r="AJ47" s="256"/>
    </row>
    <row r="48" spans="2:36" s="20" customFormat="1" ht="24.95" customHeight="1">
      <c r="B48" s="157"/>
      <c r="C48" s="156"/>
      <c r="D48" s="157"/>
      <c r="E48" s="156"/>
      <c r="F48" s="157"/>
      <c r="G48" s="157"/>
      <c r="H48" s="157"/>
      <c r="I48" s="157"/>
      <c r="J48" s="157"/>
      <c r="K48" s="156"/>
      <c r="L48" s="157"/>
      <c r="N48" s="157"/>
      <c r="O48" s="156"/>
      <c r="P48" s="157"/>
      <c r="Q48" s="156"/>
      <c r="R48" s="157"/>
      <c r="S48" s="157"/>
      <c r="T48" s="157"/>
      <c r="U48" s="157"/>
      <c r="V48" s="157"/>
      <c r="W48" s="33"/>
      <c r="X48" s="156"/>
      <c r="Z48" s="182" t="s">
        <v>115</v>
      </c>
      <c r="AA48" s="43"/>
      <c r="AB48" s="71"/>
      <c r="AC48" s="67"/>
      <c r="AD48" s="70"/>
      <c r="AE48" s="72"/>
      <c r="AF48" s="111"/>
      <c r="AG48" s="67"/>
      <c r="AH48" s="67"/>
      <c r="AI48" s="67"/>
      <c r="AJ48" s="256"/>
    </row>
    <row r="49" spans="2:36" s="20" customFormat="1" ht="24.95" customHeight="1">
      <c r="B49" s="157"/>
      <c r="C49" s="156"/>
      <c r="D49" s="157"/>
      <c r="E49" s="156"/>
      <c r="F49" s="157"/>
      <c r="G49" s="157"/>
      <c r="H49" s="157"/>
      <c r="I49" s="157"/>
      <c r="J49" s="157"/>
      <c r="K49" s="156"/>
      <c r="L49" s="157"/>
      <c r="N49" s="157"/>
      <c r="O49" s="156"/>
      <c r="P49" s="157"/>
      <c r="Q49" s="156"/>
      <c r="R49" s="157"/>
      <c r="S49" s="157"/>
      <c r="T49" s="157"/>
      <c r="U49" s="157"/>
      <c r="V49" s="157"/>
      <c r="W49" s="33"/>
      <c r="X49" s="156"/>
      <c r="Z49" s="182" t="s">
        <v>115</v>
      </c>
      <c r="AA49" s="43"/>
      <c r="AB49" s="71"/>
      <c r="AC49" s="67"/>
      <c r="AD49" s="70"/>
      <c r="AE49" s="72"/>
      <c r="AF49" s="111"/>
      <c r="AG49" s="67"/>
      <c r="AH49" s="67"/>
      <c r="AI49" s="67"/>
      <c r="AJ49" s="256"/>
    </row>
    <row r="50" spans="2:36" s="20" customFormat="1" ht="24.95" customHeight="1">
      <c r="B50" s="157"/>
      <c r="C50" s="156"/>
      <c r="D50" s="157"/>
      <c r="E50" s="156"/>
      <c r="F50" s="157"/>
      <c r="G50" s="157"/>
      <c r="H50" s="157"/>
      <c r="I50" s="157"/>
      <c r="J50" s="157"/>
      <c r="K50" s="156"/>
      <c r="L50" s="157"/>
      <c r="N50" s="157"/>
      <c r="O50" s="156"/>
      <c r="P50" s="157"/>
      <c r="Q50" s="156"/>
      <c r="R50" s="157"/>
      <c r="S50" s="157"/>
      <c r="T50" s="157"/>
      <c r="U50" s="157"/>
      <c r="V50" s="157"/>
      <c r="W50" s="33"/>
      <c r="X50" s="156"/>
      <c r="Z50" s="182" t="s">
        <v>115</v>
      </c>
      <c r="AA50" s="43"/>
      <c r="AB50" s="71"/>
      <c r="AC50" s="67"/>
      <c r="AD50" s="70"/>
      <c r="AE50" s="72"/>
      <c r="AF50" s="111"/>
      <c r="AG50" s="67"/>
      <c r="AH50" s="67"/>
      <c r="AI50" s="67"/>
      <c r="AJ50" s="256"/>
    </row>
    <row r="51" spans="2:36" s="20" customFormat="1" ht="24.95" customHeight="1" thickBot="1">
      <c r="B51" s="157"/>
      <c r="C51" s="156"/>
      <c r="D51" s="157"/>
      <c r="E51" s="156"/>
      <c r="F51" s="157"/>
      <c r="G51" s="157"/>
      <c r="H51" s="157"/>
      <c r="I51" s="157"/>
      <c r="J51" s="157"/>
      <c r="K51" s="156"/>
      <c r="L51" s="157"/>
      <c r="N51" s="157"/>
      <c r="O51" s="156"/>
      <c r="P51" s="157"/>
      <c r="Q51" s="156"/>
      <c r="R51" s="157"/>
      <c r="S51" s="157"/>
      <c r="T51" s="157"/>
      <c r="U51" s="157"/>
      <c r="V51" s="157"/>
      <c r="W51" s="33"/>
      <c r="X51" s="156"/>
      <c r="Y51" s="302" t="s">
        <v>266</v>
      </c>
      <c r="Z51" s="184"/>
      <c r="AA51" s="207"/>
      <c r="AB51" s="268"/>
      <c r="AC51" s="209"/>
      <c r="AD51" s="209"/>
      <c r="AE51" s="258"/>
      <c r="AF51" s="258"/>
      <c r="AG51" s="258"/>
      <c r="AH51" s="269"/>
      <c r="AI51" s="258"/>
      <c r="AJ51" s="270"/>
    </row>
    <row r="52" spans="2:36" s="20" customFormat="1" ht="24.95" customHeight="1">
      <c r="B52" s="157"/>
      <c r="C52" s="156"/>
      <c r="D52" s="157"/>
      <c r="E52" s="156"/>
      <c r="F52" s="157"/>
      <c r="G52" s="157"/>
      <c r="H52" s="157"/>
      <c r="I52" s="157"/>
      <c r="J52" s="157"/>
      <c r="K52" s="156"/>
      <c r="L52" s="157"/>
      <c r="N52" s="157"/>
      <c r="O52" s="156"/>
      <c r="P52" s="157"/>
      <c r="Q52" s="156"/>
      <c r="R52" s="157"/>
      <c r="S52" s="157"/>
      <c r="T52" s="157"/>
      <c r="U52" s="157"/>
      <c r="V52" s="157"/>
      <c r="W52" s="33"/>
      <c r="X52" s="156"/>
    </row>
    <row r="53" spans="2:36" s="20" customFormat="1" ht="24.95" customHeight="1">
      <c r="B53" s="157"/>
      <c r="C53" s="156"/>
      <c r="D53" s="157"/>
      <c r="E53" s="156"/>
      <c r="F53" s="157"/>
      <c r="G53" s="157"/>
      <c r="H53" s="157"/>
      <c r="I53" s="157"/>
      <c r="J53" s="157"/>
      <c r="K53" s="156"/>
      <c r="L53" s="156"/>
      <c r="N53" s="157"/>
      <c r="O53" s="156"/>
      <c r="P53" s="157"/>
      <c r="Q53" s="156"/>
      <c r="R53" s="157"/>
      <c r="S53" s="157"/>
      <c r="T53" s="157"/>
      <c r="U53" s="157"/>
      <c r="V53" s="157"/>
      <c r="W53" s="33"/>
      <c r="X53" s="156"/>
    </row>
    <row r="54" spans="2:36" s="20" customFormat="1" ht="24.95" customHeight="1">
      <c r="B54" s="157"/>
      <c r="C54" s="156"/>
      <c r="D54" s="157"/>
      <c r="E54" s="156"/>
      <c r="F54" s="157"/>
      <c r="G54" s="157"/>
      <c r="H54" s="157"/>
      <c r="I54" s="157"/>
      <c r="J54" s="157"/>
      <c r="K54" s="156"/>
      <c r="L54" s="156"/>
      <c r="N54" s="157"/>
      <c r="O54" s="156"/>
      <c r="P54" s="157"/>
      <c r="Q54" s="156"/>
      <c r="R54" s="157"/>
      <c r="S54" s="157"/>
      <c r="T54" s="157"/>
      <c r="U54" s="157"/>
      <c r="V54" s="157"/>
      <c r="W54" s="33"/>
      <c r="X54" s="156"/>
    </row>
    <row r="60" spans="2:36" ht="24.95" customHeight="1">
      <c r="K60" s="33"/>
    </row>
    <row r="61" spans="2:36" ht="24.95" customHeight="1">
      <c r="K61" s="33"/>
    </row>
    <row r="62" spans="2:36" ht="24.95" customHeight="1" thickBot="1">
      <c r="L62" s="20"/>
    </row>
    <row r="63" spans="2:36" ht="24.95" customHeight="1">
      <c r="L63" s="20"/>
      <c r="N63" s="210" t="s">
        <v>78</v>
      </c>
      <c r="O63" s="474" t="s">
        <v>117</v>
      </c>
      <c r="P63" s="475"/>
      <c r="Q63" s="476"/>
      <c r="R63" s="462" t="s">
        <v>62</v>
      </c>
      <c r="S63" s="464" t="s">
        <v>63</v>
      </c>
      <c r="T63" s="465"/>
      <c r="U63" s="465"/>
      <c r="V63" s="466"/>
      <c r="W63" s="472" t="s">
        <v>85</v>
      </c>
      <c r="X63" s="469" t="s">
        <v>64</v>
      </c>
    </row>
    <row r="64" spans="2:36" ht="24.95" customHeight="1">
      <c r="L64" s="20"/>
      <c r="N64" s="194" t="s">
        <v>80</v>
      </c>
      <c r="O64" s="141" t="s">
        <v>65</v>
      </c>
      <c r="P64" s="141" t="s">
        <v>66</v>
      </c>
      <c r="Q64" s="146" t="s">
        <v>67</v>
      </c>
      <c r="R64" s="463"/>
      <c r="S64" s="141" t="s">
        <v>68</v>
      </c>
      <c r="T64" s="141" t="s">
        <v>69</v>
      </c>
      <c r="U64" s="141" t="s">
        <v>70</v>
      </c>
      <c r="V64" s="141" t="s">
        <v>71</v>
      </c>
      <c r="W64" s="482"/>
      <c r="X64" s="470"/>
    </row>
    <row r="65" spans="2:24" ht="24.95" customHeight="1">
      <c r="L65" s="20"/>
      <c r="N65" s="182" t="s">
        <v>377</v>
      </c>
      <c r="O65" s="31" t="s">
        <v>373</v>
      </c>
      <c r="P65" s="137" t="s">
        <v>369</v>
      </c>
      <c r="Q65" s="30" t="str">
        <f>B37</f>
        <v>GRD-011</v>
      </c>
      <c r="R65" s="59" t="s">
        <v>403</v>
      </c>
      <c r="S65" s="129" t="s">
        <v>400</v>
      </c>
      <c r="T65" s="31"/>
      <c r="U65" s="112"/>
      <c r="V65" s="112"/>
      <c r="W65" s="31"/>
      <c r="X65" s="192"/>
    </row>
    <row r="66" spans="2:24" ht="24.95" customHeight="1">
      <c r="L66" s="20"/>
      <c r="N66" s="182" t="s">
        <v>378</v>
      </c>
      <c r="O66" s="31" t="s">
        <v>374</v>
      </c>
      <c r="P66" s="137" t="s">
        <v>370</v>
      </c>
      <c r="Q66" s="30" t="str">
        <f>B29</f>
        <v>GRD-003</v>
      </c>
      <c r="R66" s="30" t="s">
        <v>404</v>
      </c>
      <c r="S66" s="129" t="s">
        <v>400</v>
      </c>
      <c r="T66" s="31"/>
      <c r="U66" s="31"/>
      <c r="V66" s="31"/>
      <c r="W66" s="31"/>
      <c r="X66" s="192"/>
    </row>
    <row r="67" spans="2:24" ht="24.95" customHeight="1">
      <c r="L67" s="20"/>
      <c r="N67" s="182" t="s">
        <v>379</v>
      </c>
      <c r="O67" s="31" t="s">
        <v>375</v>
      </c>
      <c r="P67" s="321" t="s">
        <v>371</v>
      </c>
      <c r="Q67" s="30" t="str">
        <f>B29</f>
        <v>GRD-003</v>
      </c>
      <c r="R67" s="30" t="s">
        <v>405</v>
      </c>
      <c r="S67" s="129" t="s">
        <v>400</v>
      </c>
      <c r="T67" s="31"/>
      <c r="U67" s="31"/>
      <c r="V67" s="31"/>
      <c r="W67" s="31"/>
      <c r="X67" s="192"/>
    </row>
    <row r="68" spans="2:24" ht="24.95" customHeight="1">
      <c r="L68" s="20"/>
      <c r="N68" s="182" t="s">
        <v>380</v>
      </c>
      <c r="O68" s="30" t="s">
        <v>376</v>
      </c>
      <c r="P68" s="62" t="s">
        <v>372</v>
      </c>
      <c r="Q68" s="30" t="str">
        <f>B31</f>
        <v>GRD-005</v>
      </c>
      <c r="R68" s="30" t="s">
        <v>406</v>
      </c>
      <c r="S68" s="31"/>
      <c r="T68" s="31"/>
      <c r="U68" s="129" t="s">
        <v>400</v>
      </c>
      <c r="V68" s="31"/>
      <c r="W68" s="31"/>
      <c r="X68" s="192"/>
    </row>
    <row r="69" spans="2:24" ht="24.95" customHeight="1" thickBot="1"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302" t="s">
        <v>266</v>
      </c>
      <c r="N69" s="225"/>
      <c r="O69" s="219"/>
      <c r="P69" s="220"/>
      <c r="Q69" s="221"/>
      <c r="R69" s="222"/>
      <c r="S69" s="222"/>
      <c r="T69" s="222"/>
      <c r="U69" s="222"/>
      <c r="V69" s="222"/>
      <c r="W69" s="223"/>
      <c r="X69" s="224"/>
    </row>
    <row r="70" spans="2:24" ht="24.95" customHeight="1"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</row>
    <row r="71" spans="2:24" ht="24.95" customHeight="1">
      <c r="B71" s="20"/>
      <c r="C71" s="20"/>
      <c r="D71" s="20"/>
      <c r="E71" s="20"/>
      <c r="F71" s="20"/>
      <c r="G71" s="20"/>
      <c r="H71" s="20"/>
      <c r="I71" s="20"/>
      <c r="J71" s="20"/>
      <c r="K71" s="20"/>
    </row>
    <row r="72" spans="2:24" ht="24.95" customHeight="1">
      <c r="B72" s="20"/>
      <c r="C72" s="20"/>
      <c r="D72" s="20"/>
      <c r="E72" s="20"/>
      <c r="F72" s="20"/>
      <c r="G72" s="20"/>
      <c r="H72" s="20"/>
      <c r="I72" s="20"/>
      <c r="J72" s="20"/>
      <c r="K72" s="20"/>
    </row>
    <row r="73" spans="2:24" ht="24.95" customHeight="1">
      <c r="B73" s="20"/>
      <c r="C73" s="20"/>
      <c r="D73" s="20"/>
      <c r="E73" s="20"/>
      <c r="F73" s="20"/>
      <c r="G73" s="20"/>
      <c r="H73" s="20"/>
      <c r="I73" s="20"/>
      <c r="J73" s="20"/>
      <c r="K73" s="20"/>
    </row>
    <row r="74" spans="2:24" ht="24.95" customHeight="1">
      <c r="B74" s="20"/>
      <c r="C74" s="20"/>
      <c r="D74" s="20"/>
      <c r="E74" s="20"/>
      <c r="F74" s="20"/>
      <c r="G74" s="20"/>
      <c r="H74" s="20"/>
      <c r="I74" s="20"/>
      <c r="J74" s="20"/>
      <c r="K74" s="20"/>
    </row>
    <row r="75" spans="2:24" ht="24.95" customHeight="1">
      <c r="B75" s="20"/>
      <c r="C75" s="20"/>
      <c r="D75" s="20"/>
      <c r="E75" s="20"/>
      <c r="F75" s="20"/>
      <c r="G75" s="20"/>
      <c r="H75" s="20"/>
      <c r="I75" s="20"/>
      <c r="J75" s="20"/>
      <c r="K75" s="20"/>
    </row>
    <row r="76" spans="2:24" ht="24.95" customHeight="1" thickBot="1">
      <c r="B76" s="20"/>
      <c r="C76" s="20"/>
      <c r="D76" s="20"/>
      <c r="E76" s="20"/>
      <c r="F76" s="20"/>
      <c r="G76" s="20"/>
      <c r="H76" s="20"/>
      <c r="I76" s="20"/>
      <c r="J76" s="20"/>
      <c r="K76" s="20"/>
    </row>
    <row r="77" spans="2:24" ht="24.95" customHeight="1">
      <c r="B77" s="20"/>
      <c r="C77" s="20"/>
      <c r="D77" s="20"/>
      <c r="E77" s="20"/>
      <c r="F77" s="20"/>
      <c r="G77" s="20"/>
      <c r="H77" s="20"/>
      <c r="I77" s="20"/>
      <c r="J77" s="20"/>
      <c r="K77" s="20"/>
      <c r="N77" s="210" t="s">
        <v>78</v>
      </c>
      <c r="O77" s="483" t="s">
        <v>118</v>
      </c>
      <c r="P77" s="483"/>
      <c r="Q77" s="483"/>
      <c r="R77" s="451" t="s">
        <v>62</v>
      </c>
      <c r="S77" s="453" t="s">
        <v>63</v>
      </c>
      <c r="T77" s="453"/>
      <c r="U77" s="453"/>
      <c r="V77" s="453"/>
      <c r="W77" s="472" t="s">
        <v>85</v>
      </c>
      <c r="X77" s="454" t="s">
        <v>64</v>
      </c>
    </row>
    <row r="78" spans="2:24" ht="24.95" customHeight="1">
      <c r="N78" s="194" t="s">
        <v>80</v>
      </c>
      <c r="O78" s="141" t="s">
        <v>65</v>
      </c>
      <c r="P78" s="141" t="s">
        <v>66</v>
      </c>
      <c r="Q78" s="146" t="s">
        <v>67</v>
      </c>
      <c r="R78" s="478"/>
      <c r="S78" s="141" t="s">
        <v>68</v>
      </c>
      <c r="T78" s="141" t="s">
        <v>69</v>
      </c>
      <c r="U78" s="141" t="s">
        <v>70</v>
      </c>
      <c r="V78" s="141" t="s">
        <v>71</v>
      </c>
      <c r="W78" s="482"/>
      <c r="X78" s="481"/>
    </row>
    <row r="79" spans="2:24" ht="24.95" customHeight="1">
      <c r="N79" s="182" t="s">
        <v>386</v>
      </c>
      <c r="O79" s="31" t="s">
        <v>384</v>
      </c>
      <c r="P79" s="87" t="s">
        <v>381</v>
      </c>
      <c r="Q79" s="30" t="str">
        <f>B27</f>
        <v>GRD-001</v>
      </c>
      <c r="R79" s="59" t="s">
        <v>401</v>
      </c>
      <c r="S79" s="31"/>
      <c r="T79" s="31"/>
      <c r="U79" s="112"/>
      <c r="V79" s="129" t="s">
        <v>400</v>
      </c>
      <c r="W79" s="31"/>
      <c r="X79" s="192"/>
    </row>
    <row r="80" spans="2:24" ht="24.95" customHeight="1">
      <c r="N80" s="182" t="s">
        <v>387</v>
      </c>
      <c r="O80" s="31" t="s">
        <v>385</v>
      </c>
      <c r="P80" s="87" t="s">
        <v>382</v>
      </c>
      <c r="Q80" s="30" t="str">
        <f>B34</f>
        <v>GRD-008</v>
      </c>
      <c r="R80" s="30" t="s">
        <v>402</v>
      </c>
      <c r="S80" s="31"/>
      <c r="T80" s="31"/>
      <c r="U80" s="129" t="s">
        <v>400</v>
      </c>
      <c r="V80" s="31"/>
      <c r="W80" s="31"/>
      <c r="X80" s="192"/>
    </row>
    <row r="81" spans="13:24" ht="24.95" customHeight="1">
      <c r="N81" s="182" t="s">
        <v>388</v>
      </c>
      <c r="O81" s="31" t="s">
        <v>366</v>
      </c>
      <c r="P81" s="87" t="s">
        <v>383</v>
      </c>
      <c r="Q81" s="30" t="str">
        <f>B31</f>
        <v>GRD-005</v>
      </c>
      <c r="R81" s="30" t="s">
        <v>402</v>
      </c>
      <c r="S81" s="31"/>
      <c r="T81" s="31"/>
      <c r="U81" s="129" t="s">
        <v>400</v>
      </c>
      <c r="V81" s="31"/>
      <c r="W81" s="31"/>
      <c r="X81" s="192"/>
    </row>
    <row r="82" spans="13:24" ht="24.95" customHeight="1" thickBot="1">
      <c r="M82" s="302" t="s">
        <v>266</v>
      </c>
      <c r="N82" s="225"/>
      <c r="O82" s="219"/>
      <c r="P82" s="220"/>
      <c r="Q82" s="221"/>
      <c r="R82" s="222"/>
      <c r="S82" s="222"/>
      <c r="T82" s="222"/>
      <c r="U82" s="222"/>
      <c r="V82" s="222"/>
      <c r="W82" s="223"/>
      <c r="X82" s="224"/>
    </row>
    <row r="86" spans="13:24" ht="24.95" customHeight="1" thickBot="1"/>
    <row r="87" spans="13:24" ht="24.95" customHeight="1">
      <c r="N87" s="210" t="s">
        <v>78</v>
      </c>
      <c r="O87" s="483" t="s">
        <v>119</v>
      </c>
      <c r="P87" s="483"/>
      <c r="Q87" s="483"/>
      <c r="R87" s="451" t="s">
        <v>62</v>
      </c>
      <c r="S87" s="453" t="s">
        <v>63</v>
      </c>
      <c r="T87" s="453"/>
      <c r="U87" s="453"/>
      <c r="V87" s="453"/>
      <c r="W87" s="472" t="s">
        <v>85</v>
      </c>
      <c r="X87" s="454" t="s">
        <v>64</v>
      </c>
    </row>
    <row r="88" spans="13:24" ht="24.95" customHeight="1">
      <c r="N88" s="194" t="s">
        <v>80</v>
      </c>
      <c r="O88" s="141" t="s">
        <v>65</v>
      </c>
      <c r="P88" s="141" t="s">
        <v>66</v>
      </c>
      <c r="Q88" s="146" t="s">
        <v>67</v>
      </c>
      <c r="R88" s="478"/>
      <c r="S88" s="141" t="s">
        <v>68</v>
      </c>
      <c r="T88" s="141" t="s">
        <v>69</v>
      </c>
      <c r="U88" s="141" t="s">
        <v>70</v>
      </c>
      <c r="V88" s="141" t="s">
        <v>71</v>
      </c>
      <c r="W88" s="482"/>
      <c r="X88" s="481"/>
    </row>
    <row r="89" spans="13:24" ht="24.95" customHeight="1">
      <c r="N89" s="182" t="s">
        <v>394</v>
      </c>
      <c r="O89" s="31" t="s">
        <v>392</v>
      </c>
      <c r="P89" s="87" t="s">
        <v>389</v>
      </c>
      <c r="Q89" s="30" t="str">
        <f>B34</f>
        <v>GRD-008</v>
      </c>
      <c r="R89" s="59" t="s">
        <v>397</v>
      </c>
      <c r="S89" s="31"/>
      <c r="T89" s="31"/>
      <c r="U89" s="31"/>
      <c r="V89" s="129" t="s">
        <v>400</v>
      </c>
      <c r="W89" s="31"/>
      <c r="X89" s="192"/>
    </row>
    <row r="90" spans="13:24" ht="24.95" customHeight="1">
      <c r="N90" s="182" t="s">
        <v>395</v>
      </c>
      <c r="O90" s="31" t="s">
        <v>385</v>
      </c>
      <c r="P90" s="87" t="s">
        <v>390</v>
      </c>
      <c r="Q90" s="30" t="str">
        <f>B34</f>
        <v>GRD-008</v>
      </c>
      <c r="R90" s="30" t="s">
        <v>398</v>
      </c>
      <c r="S90" s="31"/>
      <c r="T90" s="31"/>
      <c r="U90" s="129" t="s">
        <v>400</v>
      </c>
      <c r="V90" s="31"/>
      <c r="W90" s="31"/>
      <c r="X90" s="192"/>
    </row>
    <row r="91" spans="13:24" ht="24.95" customHeight="1">
      <c r="N91" s="182" t="s">
        <v>396</v>
      </c>
      <c r="O91" s="31" t="s">
        <v>393</v>
      </c>
      <c r="P91" s="87" t="s">
        <v>391</v>
      </c>
      <c r="Q91" s="30" t="str">
        <f>B31</f>
        <v>GRD-005</v>
      </c>
      <c r="R91" s="30" t="s">
        <v>398</v>
      </c>
      <c r="S91" s="31"/>
      <c r="T91" s="31"/>
      <c r="U91" s="129" t="s">
        <v>400</v>
      </c>
      <c r="V91" s="31"/>
      <c r="W91" s="31"/>
      <c r="X91" s="192"/>
    </row>
    <row r="92" spans="13:24" ht="24.95" customHeight="1" thickBot="1">
      <c r="M92" s="302" t="s">
        <v>266</v>
      </c>
      <c r="N92" s="225"/>
      <c r="O92" s="219"/>
      <c r="P92" s="220"/>
      <c r="Q92" s="221"/>
      <c r="R92" s="222"/>
      <c r="S92" s="222"/>
      <c r="T92" s="222"/>
      <c r="U92" s="222"/>
      <c r="V92" s="222"/>
      <c r="W92" s="223"/>
      <c r="X92" s="224"/>
    </row>
  </sheetData>
  <mergeCells count="48">
    <mergeCell ref="S36:V36"/>
    <mergeCell ref="O87:Q87"/>
    <mergeCell ref="R87:R88"/>
    <mergeCell ref="S87:V87"/>
    <mergeCell ref="W87:W88"/>
    <mergeCell ref="O63:Q63"/>
    <mergeCell ref="R63:R64"/>
    <mergeCell ref="S63:V63"/>
    <mergeCell ref="W63:W64"/>
    <mergeCell ref="O36:P36"/>
    <mergeCell ref="R36:R37"/>
    <mergeCell ref="X87:X88"/>
    <mergeCell ref="O77:Q77"/>
    <mergeCell ref="R77:R78"/>
    <mergeCell ref="S77:V77"/>
    <mergeCell ref="W77:W78"/>
    <mergeCell ref="X77:X78"/>
    <mergeCell ref="X63:X64"/>
    <mergeCell ref="AA36:AC36"/>
    <mergeCell ref="AD36:AD37"/>
    <mergeCell ref="AE36:AH36"/>
    <mergeCell ref="AI36:AI37"/>
    <mergeCell ref="AJ36:AJ37"/>
    <mergeCell ref="AA20:AC20"/>
    <mergeCell ref="AD20:AD21"/>
    <mergeCell ref="AE20:AH20"/>
    <mergeCell ref="AI20:AI21"/>
    <mergeCell ref="AJ20:AJ21"/>
    <mergeCell ref="AA12:AC12"/>
    <mergeCell ref="AD12:AD13"/>
    <mergeCell ref="AE12:AH12"/>
    <mergeCell ref="AI12:AI13"/>
    <mergeCell ref="AJ12:AJ13"/>
    <mergeCell ref="AA2:AC2"/>
    <mergeCell ref="AD2:AD3"/>
    <mergeCell ref="AE2:AH2"/>
    <mergeCell ref="AI2:AI3"/>
    <mergeCell ref="AJ2:AJ3"/>
    <mergeCell ref="O2:Q2"/>
    <mergeCell ref="R2:R3"/>
    <mergeCell ref="S2:V2"/>
    <mergeCell ref="W2:W3"/>
    <mergeCell ref="X2:X3"/>
    <mergeCell ref="L2:L3"/>
    <mergeCell ref="F2:F3"/>
    <mergeCell ref="C2:E2"/>
    <mergeCell ref="G2:J2"/>
    <mergeCell ref="K2:K3"/>
  </mergeCells>
  <phoneticPr fontId="1" type="noConversion"/>
  <conditionalFormatting sqref="L21:L34 L2:L19 L80:L1048576">
    <cfRule type="expression" dxfId="35" priority="31">
      <formula>EXACT("P",$L2)</formula>
    </cfRule>
    <cfRule type="expression" dxfId="34" priority="32">
      <formula>EXACT("C",$L2)</formula>
    </cfRule>
  </conditionalFormatting>
  <conditionalFormatting sqref="L53:L54">
    <cfRule type="expression" dxfId="33" priority="27">
      <formula>EXACT("P",$L53)</formula>
    </cfRule>
    <cfRule type="expression" dxfId="32" priority="28">
      <formula>EXACT("C",$L53)</formula>
    </cfRule>
  </conditionalFormatting>
  <conditionalFormatting sqref="AJ40:AJ41">
    <cfRule type="expression" dxfId="31" priority="21">
      <formula>EXACT("P",$L53)</formula>
    </cfRule>
    <cfRule type="expression" dxfId="30" priority="22">
      <formula>EXACT("C",$L53)</formula>
    </cfRule>
  </conditionalFormatting>
  <conditionalFormatting sqref="X2:X18">
    <cfRule type="expression" dxfId="29" priority="500">
      <formula>EXACT("P",$X2)</formula>
    </cfRule>
    <cfRule type="expression" dxfId="28" priority="501">
      <formula>EXACT("C",$X2)</formula>
    </cfRule>
  </conditionalFormatting>
  <conditionalFormatting sqref="X87:X92">
    <cfRule type="expression" dxfId="27" priority="502">
      <formula>EXACT("P",$X2)</formula>
    </cfRule>
    <cfRule type="expression" dxfId="26" priority="503">
      <formula>EXACT("C",$X2)</formula>
    </cfRule>
  </conditionalFormatting>
  <conditionalFormatting sqref="AJ36:AJ39">
    <cfRule type="expression" dxfId="25" priority="512">
      <formula>EXACT("P",$X15)</formula>
    </cfRule>
    <cfRule type="expression" dxfId="24" priority="513">
      <formula>EXACT("C",$X15)</formula>
    </cfRule>
  </conditionalFormatting>
  <conditionalFormatting sqref="X45">
    <cfRule type="expression" dxfId="23" priority="520">
      <formula>EXACT("P",$X11)</formula>
    </cfRule>
    <cfRule type="expression" dxfId="22" priority="521">
      <formula>EXACT("C",$X11)</formula>
    </cfRule>
  </conditionalFormatting>
  <conditionalFormatting sqref="X54">
    <cfRule type="expression" dxfId="21" priority="522">
      <formula>EXACT("P",$X14)</formula>
    </cfRule>
    <cfRule type="expression" dxfId="20" priority="523">
      <formula>EXACT("C",$X14)</formula>
    </cfRule>
  </conditionalFormatting>
  <conditionalFormatting sqref="X53">
    <cfRule type="expression" dxfId="19" priority="524">
      <formula>EXACT("P",$X14)</formula>
    </cfRule>
    <cfRule type="expression" dxfId="18" priority="525">
      <formula>EXACT("C",$X14)</formula>
    </cfRule>
  </conditionalFormatting>
  <conditionalFormatting sqref="X52">
    <cfRule type="expression" dxfId="17" priority="526">
      <formula>EXACT("P",$X14)</formula>
    </cfRule>
    <cfRule type="expression" dxfId="16" priority="527">
      <formula>EXACT("C",$X14)</formula>
    </cfRule>
  </conditionalFormatting>
  <conditionalFormatting sqref="X51">
    <cfRule type="expression" dxfId="15" priority="528">
      <formula>EXACT("P",$X14)</formula>
    </cfRule>
    <cfRule type="expression" dxfId="14" priority="529">
      <formula>EXACT("C",$X14)</formula>
    </cfRule>
  </conditionalFormatting>
  <conditionalFormatting sqref="X50">
    <cfRule type="expression" dxfId="13" priority="530">
      <formula>EXACT("P",$X14)</formula>
    </cfRule>
    <cfRule type="expression" dxfId="12" priority="531">
      <formula>EXACT("C",$X14)</formula>
    </cfRule>
  </conditionalFormatting>
  <conditionalFormatting sqref="X49">
    <cfRule type="expression" dxfId="11" priority="532">
      <formula>EXACT("P",$X14)</formula>
    </cfRule>
    <cfRule type="expression" dxfId="10" priority="533">
      <formula>EXACT("C",$X14)</formula>
    </cfRule>
  </conditionalFormatting>
  <conditionalFormatting sqref="X36:X44 X46:X48">
    <cfRule type="expression" dxfId="9" priority="538">
      <formula>EXACT("P",$X2)</formula>
    </cfRule>
    <cfRule type="expression" dxfId="8" priority="539">
      <formula>EXACT("C",$X2)</formula>
    </cfRule>
  </conditionalFormatting>
  <conditionalFormatting sqref="X63:X69">
    <cfRule type="expression" dxfId="7" priority="542">
      <formula>EXACT("P",$X2)</formula>
    </cfRule>
    <cfRule type="expression" dxfId="6" priority="543">
      <formula>EXACT("C",$X2)</formula>
    </cfRule>
  </conditionalFormatting>
  <conditionalFormatting sqref="AJ2:AJ26">
    <cfRule type="expression" dxfId="5" priority="546">
      <formula>EXACT("P",$AJ2)</formula>
    </cfRule>
    <cfRule type="expression" dxfId="4" priority="547">
      <formula>EXACT("C",$AJ2)</formula>
    </cfRule>
  </conditionalFormatting>
  <conditionalFormatting sqref="AJ42:AJ51">
    <cfRule type="expression" dxfId="3" priority="548">
      <formula>EXACT("P",$AJ2)</formula>
    </cfRule>
    <cfRule type="expression" dxfId="2" priority="549">
      <formula>EXACT("C",$AJ2)</formula>
    </cfRule>
  </conditionalFormatting>
  <conditionalFormatting sqref="X77:X82">
    <cfRule type="expression" dxfId="1" priority="552">
      <formula>EXACT("P",$X2)</formula>
    </cfRule>
    <cfRule type="expression" dxfId="0" priority="553">
      <formula>EXACT("C",$X2)</formula>
    </cfRule>
  </conditionalFormatting>
  <pageMargins left="0.7" right="0.7" top="0.75" bottom="0.75" header="0.3" footer="0.3"/>
  <pageSetup paperSize="9" orientation="portrait" r:id="rId1"/>
  <ignoredErrors>
    <ignoredError sqref="E15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DAB0E009F992BC44AAB25C4EA817DEBB" ma:contentTypeVersion="9" ma:contentTypeDescription="새 문서를 만듭니다." ma:contentTypeScope="" ma:versionID="b14b42c314ddfcf07cde08b10fdcfb3b">
  <xsd:schema xmlns:xsd="http://www.w3.org/2001/XMLSchema" xmlns:xs="http://www.w3.org/2001/XMLSchema" xmlns:p="http://schemas.microsoft.com/office/2006/metadata/properties" xmlns:ns3="552d5fdf-490b-4a49-95ea-35ab398c0f94" targetNamespace="http://schemas.microsoft.com/office/2006/metadata/properties" ma:root="true" ma:fieldsID="70f81734ede36bf495782ab7d9e97a09" ns3:_="">
    <xsd:import namespace="552d5fdf-490b-4a49-95ea-35ab398c0f9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2d5fdf-490b-4a49-95ea-35ab398c0f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5A4F6C-C8F3-4870-9F1F-753272AA6B0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B7CB21D-1CE9-4D14-B483-6092AABEC365}">
  <ds:schemaRefs>
    <ds:schemaRef ds:uri="http://www.w3.org/XML/1998/namespace"/>
    <ds:schemaRef ds:uri="552d5fdf-490b-4a49-95ea-35ab398c0f94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2D59FDFB-BBFF-435C-A5EC-3DD9A0CC5767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552d5fdf-490b-4a49-95ea-35ab398c0f94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Requirements Description</vt:lpstr>
      <vt:lpstr>Revision</vt:lpstr>
      <vt:lpstr>Mission</vt:lpstr>
      <vt:lpstr>PAYS</vt:lpstr>
      <vt:lpstr>PAYC</vt:lpstr>
      <vt:lpstr>PAYR</vt:lpstr>
      <vt:lpstr>SYS</vt:lpstr>
      <vt:lpstr>GRD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ACL2022_17</cp:lastModifiedBy>
  <cp:lastPrinted>2021-12-20T06:26:21Z</cp:lastPrinted>
  <dcterms:created xsi:type="dcterms:W3CDTF">2017-06-03T10:26:22Z</dcterms:created>
  <dcterms:modified xsi:type="dcterms:W3CDTF">2022-08-02T11:31:14Z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0x010100DAB0E009F992BC44AAB25C4EA817DEBB</vt:lpwstr>
  </property>
</Properties>
</file>